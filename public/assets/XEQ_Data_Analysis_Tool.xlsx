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20" yWindow="500" windowWidth="25380" windowHeight="16020" tabRatio="600" firstSheet="0" activeTab="0" autoFilterDateGrouping="1"/>
  </bookViews>
  <sheets>
    <sheet xmlns:r="http://schemas.openxmlformats.org/officeDocument/2006/relationships" name="Instructions" sheetId="1" state="visible" r:id="rId1"/>
    <sheet xmlns:r="http://schemas.openxmlformats.org/officeDocument/2006/relationships" name="Stakeholders" sheetId="2" state="visible" r:id="rId2"/>
    <sheet xmlns:r="http://schemas.openxmlformats.org/officeDocument/2006/relationships" name="Data" sheetId="3" state="visible" r:id="rId3"/>
    <sheet xmlns:r="http://schemas.openxmlformats.org/officeDocument/2006/relationships" name="Transform" sheetId="4" state="visible" r:id="rId4"/>
    <sheet xmlns:r="http://schemas.openxmlformats.org/officeDocument/2006/relationships" name="Results" sheetId="5" state="visible" r:id="rId5"/>
    <sheet xmlns:r="http://schemas.openxmlformats.org/officeDocument/2006/relationships" name="Confidence Intervals" sheetId="6" state="visible" r:id="rId6"/>
    <sheet xmlns:r="http://schemas.openxmlformats.org/officeDocument/2006/relationships" name="Answer Distributions" sheetId="7" state="visible" r:id="rId7"/>
    <sheet xmlns:r="http://schemas.openxmlformats.org/officeDocument/2006/relationships" name="Mapping" sheetId="8" state="hidden" r:id="rId8"/>
  </sheets>
  <definedNames>
    <definedName name="StakeholderList">Stakeholders!$A$3:$A$52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13">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0"/>
      <sz val="11"/>
      <scheme val="minor"/>
    </font>
    <font>
      <name val="Calibri (Body)"/>
      <b val="1"/>
      <color theme="1"/>
      <sz val="12"/>
    </font>
    <font>
      <name val="Calibri (Body)"/>
      <b val="1"/>
      <color theme="1"/>
      <sz val="22"/>
    </font>
    <font>
      <name val="Calibri"/>
      <family val="2"/>
      <color rgb="FF000000"/>
      <sz val="11"/>
      <scheme val="minor"/>
    </font>
    <font>
      <name val="Calibri (Body)"/>
      <color theme="0"/>
      <sz val="11"/>
    </font>
    <font>
      <name val="Calibri"/>
      <family val="2"/>
      <b val="1"/>
      <color theme="1"/>
      <sz val="14"/>
      <scheme val="minor"/>
    </font>
    <font>
      <name val="Calibri"/>
      <family val="2"/>
      <color theme="1"/>
      <sz val="14"/>
      <scheme val="minor"/>
    </font>
    <font>
      <name val="Calibri (Body)"/>
      <color theme="1"/>
      <sz val="11"/>
    </font>
    <font>
      <name val="Calibri"/>
      <family val="2"/>
      <b val="1"/>
      <color theme="0"/>
      <sz val="22"/>
      <scheme val="minor"/>
    </font>
    <font>
      <name val="Calibri (Body)"/>
      <b val="1"/>
      <color theme="1"/>
      <sz val="10"/>
    </font>
  </fonts>
  <fills count="4">
    <fill>
      <patternFill/>
    </fill>
    <fill>
      <patternFill patternType="gray125"/>
    </fill>
    <fill>
      <patternFill patternType="solid">
        <fgColor theme="7"/>
        <bgColor indexed="64"/>
      </patternFill>
    </fill>
    <fill>
      <patternFill patternType="solid">
        <fgColor theme="2"/>
        <bgColor indexed="64"/>
      </patternFill>
    </fill>
  </fills>
  <borders count="4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style="thin">
        <color indexed="64"/>
      </bottom>
      <diagonal/>
    </border>
    <border>
      <left style="thin">
        <color auto="1"/>
      </left>
      <right/>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style="thick">
        <color auto="1"/>
      </right>
      <top style="thick">
        <color auto="1"/>
      </top>
      <bottom style="thick">
        <color auto="1"/>
      </bottom>
      <diagonal/>
    </border>
    <border>
      <left/>
      <right/>
      <top style="thick">
        <color auto="1"/>
      </top>
      <bottom/>
      <diagonal/>
    </border>
    <border>
      <left/>
      <right style="thick">
        <color auto="1"/>
      </right>
      <top style="thick">
        <color auto="1"/>
      </top>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right/>
      <top style="thin">
        <color auto="1"/>
      </top>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thick">
        <color auto="1"/>
      </left>
      <right/>
      <top/>
      <bottom style="thin">
        <color auto="1"/>
      </bottom>
      <diagonal/>
    </border>
    <border>
      <left/>
      <right style="thick">
        <color auto="1"/>
      </right>
      <top/>
      <bottom style="thin">
        <color auto="1"/>
      </bottom>
      <diagonal/>
    </border>
    <border>
      <left style="thick">
        <color auto="1"/>
      </left>
      <right style="thick">
        <color auto="1"/>
      </right>
      <top style="thin">
        <color auto="1"/>
      </top>
      <bottom style="thick">
        <color auto="1"/>
      </bottom>
      <diagonal/>
    </border>
    <border>
      <left style="thin">
        <color auto="1"/>
      </left>
      <right style="thin">
        <color indexed="64"/>
      </right>
      <top/>
      <bottom style="thin">
        <color auto="1"/>
      </bottom>
      <diagonal/>
    </border>
    <border>
      <left/>
      <right style="thin">
        <color indexed="64"/>
      </right>
      <top/>
      <bottom/>
      <diagonal/>
    </border>
    <border>
      <left/>
      <right style="thin">
        <color indexed="64"/>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104">
    <xf numFmtId="0" fontId="0" fillId="0" borderId="0" pivotButton="0" quotePrefix="0" xfId="0"/>
    <xf numFmtId="0" fontId="0" fillId="0" borderId="1" pivotButton="0" quotePrefix="0" xfId="0"/>
    <xf numFmtId="0" fontId="3" fillId="2" borderId="1" pivotButton="0" quotePrefix="0" xfId="0"/>
    <xf numFmtId="2" fontId="0" fillId="0" borderId="1" pivotButton="0" quotePrefix="0" xfId="0"/>
    <xf numFmtId="0" fontId="2" fillId="2" borderId="1" pivotButton="0" quotePrefix="0" xfId="0"/>
    <xf numFmtId="0" fontId="1" fillId="0" borderId="0" pivotButton="0" quotePrefix="0" xfId="0"/>
    <xf numFmtId="0" fontId="1" fillId="0" borderId="1" pivotButton="0" quotePrefix="0" xfId="0"/>
    <xf numFmtId="0" fontId="3" fillId="2" borderId="7" pivotButton="0" quotePrefix="0" xfId="0"/>
    <xf numFmtId="2" fontId="3" fillId="2" borderId="1" pivotButton="0" quotePrefix="0" xfId="0"/>
    <xf numFmtId="0" fontId="3" fillId="2" borderId="6" pivotButton="0" quotePrefix="0" xfId="0"/>
    <xf numFmtId="164" fontId="0" fillId="0" borderId="1" pivotButton="0" quotePrefix="0" xfId="0"/>
    <xf numFmtId="2" fontId="1" fillId="0" borderId="1" pivotButton="0" quotePrefix="0" xfId="0"/>
    <xf numFmtId="2" fontId="6" fillId="0" borderId="1" pivotButton="0" quotePrefix="0" xfId="0"/>
    <xf numFmtId="0" fontId="8" fillId="0" borderId="0" pivotButton="0" quotePrefix="0" xfId="0"/>
    <xf numFmtId="0" fontId="9" fillId="0" borderId="0" pivotButton="0" quotePrefix="0" xfId="0"/>
    <xf numFmtId="0" fontId="3" fillId="2" borderId="1" applyProtection="1" pivotButton="0" quotePrefix="0" xfId="0">
      <protection locked="0" hidden="0"/>
    </xf>
    <xf numFmtId="2" fontId="3" fillId="2" borderId="1" applyProtection="1" pivotButton="0" quotePrefix="0" xfId="0">
      <protection locked="0" hidden="0"/>
    </xf>
    <xf numFmtId="0" fontId="3" fillId="2" borderId="6" applyProtection="1" pivotButton="0" quotePrefix="0" xfId="0">
      <protection locked="0" hidden="0"/>
    </xf>
    <xf numFmtId="0" fontId="9" fillId="0" borderId="0" applyProtection="1" pivotButton="0" quotePrefix="0" xfId="0">
      <protection locked="0" hidden="0"/>
    </xf>
    <xf numFmtId="0" fontId="2" fillId="2" borderId="7" pivotButton="0" quotePrefix="0" xfId="0"/>
    <xf numFmtId="0" fontId="11" fillId="2" borderId="9" applyAlignment="1" pivotButton="0" quotePrefix="0" xfId="0">
      <alignment horizontal="center" vertical="top"/>
    </xf>
    <xf numFmtId="0" fontId="11" fillId="2" borderId="10" applyAlignment="1" pivotButton="0" quotePrefix="0" xfId="0">
      <alignment horizontal="center" vertical="top"/>
    </xf>
    <xf numFmtId="0" fontId="11" fillId="2" borderId="11" applyAlignment="1" pivotButton="0" quotePrefix="0" xfId="0">
      <alignment horizontal="center" vertical="top"/>
    </xf>
    <xf numFmtId="0" fontId="4" fillId="0" borderId="14" applyAlignment="1" pivotButton="0" quotePrefix="0" xfId="0">
      <alignment horizontal="center" wrapText="1"/>
    </xf>
    <xf numFmtId="0" fontId="0" fillId="0" borderId="15" applyAlignment="1" pivotButton="0" quotePrefix="0" xfId="0">
      <alignment horizontal="center"/>
    </xf>
    <xf numFmtId="0" fontId="0" fillId="0" borderId="16" applyAlignment="1" pivotButton="0" quotePrefix="0" xfId="0">
      <alignment horizontal="center"/>
    </xf>
    <xf numFmtId="0" fontId="0" fillId="0" borderId="17" applyAlignment="1" pivotButton="0" quotePrefix="0" xfId="0">
      <alignment horizontal="center" wrapText="1"/>
    </xf>
    <xf numFmtId="0" fontId="0" fillId="0" borderId="4" applyAlignment="1" pivotButton="0" quotePrefix="0" xfId="0">
      <alignment horizontal="center"/>
    </xf>
    <xf numFmtId="0" fontId="0" fillId="0" borderId="18" applyAlignment="1" pivotButton="0" quotePrefix="0" xfId="0">
      <alignment horizontal="center"/>
    </xf>
    <xf numFmtId="0" fontId="0" fillId="0" borderId="17" applyAlignment="1" pivotButton="0" quotePrefix="0" xfId="0">
      <alignment horizontal="center"/>
    </xf>
    <xf numFmtId="0" fontId="0" fillId="0" borderId="19" applyAlignment="1" pivotButton="0" quotePrefix="0" xfId="0">
      <alignment horizontal="center" wrapText="1"/>
    </xf>
    <xf numFmtId="0" fontId="0" fillId="0" borderId="20" applyAlignment="1" pivotButton="0" quotePrefix="0" xfId="0">
      <alignment horizontal="center"/>
    </xf>
    <xf numFmtId="0" fontId="0" fillId="0" borderId="21" applyAlignment="1" pivotButton="0" quotePrefix="0" xfId="0">
      <alignment horizontal="center"/>
    </xf>
    <xf numFmtId="0" fontId="0" fillId="3" borderId="9" applyAlignment="1" pivotButton="0" quotePrefix="0" xfId="0">
      <alignment horizontal="center" wrapText="1"/>
    </xf>
    <xf numFmtId="0" fontId="0" fillId="3" borderId="10" applyAlignment="1" pivotButton="0" quotePrefix="0" xfId="0">
      <alignment horizontal="center" wrapText="1"/>
    </xf>
    <xf numFmtId="0" fontId="0" fillId="3" borderId="11" applyAlignment="1" pivotButton="0" quotePrefix="0" xfId="0">
      <alignment horizontal="center" wrapText="1"/>
    </xf>
    <xf numFmtId="0" fontId="2" fillId="2" borderId="13" applyAlignment="1" pivotButton="0" quotePrefix="0" xfId="0">
      <alignment horizontal="center" vertical="top"/>
    </xf>
    <xf numFmtId="0" fontId="2" fillId="2" borderId="2" applyAlignment="1" pivotButton="0" quotePrefix="0" xfId="0">
      <alignment horizontal="center" vertical="top"/>
    </xf>
    <xf numFmtId="0" fontId="2" fillId="2" borderId="12" applyAlignment="1" pivotButton="0" quotePrefix="0" xfId="0">
      <alignment horizontal="center" vertical="top"/>
    </xf>
    <xf numFmtId="0" fontId="2" fillId="2" borderId="8" applyAlignment="1" pivotButton="0" quotePrefix="0" xfId="0">
      <alignment horizontal="center" vertical="center"/>
    </xf>
    <xf numFmtId="0" fontId="2" fillId="2" borderId="7" applyAlignment="1" pivotButton="0" quotePrefix="0" xfId="0">
      <alignment horizontal="center" vertical="center"/>
    </xf>
    <xf numFmtId="0" fontId="2" fillId="2" borderId="3" applyAlignment="1" pivotButton="0" quotePrefix="0" xfId="0">
      <alignment horizontal="center" vertical="top"/>
    </xf>
    <xf numFmtId="0" fontId="2" fillId="2" borderId="4" applyAlignment="1" pivotButton="0" quotePrefix="0" xfId="0">
      <alignment horizontal="center" vertical="top"/>
    </xf>
    <xf numFmtId="0" fontId="2" fillId="2" borderId="5" applyAlignment="1" pivotButton="0" quotePrefix="0" xfId="0">
      <alignment horizontal="center" vertical="top"/>
    </xf>
    <xf numFmtId="0" fontId="2" fillId="2" borderId="6" applyAlignment="1" pivotButton="0" quotePrefix="0" xfId="0">
      <alignment horizontal="center" vertical="center"/>
    </xf>
    <xf numFmtId="0" fontId="2" fillId="2" borderId="7" applyAlignment="1" pivotButton="0" quotePrefix="0" xfId="0">
      <alignment horizontal="center" vertical="top"/>
    </xf>
    <xf numFmtId="0" fontId="0" fillId="0" borderId="0" applyAlignment="1" pivotButton="0" quotePrefix="0" xfId="0">
      <alignment horizontal="center" wrapText="1"/>
    </xf>
    <xf numFmtId="0" fontId="2" fillId="2" borderId="1" applyAlignment="1" pivotButton="0" quotePrefix="0" xfId="0">
      <alignment horizontal="center" vertical="top"/>
    </xf>
    <xf numFmtId="0" fontId="3" fillId="2" borderId="13" applyAlignment="1" pivotButton="0" quotePrefix="0" xfId="0">
      <alignment horizontal="center"/>
    </xf>
    <xf numFmtId="0" fontId="3" fillId="2" borderId="2" applyAlignment="1" pivotButton="0" quotePrefix="0" xfId="0">
      <alignment horizontal="center"/>
    </xf>
    <xf numFmtId="0" fontId="3" fillId="2" borderId="12" applyAlignment="1" pivotButton="0" quotePrefix="0" xfId="0">
      <alignment horizontal="center"/>
    </xf>
    <xf numFmtId="0" fontId="5" fillId="3" borderId="9" applyAlignment="1" pivotButton="0" quotePrefix="0" xfId="0">
      <alignment horizontal="center" wrapText="1"/>
    </xf>
    <xf numFmtId="0" fontId="5" fillId="3" borderId="10" applyAlignment="1" pivotButton="0" quotePrefix="0" xfId="0">
      <alignment horizontal="center"/>
    </xf>
    <xf numFmtId="0" fontId="5" fillId="3" borderId="11" applyAlignment="1" pivotButton="0" quotePrefix="0" xfId="0">
      <alignment horizontal="center"/>
    </xf>
    <xf numFmtId="0" fontId="7" fillId="2" borderId="3" applyAlignment="1" pivotButton="0" quotePrefix="0" xfId="0">
      <alignment horizontal="center"/>
    </xf>
    <xf numFmtId="0" fontId="0" fillId="2" borderId="4" applyAlignment="1" pivotButton="0" quotePrefix="0" xfId="0">
      <alignment horizontal="center"/>
    </xf>
    <xf numFmtId="0" fontId="0" fillId="2" borderId="5" applyAlignment="1" pivotButton="0" quotePrefix="0" xfId="0">
      <alignment horizontal="center"/>
    </xf>
    <xf numFmtId="0" fontId="3" fillId="2" borderId="1" applyAlignment="1" pivotButton="0" quotePrefix="0" xfId="0">
      <alignment horizontal="center"/>
    </xf>
    <xf numFmtId="0" fontId="2" fillId="2" borderId="3" applyAlignment="1" pivotButton="0" quotePrefix="0" xfId="0">
      <alignment horizontal="center"/>
    </xf>
    <xf numFmtId="0" fontId="2" fillId="2" borderId="4" applyAlignment="1" pivotButton="0" quotePrefix="0" xfId="0">
      <alignment horizontal="center"/>
    </xf>
    <xf numFmtId="0" fontId="2" fillId="2" borderId="5" applyAlignment="1" pivotButton="0" quotePrefix="0" xfId="0">
      <alignment horizontal="center"/>
    </xf>
    <xf numFmtId="0" fontId="2" fillId="2" borderId="2" applyAlignment="1" applyProtection="1" pivotButton="0" quotePrefix="0" xfId="0">
      <alignment horizontal="center"/>
      <protection locked="0" hidden="0"/>
    </xf>
    <xf numFmtId="0" fontId="3" fillId="2" borderId="3" applyAlignment="1" pivotButton="0" quotePrefix="0" xfId="0">
      <alignment horizontal="center"/>
    </xf>
    <xf numFmtId="0" fontId="3" fillId="2" borderId="5" applyAlignment="1" pivotButton="0" quotePrefix="0" xfId="0">
      <alignment horizontal="center"/>
    </xf>
    <xf numFmtId="0" fontId="3" fillId="2" borderId="3"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0" fontId="2" fillId="2" borderId="13" applyAlignment="1" pivotButton="0" quotePrefix="0" xfId="0">
      <alignment horizontal="center"/>
    </xf>
    <xf numFmtId="0" fontId="2" fillId="2" borderId="2" applyAlignment="1" pivotButton="0" quotePrefix="0" xfId="0">
      <alignment horizontal="center"/>
    </xf>
    <xf numFmtId="0" fontId="2" fillId="2" borderId="12" applyAlignment="1" pivotButton="0" quotePrefix="0" xfId="0">
      <alignment horizontal="center"/>
    </xf>
    <xf numFmtId="0" fontId="0" fillId="3" borderId="10" applyAlignment="1" pivotButton="0" quotePrefix="0" xfId="0">
      <alignment horizontal="center"/>
    </xf>
    <xf numFmtId="0" fontId="0" fillId="3" borderId="11" applyAlignment="1" pivotButton="0" quotePrefix="0" xfId="0">
      <alignment horizontal="center"/>
    </xf>
    <xf numFmtId="0" fontId="11" fillId="2" borderId="22" applyAlignment="1" pivotButton="0" quotePrefix="0" xfId="0">
      <alignment horizontal="center" vertical="top"/>
    </xf>
    <xf numFmtId="0" fontId="0" fillId="0" borderId="10" pivotButton="0" quotePrefix="0" xfId="0"/>
    <xf numFmtId="0" fontId="0" fillId="0" borderId="11" pivotButton="0" quotePrefix="0" xfId="0"/>
    <xf numFmtId="0" fontId="4" fillId="0" borderId="25" applyAlignment="1" pivotButton="0" quotePrefix="0" xfId="0">
      <alignment horizontal="center" wrapText="1"/>
    </xf>
    <xf numFmtId="0" fontId="0" fillId="0" borderId="15" pivotButton="0" quotePrefix="0" xfId="0"/>
    <xf numFmtId="0" fontId="0" fillId="0" borderId="16" pivotButton="0" quotePrefix="0" xfId="0"/>
    <xf numFmtId="0" fontId="0" fillId="0" borderId="26" applyAlignment="1" pivotButton="0" quotePrefix="0" xfId="0">
      <alignment horizontal="center" wrapText="1"/>
    </xf>
    <xf numFmtId="0" fontId="0" fillId="0" borderId="27" pivotButton="0" quotePrefix="0" xfId="0"/>
    <xf numFmtId="0" fontId="0" fillId="0" borderId="29" pivotButton="0" quotePrefix="0" xfId="0"/>
    <xf numFmtId="0" fontId="0" fillId="0" borderId="28" pivotButton="0" quotePrefix="0" xfId="0"/>
    <xf numFmtId="0" fontId="0" fillId="0" borderId="30" pivotButton="0" quotePrefix="0" xfId="0"/>
    <xf numFmtId="0" fontId="0" fillId="0" borderId="31" pivotButton="0" quotePrefix="0" xfId="0"/>
    <xf numFmtId="0" fontId="0" fillId="0" borderId="2" pivotButton="0" quotePrefix="0" xfId="0"/>
    <xf numFmtId="0" fontId="0" fillId="0" borderId="32" pivotButton="0" quotePrefix="0" xfId="0"/>
    <xf numFmtId="0" fontId="0" fillId="0" borderId="33" applyAlignment="1" pivotButton="0" quotePrefix="0" xfId="0">
      <alignment horizontal="center" wrapText="1"/>
    </xf>
    <xf numFmtId="0" fontId="0" fillId="0" borderId="20" pivotButton="0" quotePrefix="0" xfId="0"/>
    <xf numFmtId="0" fontId="0" fillId="0" borderId="21" pivotButton="0" quotePrefix="0" xfId="0"/>
    <xf numFmtId="0" fontId="0" fillId="3" borderId="22" applyAlignment="1" pivotButton="0" quotePrefix="0" xfId="0">
      <alignment horizontal="center" wrapText="1"/>
    </xf>
    <xf numFmtId="0" fontId="2" fillId="2" borderId="34" applyAlignment="1" pivotButton="0" quotePrefix="0" xfId="0">
      <alignment horizontal="center" vertical="top"/>
    </xf>
    <xf numFmtId="0" fontId="0" fillId="0" borderId="36" pivotButton="0" quotePrefix="0" xfId="0"/>
    <xf numFmtId="0" fontId="0" fillId="0" borderId="7" pivotButton="0" quotePrefix="0" xfId="0"/>
    <xf numFmtId="0" fontId="0" fillId="0" borderId="40" pivotButton="0" quotePrefix="0" xfId="0"/>
    <xf numFmtId="0" fontId="0" fillId="0" borderId="4" pivotButton="0" quotePrefix="0" xfId="0"/>
    <xf numFmtId="0" fontId="0" fillId="0" borderId="5" pivotButton="0" quotePrefix="0" xfId="0"/>
    <xf numFmtId="0" fontId="2" fillId="2" borderId="1" applyAlignment="1" pivotButton="0" quotePrefix="0" xfId="0">
      <alignment horizontal="center" vertical="center"/>
    </xf>
    <xf numFmtId="0" fontId="5" fillId="3" borderId="22" applyAlignment="1" pivotButton="0" quotePrefix="0" xfId="0">
      <alignment horizontal="center" wrapText="1"/>
    </xf>
    <xf numFmtId="0" fontId="3" fillId="2" borderId="34" applyAlignment="1" pivotButton="0" quotePrefix="0" xfId="0">
      <alignment horizontal="center"/>
    </xf>
    <xf numFmtId="0" fontId="7" fillId="2" borderId="1" applyAlignment="1" pivotButton="0" quotePrefix="0" xfId="0">
      <alignment horizontal="center"/>
    </xf>
    <xf numFmtId="0" fontId="2" fillId="2" borderId="34" applyAlignment="1" pivotButton="0" quotePrefix="0" xfId="0">
      <alignment horizontal="center"/>
    </xf>
    <xf numFmtId="0" fontId="0" fillId="0" borderId="2" applyProtection="1" pivotButton="0" quotePrefix="0" xfId="0">
      <protection locked="0" hidden="0"/>
    </xf>
    <xf numFmtId="0" fontId="3" fillId="2" borderId="1" applyAlignment="1" applyProtection="1" pivotButton="0" quotePrefix="0" xfId="0">
      <alignment horizontal="center"/>
      <protection locked="0" hidden="0"/>
    </xf>
    <xf numFmtId="0" fontId="0" fillId="0" borderId="5" applyProtection="1" pivotButton="0" quotePrefix="0" xfId="0">
      <protection locked="0" hidden="0"/>
    </xf>
    <xf numFmtId="0" fontId="2" fillId="2" borderId="1" applyAlignment="1" pivotButton="0" quotePrefix="0" xfId="0">
      <alignment horizontal="center"/>
    </xf>
  </cellXfs>
  <cellStyles count="1">
    <cellStyle name="Normal" xfId="0" builtinId="0"/>
  </cellStyles>
  <dxfs count="8">
    <dxf>
      <fill>
        <patternFill>
          <bgColor rgb="FFF9F0FF"/>
        </patternFill>
      </fill>
    </dxf>
    <dxf>
      <fill>
        <patternFill>
          <bgColor rgb="FFFFF7E6"/>
        </patternFill>
      </fill>
    </dxf>
    <dxf>
      <fill>
        <patternFill>
          <bgColor rgb="FFE2F8FF"/>
        </patternFill>
      </fill>
    </dxf>
    <dxf>
      <fill>
        <patternFill>
          <bgColor rgb="FFF6FFED"/>
        </patternFill>
      </fill>
    </dxf>
    <dxf>
      <fill>
        <patternFill>
          <bgColor rgb="FFF9F0FF"/>
        </patternFill>
      </fill>
    </dxf>
    <dxf>
      <fill>
        <patternFill>
          <bgColor rgb="FFFFF7E6"/>
        </patternFill>
      </fill>
    </dxf>
    <dxf>
      <fill>
        <patternFill>
          <bgColor rgb="FFE2F8FF"/>
        </patternFill>
      </fill>
    </dxf>
    <dxf>
      <fill>
        <patternFill>
          <bgColor rgb="FFF6FFED"/>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Mean XEQ Score Per</a:t>
            </a:r>
            <a:r>
              <a:rPr lang="en-US" baseline="0"/>
              <a:t xml:space="preserve"> Statement</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1260764349884145"/>
          <y val="0.2321336510835557"/>
          <w val="0.8209615240493098"/>
          <h val="0.6325905353797735"/>
        </manualLayout>
      </layout>
      <barChart>
        <barDir val="bar"/>
        <grouping val="clustered"/>
        <varyColors val="0"/>
        <ser>
          <idx val="0"/>
          <order val="0"/>
          <tx>
            <strRef>
              <f>Results!$B$3</f>
            </strRef>
          </tx>
          <spPr>
            <a:solidFill xmlns:a="http://schemas.openxmlformats.org/drawingml/2006/main">
              <a:schemeClr val="accent1"/>
            </a:solidFill>
            <a:ln xmlns:a="http://schemas.openxmlformats.org/drawingml/2006/main">
              <a:solidFill>
                <a:schemeClr val="tx1">
                  <a:lumMod val="85000"/>
                  <a:lumOff val="15000"/>
                </a:schemeClr>
              </a:solidFill>
              <a:prstDash val="solid"/>
            </a:ln>
          </spPr>
          <invertIfNegative val="0"/>
          <errBars>
            <errBarType val="both"/>
            <errValType val="cust"/>
            <noEndCap val="0"/>
            <minus>
              <numRef>
                <f>'Confidence Intervals'!$F$5:$F$22</f>
              </numRef>
            </minus>
            <plus>
              <numRef>
                <f>'Confidence Intervals'!$F$5:$F$22</f>
              </numRef>
            </plus>
            <spPr>
              <a:noFill xmlns:a="http://schemas.openxmlformats.org/drawingml/2006/main"/>
              <a:ln xmlns:a="http://schemas.openxmlformats.org/drawingml/2006/main" w="9525" cap="flat" cmpd="sng" algn="ctr">
                <a:solidFill>
                  <a:schemeClr val="tx1">
                    <a:lumMod val="65000"/>
                    <a:lumOff val="35000"/>
                  </a:schemeClr>
                </a:solidFill>
                <a:prstDash val="solid"/>
                <a:round/>
              </a:ln>
            </spPr>
          </errBars>
          <cat>
            <numRef>
              <f>Results!$A$4:$A$21</f>
            </numRef>
          </cat>
          <val>
            <numRef>
              <f>Results!$B$4:$B$21</f>
            </numRef>
          </val>
        </ser>
        <dLbls>
          <showLegendKey val="0"/>
          <showVal val="0"/>
          <showCatName val="0"/>
          <showSerName val="0"/>
          <showPercent val="0"/>
          <showBubbleSize val="0"/>
        </dLbls>
        <gapWidth val="182"/>
        <axId val="600178255"/>
        <axId val="832098335"/>
      </barChart>
      <catAx>
        <axId val="600178255"/>
        <scaling>
          <orientation val="maxMin"/>
        </scaling>
        <delete val="0"/>
        <axPos val="l"/>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Statement</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832098335"/>
        <crosses val="autoZero"/>
        <auto val="1"/>
        <lblAlgn val="ctr"/>
        <lblOffset val="100"/>
        <noMultiLvlLbl val="0"/>
      </catAx>
      <valAx>
        <axId val="832098335"/>
        <scaling>
          <orientation val="minMax"/>
          <max val="5"/>
          <min val="0"/>
        </scaling>
        <delete val="0"/>
        <axPos val="t"/>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XEQ Score</a:t>
                </a:r>
              </a:p>
            </rich>
          </tx>
          <layout>
            <manualLayout>
              <xMode val="edge"/>
              <yMode val="edge"/>
              <wMode val="factor"/>
              <hMode val="factor"/>
              <x val="0.4533458576304771"/>
              <y val="0.90222221591014"/>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60017825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Mean XEQ Score Per Factor</a:t>
            </a:r>
          </a:p>
        </rich>
      </tx>
    </title>
    <plotArea>
      <layout/>
      <barChart>
        <barDir val="col"/>
        <grouping val="clustered"/>
        <varyColors val="0"/>
        <ser>
          <idx val="0"/>
          <order val="0"/>
          <tx>
            <strRef>
              <f>Results!$K$3</f>
            </strRef>
          </tx>
          <spPr>
            <a:solidFill xmlns:a="http://schemas.openxmlformats.org/drawingml/2006/main">
              <a:srgbClr val="E2F8FF"/>
            </a:solidFill>
            <a:ln xmlns:a="http://schemas.openxmlformats.org/drawingml/2006/main">
              <a:solidFill>
                <a:schemeClr val="tx1">
                  <a:lumMod val="85000"/>
                  <a:lumOff val="15000"/>
                </a:schemeClr>
              </a:solidFill>
              <a:prstDash val="solid"/>
            </a:ln>
          </spPr>
          <invertIfNegative val="0"/>
          <dPt>
            <idx val="1"/>
            <invertIfNegative val="0"/>
            <bubble3D val="0"/>
            <spPr>
              <a:solidFill xmlns:a="http://schemas.openxmlformats.org/drawingml/2006/main">
                <a:srgbClr val="F9F0FF"/>
              </a:solidFill>
              <a:ln xmlns:a="http://schemas.openxmlformats.org/drawingml/2006/main">
                <a:solidFill>
                  <a:schemeClr val="tx1">
                    <a:lumMod val="85000"/>
                    <a:lumOff val="15000"/>
                  </a:schemeClr>
                </a:solidFill>
                <a:prstDash val="solid"/>
              </a:ln>
            </spPr>
          </dPt>
          <dPt>
            <idx val="2"/>
            <invertIfNegative val="0"/>
            <bubble3D val="0"/>
            <spPr>
              <a:solidFill xmlns:a="http://schemas.openxmlformats.org/drawingml/2006/main">
                <a:srgbClr val="FFF7E6"/>
              </a:solidFill>
              <a:ln xmlns:a="http://schemas.openxmlformats.org/drawingml/2006/main">
                <a:solidFill>
                  <a:schemeClr val="tx1">
                    <a:lumMod val="85000"/>
                    <a:lumOff val="15000"/>
                  </a:schemeClr>
                </a:solidFill>
                <a:prstDash val="solid"/>
              </a:ln>
            </spPr>
          </dPt>
          <dPt>
            <idx val="3"/>
            <invertIfNegative val="0"/>
            <bubble3D val="0"/>
            <spPr>
              <a:solidFill xmlns:a="http://schemas.openxmlformats.org/drawingml/2006/main">
                <a:srgbClr val="F6FFED"/>
              </a:solidFill>
              <a:ln xmlns:a="http://schemas.openxmlformats.org/drawingml/2006/main">
                <a:solidFill>
                  <a:schemeClr val="tx1">
                    <a:lumMod val="85000"/>
                    <a:lumOff val="15000"/>
                  </a:schemeClr>
                </a:solidFill>
                <a:prstDash val="solid"/>
              </a:ln>
            </spPr>
          </dPt>
          <errBars>
            <errBarType val="both"/>
            <errValType val="cust"/>
            <noEndCap val="0"/>
            <minus>
              <numRef>
                <f>'Confidence Intervals'!$P$4:$P$6</f>
              </numRef>
            </minus>
            <plus>
              <numRef>
                <f>'Confidence Intervals'!$P$4:$P$6</f>
              </numRef>
            </plus>
            <spPr>
              <a:noFill xmlns:a="http://schemas.openxmlformats.org/drawingml/2006/main"/>
              <a:ln xmlns:a="http://schemas.openxmlformats.org/drawingml/2006/main" w="9525" cap="flat" cmpd="sng" algn="ctr">
                <a:solidFill>
                  <a:schemeClr val="tx1">
                    <a:lumMod val="65000"/>
                    <a:lumOff val="35000"/>
                  </a:schemeClr>
                </a:solidFill>
                <a:prstDash val="solid"/>
                <a:round/>
              </a:ln>
            </spPr>
          </errBars>
          <cat>
            <strRef>
              <f>Results!$J$4:$J$6</f>
            </strRef>
          </cat>
          <val>
            <numRef>
              <f>Results!$K$4:$K$6</f>
            </numRef>
          </val>
        </ser>
        <dLbls>
          <showLegendKey val="0"/>
          <showVal val="0"/>
          <showCatName val="0"/>
          <showSerName val="0"/>
          <showPercent val="0"/>
          <showBubbleSize val="0"/>
        </dLbls>
        <gapWidth val="219"/>
        <overlap val="-27"/>
        <axId val="1951238511"/>
        <axId val="1337836319"/>
      </barChart>
      <catAx>
        <axId val="1951238511"/>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Dimension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337836319"/>
        <crosses val="autoZero"/>
        <auto val="1"/>
        <lblAlgn val="ctr"/>
        <lblOffset val="100"/>
        <noMultiLvlLbl val="0"/>
      </catAx>
      <valAx>
        <axId val="1337836319"/>
        <scaling>
          <orientation val="minMax"/>
          <max val="5"/>
          <min val="1"/>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 xml:space="preserve"> Mean</a:t>
                </a:r>
                <a:r>
                  <a:rPr lang="en-GB" baseline="0"/>
                  <a:t xml:space="preserve"> XEQ Score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95123851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Stakeholder XEQ Scores</a:t>
            </a:r>
          </a:p>
        </rich>
      </tx>
    </title>
    <plotArea>
      <layout/>
      <barChart>
        <barDir val="col"/>
        <grouping val="clustered"/>
        <varyColors val="0"/>
        <ser>
          <idx val="0"/>
          <order val="0"/>
          <tx>
            <strRef>
              <f>Results!$Q$3</f>
            </strRef>
          </tx>
          <spPr>
            <a:solidFill xmlns:a="http://schemas.openxmlformats.org/drawingml/2006/main">
              <a:srgbClr val="E2F8FF"/>
            </a:solidFill>
            <a:ln xmlns:a="http://schemas.openxmlformats.org/drawingml/2006/main">
              <a:solidFill>
                <a:schemeClr val="tx1">
                  <a:lumMod val="85000"/>
                  <a:lumOff val="15000"/>
                </a:schemeClr>
              </a:solidFill>
              <a:prstDash val="solid"/>
            </a:ln>
          </spPr>
          <invertIfNegative val="0"/>
          <errBars>
            <errBarType val="both"/>
            <errValType val="cust"/>
            <noEndCap val="0"/>
            <minus>
              <numRef>
                <f>'Confidence Intervals'!$P$12:$P$15</f>
              </numRef>
            </minus>
            <plus>
              <numRef>
                <f>'Confidence Intervals'!$P$12:$P$15</f>
              </numRef>
            </plus>
            <spPr>
              <a:noFill xmlns:a="http://schemas.openxmlformats.org/drawingml/2006/main"/>
              <a:ln xmlns:a="http://schemas.openxmlformats.org/drawingml/2006/main" w="9525" cap="flat" cmpd="sng" algn="ctr">
                <a:solidFill>
                  <a:schemeClr val="tx1">
                    <a:lumMod val="65000"/>
                    <a:lumOff val="35000"/>
                  </a:schemeClr>
                </a:solidFill>
                <a:prstDash val="solid"/>
                <a:round/>
              </a:ln>
            </spPr>
          </errBars>
          <cat>
            <strRef>
              <f>Results!$P$4:$P$7</f>
            </strRef>
          </cat>
          <val>
            <numRef>
              <f>Results!$Q$4:$Q$7</f>
            </numRef>
          </val>
        </ser>
        <ser>
          <idx val="1"/>
          <order val="1"/>
          <tx>
            <strRef>
              <f>Results!$R$3</f>
            </strRef>
          </tx>
          <spPr>
            <a:solidFill xmlns:a="http://schemas.openxmlformats.org/drawingml/2006/main">
              <a:srgbClr val="F9F0FF"/>
            </a:solidFill>
            <a:ln xmlns:a="http://schemas.openxmlformats.org/drawingml/2006/main">
              <a:solidFill>
                <a:schemeClr val="tx1">
                  <a:lumMod val="85000"/>
                  <a:lumOff val="15000"/>
                </a:schemeClr>
              </a:solidFill>
              <a:prstDash val="solid"/>
            </a:ln>
          </spPr>
          <invertIfNegative val="0"/>
          <errBars>
            <errBarType val="both"/>
            <errValType val="cust"/>
            <noEndCap val="0"/>
            <minus>
              <numRef>
                <f>'Confidence Intervals'!$W$12:$W$15</f>
              </numRef>
            </minus>
            <plus>
              <numRef>
                <f>'Confidence Intervals'!$W$12:$W$15</f>
              </numRef>
            </plus>
            <spPr>
              <a:noFill xmlns:a="http://schemas.openxmlformats.org/drawingml/2006/main"/>
              <a:ln xmlns:a="http://schemas.openxmlformats.org/drawingml/2006/main" w="9525" cap="flat" cmpd="sng" algn="ctr">
                <a:solidFill>
                  <a:schemeClr val="tx1">
                    <a:lumMod val="65000"/>
                    <a:lumOff val="35000"/>
                  </a:schemeClr>
                </a:solidFill>
                <a:prstDash val="solid"/>
                <a:round/>
              </a:ln>
            </spPr>
          </errBars>
          <cat>
            <strRef>
              <f>Results!$P$4:$P$7</f>
            </strRef>
          </cat>
          <val>
            <numRef>
              <f>Results!$R$4:$R$7</f>
            </numRef>
          </val>
        </ser>
        <ser>
          <idx val="2"/>
          <order val="2"/>
          <tx>
            <strRef>
              <f>Results!$S$3</f>
            </strRef>
          </tx>
          <spPr>
            <a:solidFill xmlns:a="http://schemas.openxmlformats.org/drawingml/2006/main">
              <a:srgbClr val="FFF7E6"/>
            </a:solidFill>
            <a:ln xmlns:a="http://schemas.openxmlformats.org/drawingml/2006/main">
              <a:solidFill>
                <a:schemeClr val="tx1">
                  <a:lumMod val="85000"/>
                  <a:lumOff val="15000"/>
                </a:schemeClr>
              </a:solidFill>
              <a:prstDash val="solid"/>
            </a:ln>
          </spPr>
          <invertIfNegative val="0"/>
          <errBars>
            <errBarType val="both"/>
            <errValType val="cust"/>
            <noEndCap val="0"/>
            <minus>
              <numRef>
                <f>'Confidence Intervals'!$AD$12:$AD$15</f>
              </numRef>
            </minus>
            <plus>
              <numRef>
                <f>'Confidence Intervals'!$AD$12:$AD$15</f>
              </numRef>
            </plus>
            <spPr>
              <a:noFill xmlns:a="http://schemas.openxmlformats.org/drawingml/2006/main"/>
              <a:ln xmlns:a="http://schemas.openxmlformats.org/drawingml/2006/main" w="9525" cap="flat" cmpd="sng" algn="ctr">
                <a:solidFill>
                  <a:schemeClr val="tx1">
                    <a:lumMod val="65000"/>
                    <a:lumOff val="35000"/>
                  </a:schemeClr>
                </a:solidFill>
                <a:prstDash val="solid"/>
                <a:round/>
              </a:ln>
            </spPr>
          </errBars>
          <cat>
            <strRef>
              <f>Results!$P$4:$P$7</f>
            </strRef>
          </cat>
          <val>
            <numRef>
              <f>Results!$S$4:$S$7</f>
            </numRef>
          </val>
        </ser>
        <dLbls>
          <showLegendKey val="0"/>
          <showVal val="0"/>
          <showCatName val="0"/>
          <showSerName val="0"/>
          <showPercent val="0"/>
          <showBubbleSize val="0"/>
        </dLbls>
        <gapWidth val="219"/>
        <overlap val="-27"/>
        <axId val="47967455"/>
        <axId val="48216079"/>
      </barChart>
      <catAx>
        <axId val="47967455"/>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Stakeholder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8216079"/>
        <crosses val="autoZero"/>
        <auto val="1"/>
        <lblAlgn val="ctr"/>
        <lblOffset val="100"/>
        <noMultiLvlLbl val="0"/>
      </catAx>
      <valAx>
        <axId val="482160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GB"/>
                  <a:t>Mean XEQ Score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79674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GB"/>
              <a:t>Distribution Of Answers Per Statement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stacked"/>
        <varyColors val="0"/>
        <ser>
          <idx val="0"/>
          <order val="0"/>
          <tx>
            <v>Strongly Disagree</v>
          </tx>
          <spPr>
            <a:solidFill xmlns:a="http://schemas.openxmlformats.org/drawingml/2006/main">
              <a:schemeClr val="accent1"/>
            </a:solidFill>
            <a:ln xmlns:a="http://schemas.openxmlformats.org/drawingml/2006/main">
              <a:noFill/>
              <a:prstDash val="solid"/>
            </a:ln>
          </spPr>
          <invertIfNegative val="0"/>
          <cat>
            <strRef>
              <f>'Answer Distributions'!$A$2:$A$20</f>
            </strRef>
          </cat>
          <val>
            <numRef>
              <f>'Answer Distributions'!$B$2:$B$20</f>
            </numRef>
          </val>
        </ser>
        <ser>
          <idx val="1"/>
          <order val="1"/>
          <tx>
            <v>Disagree</v>
          </tx>
          <spPr>
            <a:solidFill xmlns:a="http://schemas.openxmlformats.org/drawingml/2006/main">
              <a:schemeClr val="accent2"/>
            </a:solidFill>
            <a:ln xmlns:a="http://schemas.openxmlformats.org/drawingml/2006/main">
              <a:noFill/>
              <a:prstDash val="solid"/>
            </a:ln>
          </spPr>
          <invertIfNegative val="0"/>
          <cat>
            <strRef>
              <f>'Answer Distributions'!$A$2:$A$20</f>
            </strRef>
          </cat>
          <val>
            <numRef>
              <f>'Answer Distributions'!$C$2:$C$20</f>
            </numRef>
          </val>
        </ser>
        <ser>
          <idx val="2"/>
          <order val="2"/>
          <tx>
            <v>Neutral</v>
          </tx>
          <spPr>
            <a:solidFill xmlns:a="http://schemas.openxmlformats.org/drawingml/2006/main">
              <a:schemeClr val="accent3"/>
            </a:solidFill>
            <a:ln xmlns:a="http://schemas.openxmlformats.org/drawingml/2006/main">
              <a:noFill/>
              <a:prstDash val="solid"/>
            </a:ln>
          </spPr>
          <invertIfNegative val="0"/>
          <cat>
            <strRef>
              <f>'Answer Distributions'!$A$2:$A$20</f>
            </strRef>
          </cat>
          <val>
            <numRef>
              <f>'Answer Distributions'!$D$2:$D$20</f>
            </numRef>
          </val>
        </ser>
        <ser>
          <idx val="3"/>
          <order val="3"/>
          <tx>
            <v>Agree</v>
          </tx>
          <spPr>
            <a:solidFill xmlns:a="http://schemas.openxmlformats.org/drawingml/2006/main">
              <a:schemeClr val="accent4"/>
            </a:solidFill>
            <a:ln xmlns:a="http://schemas.openxmlformats.org/drawingml/2006/main">
              <a:noFill/>
              <a:prstDash val="solid"/>
            </a:ln>
          </spPr>
          <invertIfNegative val="0"/>
          <cat>
            <strRef>
              <f>'Answer Distributions'!$A$2:$A$20</f>
            </strRef>
          </cat>
          <val>
            <numRef>
              <f>'Answer Distributions'!$E$2:$E$20</f>
            </numRef>
          </val>
        </ser>
        <ser>
          <idx val="4"/>
          <order val="4"/>
          <tx>
            <v>Strongly Agree</v>
          </tx>
          <spPr>
            <a:solidFill xmlns:a="http://schemas.openxmlformats.org/drawingml/2006/main">
              <a:schemeClr val="accent5"/>
            </a:solidFill>
            <a:ln xmlns:a="http://schemas.openxmlformats.org/drawingml/2006/main">
              <a:noFill/>
              <a:prstDash val="solid"/>
            </a:ln>
          </spPr>
          <invertIfNegative val="0"/>
          <cat>
            <strRef>
              <f>'Answer Distributions'!$A$2:$A$20</f>
            </strRef>
          </cat>
          <val>
            <numRef>
              <f>'Answer Distributions'!$F$2:$F$20</f>
            </numRef>
          </val>
        </ser>
        <dLbls>
          <showLegendKey val="0"/>
          <showVal val="0"/>
          <showCatName val="0"/>
          <showSerName val="0"/>
          <showPercent val="0"/>
          <showBubbleSize val="0"/>
        </dLbls>
        <gapWidth val="150"/>
        <overlap val="100"/>
        <axId val="1561273535"/>
        <axId val="536005679"/>
      </barChart>
      <catAx>
        <axId val="156127353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536005679"/>
        <crosses val="autoZero"/>
        <auto val="1"/>
        <lblAlgn val="ctr"/>
        <lblOffset val="100"/>
        <noMultiLvlLbl val="0"/>
      </catAx>
      <valAx>
        <axId val="536005679"/>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56127353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from>
      <col>0</col>
      <colOff>208139</colOff>
      <row>28</row>
      <rowOff>75959</rowOff>
    </from>
    <to>
      <col>11</col>
      <colOff>809450</colOff>
      <row>49</row>
      <rowOff>41868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390758</colOff>
      <row>9</row>
      <rowOff>91531</rowOff>
    </from>
    <to>
      <col>13</col>
      <colOff>628848</colOff>
      <row>23</row>
      <rowOff>161900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646199</colOff>
      <row>1</row>
      <rowOff>5861</rowOff>
    </from>
    <to>
      <col>29</col>
      <colOff>432458</colOff>
      <row>22</row>
      <rowOff>36146</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2.xml><?xml version="1.0" encoding="utf-8"?>
<wsDr xmlns="http://schemas.openxmlformats.org/drawingml/2006/spreadsheetDrawing">
  <twoCellAnchor>
    <from>
      <col>8</col>
      <colOff>177800</colOff>
      <row>2</row>
      <rowOff>171450</rowOff>
    </from>
    <to>
      <col>16</col>
      <colOff>25400</colOff>
      <row>21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J10"/>
  <sheetViews>
    <sheetView tabSelected="1" topLeftCell="A2" workbookViewId="0">
      <selection activeCell="P14" sqref="P14"/>
    </sheetView>
  </sheetViews>
  <sheetFormatPr baseColWidth="10" defaultColWidth="8.83203125" defaultRowHeight="15"/>
  <sheetData>
    <row r="1" ht="31" customHeight="1" thickBot="1" thickTop="1">
      <c r="A1" s="71" t="inlineStr">
        <is>
          <t>XAI Experience Quality (XEQ) Scale</t>
        </is>
      </c>
      <c r="B1" s="72" t="n"/>
      <c r="C1" s="72" t="n"/>
      <c r="D1" s="72" t="n"/>
      <c r="E1" s="72" t="n"/>
      <c r="F1" s="72" t="n"/>
      <c r="G1" s="72" t="n"/>
      <c r="H1" s="72" t="n"/>
      <c r="I1" s="72" t="n"/>
      <c r="J1" s="73" t="n"/>
    </row>
    <row r="2" ht="43" customHeight="1" thickTop="1">
      <c r="A2" s="74" t="inlineStr">
        <is>
          <t>Data Analysis Tool
Author: Craig Pirie</t>
        </is>
      </c>
      <c r="B2" s="75" t="n"/>
      <c r="C2" s="75" t="n"/>
      <c r="D2" s="75" t="n"/>
      <c r="E2" s="75" t="n"/>
      <c r="F2" s="75" t="n"/>
      <c r="G2" s="75" t="n"/>
      <c r="H2" s="75" t="n"/>
      <c r="I2" s="75" t="n"/>
      <c r="J2" s="76" t="n"/>
    </row>
    <row r="3">
      <c r="A3" s="77" t="inlineStr">
        <is>
          <t>This workbook is designed to help you collect, process, and analyse responses to the XEQ questionnaire. It provides a structured way to record participant data, calculate average scores, and visualise results across statements, dimensions, and stakeholder groups.
The tool includes built-in formulas for scoring, confidence intervals, and chart generation. All sheets are interconnected to ensure consistency and minimise manual effort.
Use this tool to explore how different groups perceive AI explanations, assess explanation quality, and identify areas for improvement.</t>
        </is>
      </c>
      <c r="B3" s="78" t="n"/>
      <c r="C3" s="78" t="n"/>
      <c r="D3" s="78" t="n"/>
      <c r="E3" s="78" t="n"/>
      <c r="F3" s="78" t="n"/>
      <c r="G3" s="78" t="n"/>
      <c r="H3" s="78" t="n"/>
      <c r="I3" s="78" t="n"/>
      <c r="J3" s="79" t="n"/>
    </row>
    <row r="4">
      <c r="A4" s="80" t="n"/>
      <c r="J4" s="81" t="n"/>
    </row>
    <row r="5">
      <c r="A5" s="80" t="n"/>
      <c r="J5" s="81" t="n"/>
    </row>
    <row r="6">
      <c r="A6" s="80" t="n"/>
      <c r="J6" s="81" t="n"/>
    </row>
    <row r="7">
      <c r="A7" s="80" t="n"/>
      <c r="J7" s="81" t="n"/>
    </row>
    <row r="8" ht="61" customHeight="1">
      <c r="A8" s="82" t="n"/>
      <c r="B8" s="83" t="n"/>
      <c r="C8" s="83" t="n"/>
      <c r="D8" s="83" t="n"/>
      <c r="E8" s="83" t="n"/>
      <c r="F8" s="83" t="n"/>
      <c r="G8" s="83" t="n"/>
      <c r="H8" s="83" t="n"/>
      <c r="I8" s="83" t="n"/>
      <c r="J8" s="84" t="n"/>
    </row>
    <row r="9" ht="147" customHeight="1" thickBot="1">
      <c r="A9" s="85" t="inlineStr">
        <is>
          <t>Data – Enter participant responses here. This is the only sheet that requires user input.
Stakeholders – Define the stakeholder groups used throughout the workbook.
Transform – Converts response data into a structured format for analysis. Updates automatically.
Confidence Intervals – Calculates confidence intervals for scores per question, factor, and stakeholder.
Results – Displays tables and charts showing mean scores and confidence intervals at multiple levels.
Mapping – Links each question to an XEQ factor and holds values for dropdowns like confidence level. It is hidden to prevent accidental loss.
All sheets work together to provide accurate, dynamic summaries of your XEQ data.</t>
        </is>
      </c>
      <c r="B9" s="86" t="n"/>
      <c r="C9" s="86" t="n"/>
      <c r="D9" s="86" t="n"/>
      <c r="E9" s="86" t="n"/>
      <c r="F9" s="86" t="n"/>
      <c r="G9" s="86" t="n"/>
      <c r="H9" s="86" t="n"/>
      <c r="I9" s="86" t="n"/>
      <c r="J9" s="87" t="n"/>
    </row>
    <row r="10" ht="16" customHeight="1" thickTop="1">
      <c r="A10" s="5" t="n"/>
    </row>
  </sheetData>
  <mergeCells count="4">
    <mergeCell ref="A1:J1"/>
    <mergeCell ref="A9:J9"/>
    <mergeCell ref="A3:J8"/>
    <mergeCell ref="A2:J2"/>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L52"/>
  <sheetViews>
    <sheetView topLeftCell="A2" workbookViewId="0">
      <selection activeCell="A7" sqref="A7"/>
    </sheetView>
  </sheetViews>
  <sheetFormatPr baseColWidth="10" defaultRowHeight="15"/>
  <cols>
    <col width="13.1640625" bestFit="1" customWidth="1" min="1" max="1"/>
  </cols>
  <sheetData>
    <row r="1" ht="208" customHeight="1" thickBot="1" thickTop="1">
      <c r="A1" s="88" t="inlineStr">
        <is>
          <t>Stakeholders
 This table allows you to define and manage the stakeholder groups involved in your data collection and analysis.
✅ How to Use:
Add a new stakeholder type in the next available row under the "Stakeholder" column.
Once added, the stakeholder will automatically propagate across relevant sheets and formulas (e.g., filtering, summaries, charts, and calculations).
⚠️ Notes:
Do not delete existing stakeholders if they are referenced in the data — this may break calculations or remove associated records.
This sheet is linked to formulas across the workbook. Edits here will dynamically affect other areas
.</t>
        </is>
      </c>
      <c r="B1" s="72" t="n"/>
      <c r="C1" s="72" t="n"/>
      <c r="D1" s="72" t="n"/>
      <c r="E1" s="72" t="n"/>
      <c r="F1" s="72" t="n"/>
      <c r="G1" s="72" t="n"/>
      <c r="H1" s="72" t="n"/>
      <c r="I1" s="72" t="n"/>
      <c r="J1" s="72" t="n"/>
      <c r="K1" s="72" t="n"/>
      <c r="L1" s="73" t="n"/>
    </row>
    <row r="2" ht="16" customHeight="1" thickTop="1">
      <c r="A2" s="19" t="inlineStr">
        <is>
          <t>Stakeholders</t>
        </is>
      </c>
    </row>
    <row r="3">
      <c r="A3" s="1" t="inlineStr">
        <is>
          <t>Course Leader</t>
        </is>
      </c>
    </row>
    <row r="4">
      <c r="A4" s="1" t="inlineStr">
        <is>
          <t>Student</t>
        </is>
      </c>
    </row>
    <row r="5">
      <c r="A5" s="1" t="inlineStr">
        <is>
          <t>Admin Assistant</t>
        </is>
      </c>
    </row>
    <row r="6">
      <c r="A6" s="1" t="inlineStr">
        <is>
          <t>Demonstrator</t>
        </is>
      </c>
    </row>
    <row r="7">
      <c r="A7" s="1" t="n"/>
    </row>
    <row r="8">
      <c r="A8" s="1" t="n"/>
    </row>
    <row r="9">
      <c r="A9" s="1" t="n"/>
    </row>
    <row r="10">
      <c r="A10" s="1" t="n"/>
    </row>
    <row r="11">
      <c r="A11" s="1" t="n"/>
    </row>
    <row r="12">
      <c r="A12" s="1" t="n"/>
    </row>
    <row r="13">
      <c r="A13" s="1" t="n"/>
    </row>
    <row r="14">
      <c r="A14" s="1" t="n"/>
    </row>
    <row r="15">
      <c r="A15" s="1" t="n"/>
    </row>
    <row r="16">
      <c r="A16" s="1" t="n"/>
    </row>
    <row r="17">
      <c r="A17" s="1" t="n"/>
    </row>
    <row r="18">
      <c r="A18" s="1" t="n"/>
    </row>
    <row r="19">
      <c r="A19" s="1" t="n"/>
    </row>
    <row r="20">
      <c r="A20" s="1" t="n"/>
    </row>
    <row r="21">
      <c r="A21" s="1" t="n"/>
    </row>
    <row r="22">
      <c r="A22" s="1" t="n"/>
    </row>
    <row r="23">
      <c r="A23" s="1" t="n"/>
    </row>
    <row r="24">
      <c r="A24" s="1" t="n"/>
    </row>
    <row r="25">
      <c r="A25" s="1" t="n"/>
    </row>
    <row r="26">
      <c r="A26" s="1" t="n"/>
    </row>
    <row r="27">
      <c r="A27" s="1" t="n"/>
    </row>
    <row r="28">
      <c r="A28" s="1" t="n"/>
    </row>
    <row r="29">
      <c r="A29" s="1" t="n"/>
    </row>
    <row r="30">
      <c r="A30" s="1" t="n"/>
    </row>
    <row r="31">
      <c r="A31" s="1" t="n"/>
    </row>
    <row r="32">
      <c r="A32" s="1" t="n"/>
    </row>
    <row r="33">
      <c r="A33" s="1" t="n"/>
    </row>
    <row r="34">
      <c r="A34" s="1" t="n"/>
    </row>
    <row r="35">
      <c r="A35" s="1" t="n"/>
    </row>
    <row r="36">
      <c r="A36" s="1" t="n"/>
    </row>
    <row r="37">
      <c r="A37" s="1" t="n"/>
    </row>
    <row r="38">
      <c r="A38" s="1" t="n"/>
    </row>
    <row r="39">
      <c r="A39" s="1" t="n"/>
    </row>
    <row r="40">
      <c r="A40" s="1" t="n"/>
    </row>
    <row r="41">
      <c r="A41" s="1" t="n"/>
    </row>
    <row r="42">
      <c r="A42" s="1" t="n"/>
    </row>
    <row r="43">
      <c r="A43" s="1" t="n"/>
    </row>
    <row r="44">
      <c r="A44" s="1" t="n"/>
    </row>
    <row r="45">
      <c r="A45" s="1" t="n"/>
    </row>
    <row r="46">
      <c r="A46" s="1" t="n"/>
    </row>
    <row r="47">
      <c r="A47" s="1" t="n"/>
    </row>
    <row r="48">
      <c r="A48" s="1" t="n"/>
    </row>
    <row r="49">
      <c r="A49" s="1" t="n"/>
    </row>
    <row r="50">
      <c r="A50" s="1" t="n"/>
    </row>
    <row r="51">
      <c r="A51" s="1" t="n"/>
    </row>
    <row r="52">
      <c r="A52" s="1" t="n"/>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3">
    <outlinePr summaryBelow="1" summaryRight="1"/>
    <pageSetUpPr/>
  </sheetPr>
  <dimension ref="A1:S1004"/>
  <sheetViews>
    <sheetView topLeftCell="A65" workbookViewId="0">
      <selection activeCell="A4" sqref="A4:S258"/>
    </sheetView>
  </sheetViews>
  <sheetFormatPr baseColWidth="10" defaultRowHeight="15"/>
  <cols>
    <col width="14.5" bestFit="1" customWidth="1" min="1" max="1"/>
  </cols>
  <sheetData>
    <row r="1" ht="152" customHeight="1" thickBot="1" thickTop="1">
      <c r="A1" s="88" t="inlineStr">
        <is>
          <t xml:space="preserve">Add your data here! 
Please enter participant responses according to the printed questionnaire. Each item should be rated on a 1 to 5 scale, where: 1 = Strong Disagreement and 5 = Strong Agreement with the statement.
If a participant skips a question, leave the cell blank. Only numeric values from 1 to 5 are accepted — avoid symbols, text, or special characters, as these will disrupt the analysis. Stakeholders can be selected from a dropdown based on the list in the Stakeholders sheet.
You may enter responses for up to 1000 participants. If you require more capacity, please extend the spreadsheet formulas accordingly.
This is the only sheet that requires user input. A small set of sample data is included to demonstrate the format — feel free to delete it before entering real responses.
</t>
        </is>
      </c>
      <c r="B1" s="72" t="n"/>
      <c r="C1" s="72" t="n"/>
      <c r="D1" s="72" t="n"/>
      <c r="E1" s="72" t="n"/>
      <c r="F1" s="72" t="n"/>
      <c r="G1" s="72" t="n"/>
      <c r="H1" s="72" t="n"/>
      <c r="I1" s="72" t="n"/>
      <c r="J1" s="72" t="n"/>
      <c r="K1" s="72" t="n"/>
      <c r="L1" s="72" t="n"/>
      <c r="M1" s="72" t="n"/>
      <c r="N1" s="72" t="n"/>
      <c r="O1" s="72" t="n"/>
      <c r="P1" s="72" t="n"/>
      <c r="Q1" s="72" t="n"/>
      <c r="R1" s="72" t="n"/>
      <c r="S1" s="73" t="n"/>
    </row>
    <row r="2" ht="16" customHeight="1" thickTop="1">
      <c r="A2" s="40" t="inlineStr">
        <is>
          <t>Stakeholder Type</t>
        </is>
      </c>
      <c r="B2" s="89" t="inlineStr">
        <is>
          <t>Items</t>
        </is>
      </c>
      <c r="C2" s="83" t="n"/>
      <c r="D2" s="83" t="n"/>
      <c r="E2" s="83" t="n"/>
      <c r="F2" s="83" t="n"/>
      <c r="G2" s="83" t="n"/>
      <c r="H2" s="83" t="n"/>
      <c r="I2" s="83" t="n"/>
      <c r="J2" s="83" t="n"/>
      <c r="K2" s="83" t="n"/>
      <c r="L2" s="83" t="n"/>
      <c r="M2" s="83" t="n"/>
      <c r="N2" s="83" t="n"/>
      <c r="O2" s="83" t="n"/>
      <c r="P2" s="83" t="n"/>
      <c r="Q2" s="83" t="n"/>
      <c r="R2" s="83" t="n"/>
      <c r="S2" s="90" t="n"/>
    </row>
    <row r="3">
      <c r="A3" s="91" t="n"/>
      <c r="B3" s="2" t="n">
        <v>1</v>
      </c>
      <c r="C3" s="2" t="n">
        <v>2</v>
      </c>
      <c r="D3" s="2" t="n">
        <v>3</v>
      </c>
      <c r="E3" s="2" t="n">
        <v>4</v>
      </c>
      <c r="F3" s="2" t="n">
        <v>5</v>
      </c>
      <c r="G3" s="2" t="n">
        <v>6</v>
      </c>
      <c r="H3" s="2" t="n">
        <v>7</v>
      </c>
      <c r="I3" s="2" t="n">
        <v>8</v>
      </c>
      <c r="J3" s="2" t="n">
        <v>9</v>
      </c>
      <c r="K3" s="2" t="n">
        <v>10</v>
      </c>
      <c r="L3" s="2" t="n">
        <v>11</v>
      </c>
      <c r="M3" s="2" t="n">
        <v>12</v>
      </c>
      <c r="N3" s="2" t="n">
        <v>13</v>
      </c>
      <c r="O3" s="2" t="n">
        <v>14</v>
      </c>
      <c r="P3" s="2" t="n">
        <v>15</v>
      </c>
      <c r="Q3" s="2" t="n">
        <v>16</v>
      </c>
      <c r="R3" s="2" t="n">
        <v>17</v>
      </c>
      <c r="S3" s="2" t="n">
        <v>18</v>
      </c>
    </row>
    <row r="4">
      <c r="A4" t="inlineStr">
        <is>
          <t>Demonstrator</t>
        </is>
      </c>
      <c r="B4" s="1" t="n">
        <v>5</v>
      </c>
      <c r="C4" s="1" t="n">
        <v>5</v>
      </c>
      <c r="D4" s="1" t="n">
        <v>5</v>
      </c>
      <c r="E4" s="1" t="n">
        <v>5</v>
      </c>
      <c r="F4" s="1" t="n">
        <v>3</v>
      </c>
      <c r="G4" s="1" t="n">
        <v>4</v>
      </c>
      <c r="H4" s="1" t="n">
        <v>5</v>
      </c>
      <c r="I4" s="1" t="n">
        <v>4</v>
      </c>
      <c r="J4" s="1" t="n">
        <v>4</v>
      </c>
      <c r="K4" s="1" t="n">
        <v>5</v>
      </c>
      <c r="L4" s="1" t="n">
        <v>3</v>
      </c>
      <c r="M4" s="1" t="n">
        <v>3</v>
      </c>
      <c r="N4" s="1" t="n">
        <v>4</v>
      </c>
      <c r="O4" s="1" t="n">
        <v>1</v>
      </c>
      <c r="P4" s="1" t="n">
        <v>1</v>
      </c>
      <c r="Q4" s="1" t="n">
        <v>2</v>
      </c>
      <c r="R4" s="1" t="n">
        <v>2</v>
      </c>
      <c r="S4" s="1" t="n">
        <v>3</v>
      </c>
    </row>
    <row r="5">
      <c r="A5" t="inlineStr">
        <is>
          <t>Demonstrator</t>
        </is>
      </c>
      <c r="B5" s="1" t="n">
        <v>4</v>
      </c>
      <c r="C5" s="1" t="n">
        <v>3</v>
      </c>
      <c r="D5" s="1" t="n">
        <v>5</v>
      </c>
      <c r="E5" s="1" t="n">
        <v>3</v>
      </c>
      <c r="F5" s="1" t="n">
        <v>4</v>
      </c>
      <c r="G5" s="1" t="n">
        <v>3</v>
      </c>
      <c r="H5" s="1" t="n">
        <v>2</v>
      </c>
      <c r="I5" s="1" t="n">
        <v>4</v>
      </c>
      <c r="J5" s="1" t="n">
        <v>3</v>
      </c>
      <c r="K5" s="1" t="n">
        <v>4</v>
      </c>
      <c r="L5" s="1" t="n">
        <v>2</v>
      </c>
      <c r="M5" s="1" t="n">
        <v>4</v>
      </c>
      <c r="N5" s="1" t="n">
        <v>1</v>
      </c>
      <c r="O5" s="1" t="n">
        <v>4</v>
      </c>
      <c r="P5" s="1" t="n">
        <v>3</v>
      </c>
      <c r="Q5" s="1" t="n">
        <v>2</v>
      </c>
      <c r="R5" s="1" t="n">
        <v>3</v>
      </c>
      <c r="S5" s="1" t="n">
        <v>2</v>
      </c>
    </row>
    <row r="6">
      <c r="A6" t="inlineStr">
        <is>
          <t>Student</t>
        </is>
      </c>
      <c r="B6" s="1" t="n">
        <v>5</v>
      </c>
      <c r="C6" s="1" t="n">
        <v>2</v>
      </c>
      <c r="D6" s="1" t="n">
        <v>4</v>
      </c>
      <c r="E6" s="1" t="n">
        <v>4</v>
      </c>
      <c r="F6" s="1" t="n">
        <v>5</v>
      </c>
      <c r="G6" s="1" t="n">
        <v>4</v>
      </c>
      <c r="H6" s="1" t="n">
        <v>5</v>
      </c>
      <c r="I6" s="1" t="n">
        <v>4</v>
      </c>
      <c r="J6" s="1" t="n">
        <v>2</v>
      </c>
      <c r="K6" s="1" t="n">
        <v>3</v>
      </c>
      <c r="L6" s="1" t="n">
        <v>3</v>
      </c>
      <c r="M6" s="1" t="n">
        <v>5</v>
      </c>
      <c r="N6" s="1" t="n">
        <v>3</v>
      </c>
      <c r="O6" s="1" t="n">
        <v>3</v>
      </c>
      <c r="P6" s="1" t="n">
        <v>3</v>
      </c>
      <c r="Q6" s="1" t="n">
        <v>3</v>
      </c>
      <c r="R6" s="1" t="n">
        <v>3</v>
      </c>
      <c r="S6" s="1" t="n">
        <v>4</v>
      </c>
    </row>
    <row r="7">
      <c r="A7" t="inlineStr">
        <is>
          <t>Course Leader</t>
        </is>
      </c>
      <c r="B7" s="1" t="n">
        <v>3</v>
      </c>
      <c r="C7" s="1" t="n">
        <v>5</v>
      </c>
      <c r="D7" s="1" t="n">
        <v>1</v>
      </c>
      <c r="E7" s="1" t="n">
        <v>2</v>
      </c>
      <c r="F7" s="1" t="n">
        <v>2</v>
      </c>
      <c r="G7" s="1" t="n">
        <v>5</v>
      </c>
      <c r="H7" s="1" t="n">
        <v>5</v>
      </c>
      <c r="I7" s="1" t="n">
        <v>5</v>
      </c>
      <c r="J7" s="1" t="n">
        <v>3</v>
      </c>
      <c r="K7" s="1" t="n">
        <v>3</v>
      </c>
      <c r="L7" s="1" t="n">
        <v>5</v>
      </c>
      <c r="M7" s="1" t="n">
        <v>5</v>
      </c>
      <c r="N7" s="1" t="n">
        <v>4</v>
      </c>
      <c r="O7" s="1" t="n">
        <v>5</v>
      </c>
      <c r="P7" s="1" t="n">
        <v>4</v>
      </c>
      <c r="Q7" s="1" t="n">
        <v>4</v>
      </c>
      <c r="R7" s="1" t="n">
        <v>5</v>
      </c>
      <c r="S7" s="1" t="n">
        <v>5</v>
      </c>
    </row>
    <row r="8">
      <c r="A8" t="inlineStr">
        <is>
          <t>Course Leader</t>
        </is>
      </c>
      <c r="B8" s="1" t="n">
        <v>3</v>
      </c>
      <c r="C8" s="1" t="n">
        <v>5</v>
      </c>
      <c r="D8" s="1" t="n">
        <v>1</v>
      </c>
      <c r="E8" s="1" t="n">
        <v>3</v>
      </c>
      <c r="F8" s="1" t="n">
        <v>3</v>
      </c>
      <c r="G8" s="1" t="n">
        <v>5</v>
      </c>
      <c r="H8" s="1" t="n">
        <v>5</v>
      </c>
      <c r="I8" s="1" t="n">
        <v>3</v>
      </c>
      <c r="J8" s="1" t="n">
        <v>4</v>
      </c>
      <c r="K8" s="1" t="n">
        <v>5</v>
      </c>
      <c r="L8" s="1" t="n">
        <v>5</v>
      </c>
      <c r="M8" s="1" t="n">
        <v>3</v>
      </c>
      <c r="N8" s="1" t="n">
        <v>3</v>
      </c>
      <c r="O8" s="1" t="n">
        <v>3</v>
      </c>
      <c r="P8" s="1" t="n">
        <v>5</v>
      </c>
      <c r="Q8" s="1" t="n">
        <v>5</v>
      </c>
      <c r="R8" s="1" t="n">
        <v>4</v>
      </c>
      <c r="S8" s="1" t="n">
        <v>4</v>
      </c>
    </row>
    <row r="9">
      <c r="A9" t="inlineStr">
        <is>
          <t>Course Leader</t>
        </is>
      </c>
      <c r="B9" s="1" t="n">
        <v>4</v>
      </c>
      <c r="C9" s="1" t="n">
        <v>4</v>
      </c>
      <c r="D9" s="1" t="n">
        <v>1</v>
      </c>
      <c r="E9" s="1" t="n">
        <v>2</v>
      </c>
      <c r="F9" s="1" t="n">
        <v>4</v>
      </c>
      <c r="G9" s="1" t="n">
        <v>5</v>
      </c>
      <c r="H9" s="1" t="n">
        <v>5</v>
      </c>
      <c r="I9" s="1" t="n">
        <v>5</v>
      </c>
      <c r="J9" s="1" t="n">
        <v>5</v>
      </c>
      <c r="K9" s="1" t="n">
        <v>4</v>
      </c>
      <c r="L9" s="1" t="n">
        <v>4</v>
      </c>
      <c r="M9" s="1" t="n">
        <v>3</v>
      </c>
      <c r="N9" s="1" t="n">
        <v>4</v>
      </c>
      <c r="O9" s="1" t="n">
        <v>3</v>
      </c>
      <c r="P9" s="1" t="n">
        <v>5</v>
      </c>
      <c r="Q9" s="1" t="n">
        <v>5</v>
      </c>
      <c r="R9" s="1" t="n">
        <v>5</v>
      </c>
      <c r="S9" s="1" t="n">
        <v>3</v>
      </c>
    </row>
    <row r="10">
      <c r="A10" t="inlineStr">
        <is>
          <t>Demonstrator</t>
        </is>
      </c>
      <c r="B10" s="1" t="n">
        <v>4</v>
      </c>
      <c r="C10" s="1" t="n">
        <v>5</v>
      </c>
      <c r="D10" s="1" t="n">
        <v>1</v>
      </c>
      <c r="E10" s="1" t="n">
        <v>5</v>
      </c>
      <c r="F10" s="1" t="n">
        <v>3</v>
      </c>
      <c r="G10" s="1" t="n">
        <v>5</v>
      </c>
      <c r="H10" s="1" t="n">
        <v>4</v>
      </c>
      <c r="I10" s="1" t="n">
        <v>4</v>
      </c>
      <c r="J10" s="1" t="n">
        <v>4</v>
      </c>
      <c r="K10" s="1" t="n">
        <v>2</v>
      </c>
      <c r="L10" s="1" t="n">
        <v>5</v>
      </c>
      <c r="M10" s="1" t="n">
        <v>5</v>
      </c>
      <c r="N10" s="1" t="n">
        <v>5</v>
      </c>
      <c r="O10" s="1" t="n">
        <v>1</v>
      </c>
      <c r="P10" s="1" t="n">
        <v>5</v>
      </c>
      <c r="Q10" s="1" t="n">
        <v>1</v>
      </c>
      <c r="R10" s="1" t="n">
        <v>5</v>
      </c>
      <c r="S10" s="1" t="n">
        <v>5</v>
      </c>
    </row>
    <row r="11">
      <c r="A11" t="inlineStr">
        <is>
          <t>Demonstrator</t>
        </is>
      </c>
      <c r="B11" s="1" t="n">
        <v>2</v>
      </c>
      <c r="C11" s="1" t="n">
        <v>3</v>
      </c>
      <c r="D11" s="1" t="n">
        <v>5</v>
      </c>
      <c r="E11" s="1" t="n">
        <v>2</v>
      </c>
      <c r="F11" s="1" t="n">
        <v>2</v>
      </c>
      <c r="G11" s="1" t="n">
        <v>3</v>
      </c>
      <c r="H11" s="1" t="n">
        <v>3</v>
      </c>
      <c r="I11" s="1" t="n">
        <v>3</v>
      </c>
      <c r="J11" s="1" t="n">
        <v>2</v>
      </c>
      <c r="K11" s="1" t="n">
        <v>5</v>
      </c>
      <c r="L11" s="1" t="n">
        <v>2</v>
      </c>
      <c r="M11" s="1" t="n">
        <v>3</v>
      </c>
      <c r="N11" s="1" t="n">
        <v>4</v>
      </c>
      <c r="O11" s="1" t="n">
        <v>3</v>
      </c>
      <c r="P11" s="1" t="n">
        <v>4</v>
      </c>
      <c r="Q11" s="1" t="n">
        <v>3</v>
      </c>
      <c r="R11" s="1" t="n">
        <v>1</v>
      </c>
      <c r="S11" s="1" t="n">
        <v>3</v>
      </c>
    </row>
    <row r="12">
      <c r="A12" t="inlineStr">
        <is>
          <t>Admin Assistant</t>
        </is>
      </c>
      <c r="B12" s="1" t="n">
        <v>2</v>
      </c>
      <c r="C12" s="1" t="n">
        <v>3</v>
      </c>
      <c r="D12" s="1" t="n">
        <v>1</v>
      </c>
      <c r="E12" s="1" t="n">
        <v>1</v>
      </c>
      <c r="F12" s="1" t="n">
        <v>3</v>
      </c>
      <c r="G12" s="1" t="n">
        <v>3</v>
      </c>
      <c r="H12" s="1" t="n">
        <v>1</v>
      </c>
      <c r="I12" s="1" t="n">
        <v>3</v>
      </c>
      <c r="J12" s="1" t="n">
        <v>2</v>
      </c>
      <c r="K12" s="1" t="n">
        <v>2</v>
      </c>
      <c r="L12" s="1" t="n">
        <v>3</v>
      </c>
      <c r="M12" s="1" t="n">
        <v>1</v>
      </c>
      <c r="N12" s="1" t="n">
        <v>4</v>
      </c>
      <c r="O12" s="1" t="n">
        <v>1</v>
      </c>
      <c r="P12" s="1" t="n">
        <v>1</v>
      </c>
      <c r="Q12" s="1" t="n">
        <v>4</v>
      </c>
      <c r="R12" s="1" t="n">
        <v>2</v>
      </c>
      <c r="S12" s="1" t="n">
        <v>4</v>
      </c>
    </row>
    <row r="13">
      <c r="A13" t="inlineStr">
        <is>
          <t>Demonstrator</t>
        </is>
      </c>
      <c r="B13" s="1" t="n">
        <v>4</v>
      </c>
      <c r="C13" s="1" t="n">
        <v>2</v>
      </c>
      <c r="D13" s="1" t="n">
        <v>4</v>
      </c>
      <c r="E13" s="1" t="n">
        <v>5</v>
      </c>
      <c r="F13" s="1" t="n">
        <v>5</v>
      </c>
      <c r="G13" s="1" t="n">
        <v>5</v>
      </c>
      <c r="H13" s="1" t="n">
        <v>4</v>
      </c>
      <c r="I13" s="1" t="n">
        <v>2</v>
      </c>
      <c r="J13" s="1" t="n">
        <v>2</v>
      </c>
      <c r="K13" s="1" t="n">
        <v>3</v>
      </c>
      <c r="L13" s="1" t="n">
        <v>4</v>
      </c>
      <c r="M13" s="1" t="n">
        <v>2</v>
      </c>
      <c r="N13" s="1" t="n">
        <v>3</v>
      </c>
      <c r="O13" s="1" t="n">
        <v>3</v>
      </c>
      <c r="P13" s="1" t="n">
        <v>3</v>
      </c>
      <c r="Q13" s="1" t="n">
        <v>5</v>
      </c>
      <c r="R13" s="1" t="n">
        <v>2</v>
      </c>
      <c r="S13" s="1" t="n">
        <v>5</v>
      </c>
    </row>
    <row r="14">
      <c r="A14" t="inlineStr">
        <is>
          <t>Demonstrator</t>
        </is>
      </c>
      <c r="B14" s="1" t="n">
        <v>4</v>
      </c>
      <c r="C14" s="1" t="n">
        <v>4</v>
      </c>
      <c r="D14" s="1" t="n">
        <v>4</v>
      </c>
      <c r="E14" s="1" t="n">
        <v>4</v>
      </c>
      <c r="F14" s="1" t="n">
        <v>5</v>
      </c>
      <c r="G14" s="1" t="n">
        <v>5</v>
      </c>
      <c r="H14" s="1" t="n">
        <v>3</v>
      </c>
      <c r="I14" s="1" t="n">
        <v>4</v>
      </c>
      <c r="J14" s="1" t="n">
        <v>3</v>
      </c>
      <c r="K14" s="1" t="n">
        <v>1</v>
      </c>
      <c r="L14" s="1" t="n">
        <v>4</v>
      </c>
      <c r="M14" s="1" t="n">
        <v>3</v>
      </c>
      <c r="N14" s="1" t="n">
        <v>4</v>
      </c>
      <c r="O14" s="1" t="n">
        <v>1</v>
      </c>
      <c r="P14" s="1" t="n">
        <v>3</v>
      </c>
      <c r="Q14" s="1" t="n">
        <v>4</v>
      </c>
      <c r="R14" s="1" t="n">
        <v>1</v>
      </c>
      <c r="S14" s="1" t="n">
        <v>3</v>
      </c>
    </row>
    <row r="15">
      <c r="A15" t="inlineStr">
        <is>
          <t>Demonstrator</t>
        </is>
      </c>
      <c r="B15" s="1" t="n">
        <v>5</v>
      </c>
      <c r="C15" s="1" t="n">
        <v>3</v>
      </c>
      <c r="D15" s="1" t="n">
        <v>3</v>
      </c>
      <c r="E15" s="1" t="n">
        <v>5</v>
      </c>
      <c r="F15" s="1" t="n">
        <v>5</v>
      </c>
      <c r="G15" s="1" t="n">
        <v>5</v>
      </c>
      <c r="H15" s="1" t="n">
        <v>2</v>
      </c>
      <c r="I15" s="1" t="n">
        <v>3</v>
      </c>
      <c r="J15" s="1" t="n">
        <v>5</v>
      </c>
      <c r="K15" s="1" t="n">
        <v>4</v>
      </c>
      <c r="L15" s="1" t="n">
        <v>4</v>
      </c>
      <c r="M15" s="1" t="n">
        <v>5</v>
      </c>
      <c r="N15" s="1" t="n">
        <v>4</v>
      </c>
      <c r="O15" s="1" t="n">
        <v>5</v>
      </c>
      <c r="P15" s="1" t="n">
        <v>3</v>
      </c>
      <c r="Q15" s="1" t="n">
        <v>5</v>
      </c>
      <c r="R15" s="1" t="n">
        <v>4</v>
      </c>
      <c r="S15" s="1" t="n">
        <v>4</v>
      </c>
    </row>
    <row r="16">
      <c r="A16" t="inlineStr">
        <is>
          <t>Course Leader</t>
        </is>
      </c>
      <c r="B16" s="1" t="n">
        <v>3</v>
      </c>
      <c r="C16" s="1" t="n">
        <v>4</v>
      </c>
      <c r="D16" s="1" t="n">
        <v>3</v>
      </c>
      <c r="E16" s="1" t="n">
        <v>3</v>
      </c>
      <c r="F16" s="1" t="n">
        <v>5</v>
      </c>
      <c r="G16" s="1" t="n">
        <v>2</v>
      </c>
      <c r="H16" s="1" t="n">
        <v>5</v>
      </c>
      <c r="I16" s="1" t="n">
        <v>3</v>
      </c>
      <c r="J16" s="1" t="n">
        <v>5</v>
      </c>
      <c r="K16" s="1" t="n">
        <v>5</v>
      </c>
      <c r="L16" s="1" t="n">
        <v>5</v>
      </c>
      <c r="M16" s="1" t="n">
        <v>4</v>
      </c>
      <c r="N16" s="1" t="n">
        <v>3</v>
      </c>
      <c r="O16" s="1" t="n">
        <v>5</v>
      </c>
      <c r="P16" s="1" t="n">
        <v>4</v>
      </c>
      <c r="Q16" s="1" t="n">
        <v>5</v>
      </c>
      <c r="R16" s="1" t="n">
        <v>4</v>
      </c>
      <c r="S16" s="1" t="n">
        <v>2</v>
      </c>
    </row>
    <row r="17">
      <c r="A17" t="inlineStr">
        <is>
          <t>Course Leader</t>
        </is>
      </c>
      <c r="B17" s="1" t="n">
        <v>5</v>
      </c>
      <c r="C17" s="1" t="n">
        <v>3</v>
      </c>
      <c r="D17" s="1" t="n">
        <v>2</v>
      </c>
      <c r="E17" s="1" t="n">
        <v>2</v>
      </c>
      <c r="F17" s="1" t="n">
        <v>3</v>
      </c>
      <c r="G17" s="1" t="n">
        <v>5</v>
      </c>
      <c r="H17" s="1" t="n">
        <v>5</v>
      </c>
      <c r="I17" s="1" t="n">
        <v>5</v>
      </c>
      <c r="J17" s="1" t="n">
        <v>5</v>
      </c>
      <c r="K17" s="1" t="n">
        <v>5</v>
      </c>
      <c r="L17" s="1" t="n">
        <v>5</v>
      </c>
      <c r="M17" s="1" t="n">
        <v>3</v>
      </c>
      <c r="N17" s="1" t="n">
        <v>5</v>
      </c>
      <c r="O17" s="1" t="n">
        <v>4</v>
      </c>
      <c r="P17" s="1" t="n">
        <v>5</v>
      </c>
      <c r="Q17" s="1" t="n">
        <v>4</v>
      </c>
      <c r="R17" s="1" t="n">
        <v>2</v>
      </c>
      <c r="S17" s="1" t="n">
        <v>4</v>
      </c>
    </row>
    <row r="18">
      <c r="A18" t="inlineStr">
        <is>
          <t>Demonstrator</t>
        </is>
      </c>
      <c r="B18" s="1" t="n">
        <v>5</v>
      </c>
      <c r="C18" s="1" t="n">
        <v>5</v>
      </c>
      <c r="D18" s="1" t="n">
        <v>1</v>
      </c>
      <c r="E18" s="1" t="n">
        <v>4</v>
      </c>
      <c r="F18" s="1" t="n">
        <v>4</v>
      </c>
      <c r="G18" s="1" t="n">
        <v>2</v>
      </c>
      <c r="H18" s="1" t="n">
        <v>4</v>
      </c>
      <c r="I18" s="1" t="n">
        <v>5</v>
      </c>
      <c r="J18" s="1" t="n">
        <v>3</v>
      </c>
      <c r="K18" s="1" t="n">
        <v>3</v>
      </c>
      <c r="L18" s="1" t="n">
        <v>2</v>
      </c>
      <c r="M18" s="1" t="n">
        <v>3</v>
      </c>
      <c r="N18" s="1" t="n">
        <v>3</v>
      </c>
      <c r="O18" s="1" t="n">
        <v>3</v>
      </c>
      <c r="P18" s="1" t="n">
        <v>5</v>
      </c>
      <c r="Q18" s="1" t="n">
        <v>1</v>
      </c>
      <c r="R18" s="1" t="n">
        <v>4</v>
      </c>
      <c r="S18" s="1" t="n">
        <v>3</v>
      </c>
    </row>
    <row r="19">
      <c r="A19" t="inlineStr">
        <is>
          <t>Course Leader</t>
        </is>
      </c>
      <c r="B19" s="1" t="n">
        <v>3</v>
      </c>
      <c r="C19" s="1" t="n">
        <v>3</v>
      </c>
      <c r="D19" s="1" t="n">
        <v>3</v>
      </c>
      <c r="E19" s="1" t="n">
        <v>2</v>
      </c>
      <c r="F19" s="1" t="n">
        <v>3</v>
      </c>
      <c r="G19" s="1" t="n">
        <v>4</v>
      </c>
      <c r="H19" s="1" t="n">
        <v>5</v>
      </c>
      <c r="I19" s="1" t="n">
        <v>3</v>
      </c>
      <c r="J19" s="1" t="n">
        <v>4</v>
      </c>
      <c r="K19" s="1" t="n">
        <v>5</v>
      </c>
      <c r="L19" s="1" t="n">
        <v>5</v>
      </c>
      <c r="M19" s="1" t="n">
        <v>5</v>
      </c>
      <c r="N19" s="1" t="n">
        <v>5</v>
      </c>
      <c r="O19" s="1" t="n">
        <v>3</v>
      </c>
      <c r="P19" s="1" t="n">
        <v>5</v>
      </c>
      <c r="Q19" s="1" t="n">
        <v>2</v>
      </c>
      <c r="R19" s="1" t="n">
        <v>3</v>
      </c>
      <c r="S19" s="1" t="n">
        <v>4</v>
      </c>
    </row>
    <row r="20">
      <c r="A20" t="inlineStr">
        <is>
          <t>Admin Assistant</t>
        </is>
      </c>
      <c r="B20" s="1" t="n">
        <v>2</v>
      </c>
      <c r="C20" s="1" t="n">
        <v>1</v>
      </c>
      <c r="D20" s="1" t="n">
        <v>2</v>
      </c>
      <c r="E20" s="1" t="n">
        <v>2</v>
      </c>
      <c r="F20" s="1" t="n">
        <v>1</v>
      </c>
      <c r="G20" s="1" t="n">
        <v>4</v>
      </c>
      <c r="H20" s="1" t="n">
        <v>2</v>
      </c>
      <c r="I20" s="1" t="n">
        <v>1</v>
      </c>
      <c r="J20" s="1" t="n">
        <v>3</v>
      </c>
      <c r="K20" s="1" t="n">
        <v>2</v>
      </c>
      <c r="L20" s="1" t="n">
        <v>2</v>
      </c>
      <c r="M20" s="1" t="n">
        <v>2</v>
      </c>
      <c r="N20" s="1" t="n">
        <v>2</v>
      </c>
      <c r="O20" s="1" t="n">
        <v>1</v>
      </c>
      <c r="P20" s="1" t="n">
        <v>4</v>
      </c>
      <c r="Q20" s="1" t="n">
        <v>3</v>
      </c>
      <c r="R20" s="1" t="n">
        <v>3</v>
      </c>
      <c r="S20" s="1" t="n">
        <v>3</v>
      </c>
    </row>
    <row r="21">
      <c r="A21" t="inlineStr">
        <is>
          <t>Course Leader</t>
        </is>
      </c>
      <c r="B21" s="1" t="n">
        <v>5</v>
      </c>
      <c r="C21" s="1" t="n">
        <v>2</v>
      </c>
      <c r="D21" s="1" t="n">
        <v>3</v>
      </c>
      <c r="E21" s="1" t="n">
        <v>3</v>
      </c>
      <c r="F21" s="1" t="n">
        <v>4</v>
      </c>
      <c r="G21" s="1" t="n">
        <v>5</v>
      </c>
      <c r="H21" s="1" t="n">
        <v>5</v>
      </c>
      <c r="I21" s="1" t="n">
        <v>5</v>
      </c>
      <c r="J21" s="1" t="n">
        <v>5</v>
      </c>
      <c r="K21" s="1" t="n">
        <v>4</v>
      </c>
      <c r="L21" s="1" t="n">
        <v>5</v>
      </c>
      <c r="M21" s="1" t="n">
        <v>4</v>
      </c>
      <c r="N21" s="1" t="n">
        <v>3</v>
      </c>
      <c r="O21" s="1" t="n">
        <v>5</v>
      </c>
      <c r="P21" s="1" t="n">
        <v>3</v>
      </c>
      <c r="Q21" s="1" t="n">
        <v>5</v>
      </c>
      <c r="R21" s="1" t="n">
        <v>2</v>
      </c>
      <c r="S21" s="1" t="n">
        <v>5</v>
      </c>
    </row>
    <row r="22">
      <c r="A22" t="inlineStr">
        <is>
          <t>Admin Assistant</t>
        </is>
      </c>
      <c r="B22" s="1" t="n">
        <v>1</v>
      </c>
      <c r="C22" s="1" t="n">
        <v>1</v>
      </c>
      <c r="D22" s="1" t="n">
        <v>3</v>
      </c>
      <c r="E22" s="1" t="n">
        <v>3</v>
      </c>
      <c r="F22" s="1" t="n">
        <v>2</v>
      </c>
      <c r="G22" s="1" t="n">
        <v>3</v>
      </c>
      <c r="H22" s="1" t="n">
        <v>3</v>
      </c>
      <c r="I22" s="1" t="n">
        <v>1</v>
      </c>
      <c r="J22" s="1" t="n">
        <v>1</v>
      </c>
      <c r="K22" s="1" t="n">
        <v>1</v>
      </c>
      <c r="L22" s="1" t="n">
        <v>2</v>
      </c>
      <c r="M22" s="1" t="n">
        <v>2</v>
      </c>
      <c r="N22" s="1" t="n">
        <v>1</v>
      </c>
      <c r="O22" s="1" t="n">
        <v>1</v>
      </c>
      <c r="P22" s="1" t="n">
        <v>1</v>
      </c>
      <c r="Q22" s="1" t="n">
        <v>1</v>
      </c>
      <c r="R22" s="1" t="n">
        <v>2</v>
      </c>
      <c r="S22" s="1" t="n">
        <v>3</v>
      </c>
    </row>
    <row r="23">
      <c r="A23" t="inlineStr">
        <is>
          <t>Student</t>
        </is>
      </c>
      <c r="B23" s="1" t="n">
        <v>4</v>
      </c>
      <c r="C23" s="1" t="n">
        <v>3</v>
      </c>
      <c r="D23" s="1" t="n">
        <v>5</v>
      </c>
      <c r="E23" s="1" t="n">
        <v>5</v>
      </c>
      <c r="F23" s="1" t="n">
        <v>5</v>
      </c>
      <c r="G23" s="1" t="n">
        <v>3</v>
      </c>
      <c r="H23" s="1" t="n">
        <v>4</v>
      </c>
      <c r="I23" s="1" t="n">
        <v>5</v>
      </c>
      <c r="J23" s="1" t="n">
        <v>3</v>
      </c>
      <c r="K23" s="1" t="n">
        <v>4</v>
      </c>
      <c r="L23" s="1" t="n">
        <v>4</v>
      </c>
      <c r="M23" s="1" t="n">
        <v>3</v>
      </c>
      <c r="N23" s="1" t="n">
        <v>4</v>
      </c>
      <c r="O23" s="1" t="n">
        <v>3</v>
      </c>
      <c r="P23" s="1" t="n">
        <v>4</v>
      </c>
      <c r="Q23" s="1" t="n">
        <v>5</v>
      </c>
      <c r="R23" s="1" t="n">
        <v>4</v>
      </c>
      <c r="S23" s="1" t="n">
        <v>2</v>
      </c>
    </row>
    <row r="24">
      <c r="A24" t="inlineStr">
        <is>
          <t>Demonstrator</t>
        </is>
      </c>
      <c r="B24" s="1" t="n">
        <v>5</v>
      </c>
      <c r="C24" s="1" t="n">
        <v>5</v>
      </c>
      <c r="D24" s="1" t="n">
        <v>3</v>
      </c>
      <c r="E24" s="1" t="n">
        <v>5</v>
      </c>
      <c r="F24" s="1" t="n">
        <v>5</v>
      </c>
      <c r="G24" s="1" t="n">
        <v>3</v>
      </c>
      <c r="H24" s="1" t="n">
        <v>4</v>
      </c>
      <c r="I24" s="1" t="n">
        <v>4</v>
      </c>
      <c r="J24" s="1" t="n">
        <v>4</v>
      </c>
      <c r="K24" s="1" t="n">
        <v>3</v>
      </c>
      <c r="L24" s="1" t="n">
        <v>4</v>
      </c>
      <c r="M24" s="1" t="n">
        <v>3</v>
      </c>
      <c r="N24" s="1" t="n">
        <v>3</v>
      </c>
      <c r="O24" s="1" t="n">
        <v>4</v>
      </c>
      <c r="P24" s="1" t="n">
        <v>5</v>
      </c>
      <c r="Q24" s="1" t="n">
        <v>1</v>
      </c>
      <c r="R24" s="1" t="n">
        <v>3</v>
      </c>
      <c r="S24" s="1" t="n">
        <v>3</v>
      </c>
    </row>
    <row r="25">
      <c r="A25" t="inlineStr">
        <is>
          <t>Course Leader</t>
        </is>
      </c>
      <c r="B25" s="1" t="n">
        <v>5</v>
      </c>
      <c r="C25" s="1" t="n">
        <v>3</v>
      </c>
      <c r="D25" s="1" t="n">
        <v>1</v>
      </c>
      <c r="E25" s="1" t="n">
        <v>2</v>
      </c>
      <c r="F25" s="1" t="n">
        <v>2</v>
      </c>
      <c r="G25" s="1" t="n">
        <v>3</v>
      </c>
      <c r="H25" s="1" t="n">
        <v>3</v>
      </c>
      <c r="I25" s="1" t="n">
        <v>4</v>
      </c>
      <c r="J25" s="1" t="n">
        <v>4</v>
      </c>
      <c r="K25" s="1" t="n">
        <v>5</v>
      </c>
      <c r="L25" s="1" t="n">
        <v>5</v>
      </c>
      <c r="M25" s="1" t="n">
        <v>3</v>
      </c>
      <c r="N25" s="1" t="n">
        <v>2</v>
      </c>
      <c r="O25" s="1" t="n">
        <v>5</v>
      </c>
      <c r="P25" s="1" t="n">
        <v>3</v>
      </c>
      <c r="Q25" s="1" t="n">
        <v>5</v>
      </c>
      <c r="R25" s="1" t="n">
        <v>5</v>
      </c>
      <c r="S25" s="1" t="n">
        <v>3</v>
      </c>
    </row>
    <row r="26">
      <c r="A26" t="inlineStr">
        <is>
          <t>Admin Assistant</t>
        </is>
      </c>
      <c r="B26" s="1" t="n">
        <v>1</v>
      </c>
      <c r="C26" s="1" t="n">
        <v>1</v>
      </c>
      <c r="D26" s="1" t="n">
        <v>1</v>
      </c>
      <c r="E26" s="1" t="n">
        <v>2</v>
      </c>
      <c r="F26" s="1" t="n">
        <v>1</v>
      </c>
      <c r="G26" s="1" t="n">
        <v>1</v>
      </c>
      <c r="H26" s="1" t="n">
        <v>1</v>
      </c>
      <c r="I26" s="1" t="n">
        <v>3</v>
      </c>
      <c r="J26" s="1" t="n">
        <v>3</v>
      </c>
      <c r="K26" s="1" t="n">
        <v>2</v>
      </c>
      <c r="L26" s="1" t="n">
        <v>2</v>
      </c>
      <c r="M26" s="1" t="n">
        <v>2</v>
      </c>
      <c r="N26" s="1" t="n">
        <v>2</v>
      </c>
      <c r="O26" s="1" t="n">
        <v>3</v>
      </c>
      <c r="P26" s="1" t="n">
        <v>3</v>
      </c>
      <c r="Q26" s="1" t="n">
        <v>1</v>
      </c>
      <c r="R26" s="1" t="n">
        <v>1</v>
      </c>
      <c r="S26" s="1" t="n">
        <v>4</v>
      </c>
    </row>
    <row r="27">
      <c r="A27" t="inlineStr">
        <is>
          <t>Student</t>
        </is>
      </c>
      <c r="B27" s="1" t="n">
        <v>5</v>
      </c>
      <c r="C27" s="1" t="n">
        <v>4</v>
      </c>
      <c r="D27" s="1" t="n">
        <v>5</v>
      </c>
      <c r="E27" s="1" t="n">
        <v>4</v>
      </c>
      <c r="F27" s="1" t="n">
        <v>5</v>
      </c>
      <c r="G27" s="1" t="n">
        <v>5</v>
      </c>
      <c r="H27" s="1" t="n">
        <v>5</v>
      </c>
      <c r="I27" s="1" t="n">
        <v>5</v>
      </c>
      <c r="J27" s="1" t="n">
        <v>5</v>
      </c>
      <c r="K27" s="1" t="n">
        <v>4</v>
      </c>
      <c r="L27" s="1" t="n">
        <v>5</v>
      </c>
      <c r="M27" s="1" t="n">
        <v>4</v>
      </c>
      <c r="N27" s="1" t="n">
        <v>2</v>
      </c>
      <c r="O27" s="1" t="n">
        <v>4</v>
      </c>
      <c r="P27" s="1" t="n">
        <v>5</v>
      </c>
      <c r="Q27" s="1" t="n">
        <v>3</v>
      </c>
      <c r="R27" s="1" t="n">
        <v>3</v>
      </c>
      <c r="S27" s="1" t="n">
        <v>1</v>
      </c>
    </row>
    <row r="28">
      <c r="A28" t="inlineStr">
        <is>
          <t>Student</t>
        </is>
      </c>
      <c r="B28" s="1" t="n">
        <v>5</v>
      </c>
      <c r="C28" s="1" t="n">
        <v>5</v>
      </c>
      <c r="D28" s="1" t="n">
        <v>5</v>
      </c>
      <c r="E28" s="1" t="n">
        <v>4</v>
      </c>
      <c r="F28" s="1" t="n">
        <v>5</v>
      </c>
      <c r="G28" s="1" t="n">
        <v>3</v>
      </c>
      <c r="H28" s="1" t="n">
        <v>3</v>
      </c>
      <c r="I28" s="1" t="n">
        <v>5</v>
      </c>
      <c r="J28" s="1" t="n">
        <v>3</v>
      </c>
      <c r="K28" s="1" t="n">
        <v>5</v>
      </c>
      <c r="L28" s="1" t="n">
        <v>3</v>
      </c>
      <c r="M28" s="1" t="n">
        <v>4</v>
      </c>
      <c r="N28" s="1" t="n">
        <v>3</v>
      </c>
      <c r="O28" s="1" t="n">
        <v>5</v>
      </c>
      <c r="P28" s="1" t="n">
        <v>4</v>
      </c>
      <c r="Q28" s="1" t="n">
        <v>4</v>
      </c>
      <c r="R28" s="1" t="n">
        <v>3</v>
      </c>
      <c r="S28" s="1" t="n">
        <v>2</v>
      </c>
    </row>
    <row r="29">
      <c r="A29" t="inlineStr">
        <is>
          <t>Course Leader</t>
        </is>
      </c>
      <c r="B29" s="1" t="n">
        <v>2</v>
      </c>
      <c r="C29" s="1" t="n">
        <v>3</v>
      </c>
      <c r="D29" s="1" t="n">
        <v>1</v>
      </c>
      <c r="E29" s="1" t="n">
        <v>3</v>
      </c>
      <c r="F29" s="1" t="n">
        <v>2</v>
      </c>
      <c r="G29" s="1" t="n">
        <v>5</v>
      </c>
      <c r="H29" s="1" t="n">
        <v>5</v>
      </c>
      <c r="I29" s="1" t="n">
        <v>4</v>
      </c>
      <c r="J29" s="1" t="n">
        <v>4</v>
      </c>
      <c r="K29" s="1" t="n">
        <v>3</v>
      </c>
      <c r="L29" s="1" t="n">
        <v>5</v>
      </c>
      <c r="M29" s="1" t="n">
        <v>4</v>
      </c>
      <c r="N29" s="1" t="n">
        <v>2</v>
      </c>
      <c r="O29" s="1" t="n">
        <v>3</v>
      </c>
      <c r="P29" s="1" t="n">
        <v>5</v>
      </c>
      <c r="Q29" s="1" t="n">
        <v>3</v>
      </c>
      <c r="R29" s="1" t="n">
        <v>4</v>
      </c>
      <c r="S29" s="1" t="n">
        <v>4</v>
      </c>
    </row>
    <row r="30">
      <c r="A30" t="inlineStr">
        <is>
          <t>Course Leader</t>
        </is>
      </c>
      <c r="B30" s="1" t="n">
        <v>1</v>
      </c>
      <c r="C30" s="1" t="n">
        <v>3</v>
      </c>
      <c r="D30" s="1" t="n">
        <v>3</v>
      </c>
      <c r="E30" s="1" t="n">
        <v>2</v>
      </c>
      <c r="F30" s="1" t="n">
        <v>2</v>
      </c>
      <c r="G30" s="1" t="n">
        <v>5</v>
      </c>
      <c r="H30" s="1" t="n">
        <v>5</v>
      </c>
      <c r="I30" s="1" t="n">
        <v>5</v>
      </c>
      <c r="J30" s="1" t="n">
        <v>5</v>
      </c>
      <c r="K30" s="1" t="n">
        <v>5</v>
      </c>
      <c r="L30" s="1" t="n">
        <v>5</v>
      </c>
      <c r="M30" s="1" t="n">
        <v>5</v>
      </c>
      <c r="N30" s="1" t="n">
        <v>4</v>
      </c>
      <c r="O30" s="1" t="n">
        <v>4</v>
      </c>
      <c r="P30" s="1" t="n">
        <v>2</v>
      </c>
      <c r="Q30" s="1" t="n">
        <v>4</v>
      </c>
      <c r="R30" s="1" t="n">
        <v>2</v>
      </c>
      <c r="S30" s="1" t="n">
        <v>2</v>
      </c>
    </row>
    <row r="31">
      <c r="A31" t="inlineStr">
        <is>
          <t>Student</t>
        </is>
      </c>
      <c r="B31" s="1" t="n">
        <v>5</v>
      </c>
      <c r="C31" s="1" t="n">
        <v>5</v>
      </c>
      <c r="D31" s="1" t="n">
        <v>5</v>
      </c>
      <c r="E31" s="1" t="n">
        <v>5</v>
      </c>
      <c r="F31" s="1" t="n">
        <v>5</v>
      </c>
      <c r="G31" s="1" t="n">
        <v>5</v>
      </c>
      <c r="H31" s="1" t="n">
        <v>5</v>
      </c>
      <c r="I31" s="1" t="n">
        <v>3</v>
      </c>
      <c r="J31" s="1" t="n">
        <v>5</v>
      </c>
      <c r="K31" s="1" t="n">
        <v>5</v>
      </c>
      <c r="L31" s="1" t="n">
        <v>4</v>
      </c>
      <c r="M31" s="1" t="n">
        <v>3</v>
      </c>
      <c r="N31" s="1" t="n">
        <v>4</v>
      </c>
      <c r="O31" s="1" t="n">
        <v>3</v>
      </c>
      <c r="P31" s="1" t="n">
        <v>4</v>
      </c>
      <c r="Q31" s="1" t="n">
        <v>5</v>
      </c>
      <c r="R31" s="1" t="n">
        <v>2</v>
      </c>
      <c r="S31" s="1" t="n">
        <v>4</v>
      </c>
    </row>
    <row r="32">
      <c r="A32" t="inlineStr">
        <is>
          <t>Demonstrator</t>
        </is>
      </c>
      <c r="B32" s="1" t="n">
        <v>2</v>
      </c>
      <c r="C32" s="1" t="n">
        <v>3</v>
      </c>
      <c r="D32" s="1" t="n">
        <v>2</v>
      </c>
      <c r="E32" s="1" t="n">
        <v>2</v>
      </c>
      <c r="F32" s="1" t="n">
        <v>4</v>
      </c>
      <c r="G32" s="1" t="n">
        <v>3</v>
      </c>
      <c r="H32" s="1" t="n">
        <v>4</v>
      </c>
      <c r="I32" s="1" t="n">
        <v>4</v>
      </c>
      <c r="J32" s="1" t="n">
        <v>3</v>
      </c>
      <c r="K32" s="1" t="n">
        <v>2</v>
      </c>
      <c r="L32" s="1" t="n">
        <v>3</v>
      </c>
      <c r="M32" s="1" t="n">
        <v>3</v>
      </c>
      <c r="N32" s="1" t="n">
        <v>4</v>
      </c>
      <c r="O32" s="1" t="n">
        <v>1</v>
      </c>
      <c r="P32" s="1" t="n">
        <v>3</v>
      </c>
      <c r="Q32" s="1" t="n">
        <v>5</v>
      </c>
      <c r="R32" s="1" t="n">
        <v>2</v>
      </c>
      <c r="S32" s="1" t="n">
        <v>4</v>
      </c>
    </row>
    <row r="33">
      <c r="A33" t="inlineStr">
        <is>
          <t>Demonstrator</t>
        </is>
      </c>
      <c r="B33" s="1" t="n">
        <v>3</v>
      </c>
      <c r="C33" s="1" t="n">
        <v>5</v>
      </c>
      <c r="D33" s="1" t="n">
        <v>3</v>
      </c>
      <c r="E33" s="1" t="n">
        <v>1</v>
      </c>
      <c r="F33" s="1" t="n">
        <v>2</v>
      </c>
      <c r="G33" s="1" t="n">
        <v>4</v>
      </c>
      <c r="H33" s="1" t="n">
        <v>4</v>
      </c>
      <c r="I33" s="1" t="n">
        <v>3</v>
      </c>
      <c r="J33" s="1" t="n">
        <v>4</v>
      </c>
      <c r="K33" s="1" t="n">
        <v>2</v>
      </c>
      <c r="L33" s="1" t="n">
        <v>4</v>
      </c>
      <c r="M33" s="1" t="n">
        <v>1</v>
      </c>
      <c r="N33" s="1" t="n">
        <v>3</v>
      </c>
      <c r="O33" s="1" t="n">
        <v>2</v>
      </c>
      <c r="P33" s="1" t="n">
        <v>3</v>
      </c>
      <c r="Q33" s="1" t="n">
        <v>4</v>
      </c>
      <c r="R33" s="1" t="n">
        <v>3</v>
      </c>
      <c r="S33" s="1" t="n">
        <v>2</v>
      </c>
    </row>
    <row r="34">
      <c r="A34" t="inlineStr">
        <is>
          <t>Admin Assistant</t>
        </is>
      </c>
      <c r="B34" s="1" t="n">
        <v>2</v>
      </c>
      <c r="C34" s="1" t="n">
        <v>1</v>
      </c>
      <c r="D34" s="1" t="n">
        <v>1</v>
      </c>
      <c r="E34" s="1" t="n">
        <v>2</v>
      </c>
      <c r="F34" s="1" t="n">
        <v>1</v>
      </c>
      <c r="G34" s="1" t="n">
        <v>1</v>
      </c>
      <c r="H34" s="1" t="n">
        <v>2</v>
      </c>
      <c r="I34" s="1" t="n">
        <v>2</v>
      </c>
      <c r="J34" s="1" t="n">
        <v>2</v>
      </c>
      <c r="K34" s="1" t="n">
        <v>2</v>
      </c>
      <c r="L34" s="1" t="n">
        <v>2</v>
      </c>
      <c r="M34" s="1" t="n">
        <v>3</v>
      </c>
      <c r="N34" s="1" t="n">
        <v>4</v>
      </c>
      <c r="O34" s="1" t="n">
        <v>3</v>
      </c>
      <c r="P34" s="1" t="n">
        <v>1</v>
      </c>
      <c r="Q34" s="1" t="n">
        <v>3</v>
      </c>
      <c r="R34" s="1" t="n">
        <v>3</v>
      </c>
      <c r="S34" s="1" t="n">
        <v>3</v>
      </c>
    </row>
    <row r="35">
      <c r="A35" t="inlineStr">
        <is>
          <t>Demonstrator</t>
        </is>
      </c>
      <c r="B35" s="1" t="n">
        <v>3</v>
      </c>
      <c r="C35" s="1" t="n">
        <v>5</v>
      </c>
      <c r="D35" s="1" t="n">
        <v>4</v>
      </c>
      <c r="E35" s="1" t="n">
        <v>5</v>
      </c>
      <c r="F35" s="1" t="n">
        <v>5</v>
      </c>
      <c r="G35" s="1" t="n">
        <v>3</v>
      </c>
      <c r="H35" s="1" t="n">
        <v>4</v>
      </c>
      <c r="I35" s="1" t="n">
        <v>3</v>
      </c>
      <c r="J35" s="1" t="n">
        <v>1</v>
      </c>
      <c r="K35" s="1" t="n">
        <v>2</v>
      </c>
      <c r="L35" s="1" t="n">
        <v>1</v>
      </c>
      <c r="M35" s="1" t="n">
        <v>4</v>
      </c>
      <c r="N35" s="1" t="n">
        <v>2</v>
      </c>
      <c r="O35" s="1" t="n">
        <v>4</v>
      </c>
      <c r="P35" s="1" t="n">
        <v>2</v>
      </c>
      <c r="Q35" s="1" t="n">
        <v>2</v>
      </c>
      <c r="R35" s="1" t="n">
        <v>5</v>
      </c>
      <c r="S35" s="1" t="n">
        <v>1</v>
      </c>
    </row>
    <row r="36">
      <c r="A36" t="inlineStr">
        <is>
          <t>Student</t>
        </is>
      </c>
      <c r="B36" s="1" t="n">
        <v>5</v>
      </c>
      <c r="C36" s="1" t="n">
        <v>5</v>
      </c>
      <c r="D36" s="1" t="n">
        <v>4</v>
      </c>
      <c r="E36" s="1" t="n">
        <v>5</v>
      </c>
      <c r="F36" s="1" t="n">
        <v>5</v>
      </c>
      <c r="G36" s="1" t="n">
        <v>4</v>
      </c>
      <c r="H36" s="1" t="n">
        <v>5</v>
      </c>
      <c r="I36" s="1" t="n">
        <v>5</v>
      </c>
      <c r="J36" s="1" t="n">
        <v>3</v>
      </c>
      <c r="K36" s="1" t="n">
        <v>3</v>
      </c>
      <c r="L36" s="1" t="n">
        <v>5</v>
      </c>
      <c r="M36" s="1" t="n">
        <v>3</v>
      </c>
      <c r="N36" s="1" t="n">
        <v>4</v>
      </c>
      <c r="O36" s="1" t="n">
        <v>4</v>
      </c>
      <c r="P36" s="1" t="n">
        <v>4</v>
      </c>
      <c r="Q36" s="1" t="n">
        <v>5</v>
      </c>
      <c r="R36" s="1" t="n">
        <v>4</v>
      </c>
      <c r="S36" s="1" t="n">
        <v>3</v>
      </c>
    </row>
    <row r="37">
      <c r="A37" t="inlineStr">
        <is>
          <t>Student</t>
        </is>
      </c>
      <c r="B37" s="1" t="n">
        <v>5</v>
      </c>
      <c r="C37" s="1" t="n">
        <v>4</v>
      </c>
      <c r="D37" s="1" t="n">
        <v>4</v>
      </c>
      <c r="E37" s="1" t="n">
        <v>5</v>
      </c>
      <c r="F37" s="1" t="n">
        <v>4</v>
      </c>
      <c r="G37" s="1" t="n">
        <v>4</v>
      </c>
      <c r="H37" s="1" t="n">
        <v>4</v>
      </c>
      <c r="I37" s="1" t="n">
        <v>4</v>
      </c>
      <c r="J37" s="1" t="n">
        <v>5</v>
      </c>
      <c r="K37" s="1" t="n">
        <v>4</v>
      </c>
      <c r="L37" s="1" t="n">
        <v>3</v>
      </c>
      <c r="M37" s="1" t="n">
        <v>5</v>
      </c>
      <c r="N37" s="1" t="n">
        <v>2</v>
      </c>
      <c r="O37" s="1" t="n">
        <v>2</v>
      </c>
      <c r="P37" s="1" t="n">
        <v>1</v>
      </c>
      <c r="Q37" s="1" t="n">
        <v>5</v>
      </c>
      <c r="R37" s="1" t="n">
        <v>5</v>
      </c>
      <c r="S37" s="1" t="n">
        <v>3</v>
      </c>
    </row>
    <row r="38">
      <c r="A38" t="inlineStr">
        <is>
          <t>Student</t>
        </is>
      </c>
      <c r="B38" s="1" t="n">
        <v>5</v>
      </c>
      <c r="C38" s="1" t="n">
        <v>3</v>
      </c>
      <c r="D38" s="1" t="n">
        <v>5</v>
      </c>
      <c r="E38" s="1" t="n">
        <v>5</v>
      </c>
      <c r="F38" s="1" t="n">
        <v>5</v>
      </c>
      <c r="G38" s="1" t="n">
        <v>5</v>
      </c>
      <c r="H38" s="1" t="n">
        <v>5</v>
      </c>
      <c r="I38" s="1" t="n">
        <v>4</v>
      </c>
      <c r="J38" s="1" t="n">
        <v>3</v>
      </c>
      <c r="K38" s="1" t="n">
        <v>4</v>
      </c>
      <c r="L38" s="1" t="n">
        <v>5</v>
      </c>
      <c r="M38" s="1" t="n">
        <v>4</v>
      </c>
      <c r="N38" s="1" t="n">
        <v>5</v>
      </c>
      <c r="O38" s="1" t="n">
        <v>2</v>
      </c>
      <c r="P38" s="1" t="n">
        <v>4</v>
      </c>
      <c r="Q38" s="1" t="n">
        <v>5</v>
      </c>
      <c r="R38" s="1" t="n">
        <v>3</v>
      </c>
      <c r="S38" s="1" t="n">
        <v>4</v>
      </c>
    </row>
    <row r="39">
      <c r="A39" t="inlineStr">
        <is>
          <t>Demonstrator</t>
        </is>
      </c>
      <c r="B39" s="1" t="n">
        <v>1</v>
      </c>
      <c r="C39" s="1" t="n">
        <v>5</v>
      </c>
      <c r="D39" s="1" t="n">
        <v>4</v>
      </c>
      <c r="E39" s="1" t="n">
        <v>3</v>
      </c>
      <c r="F39" s="1" t="n">
        <v>4</v>
      </c>
      <c r="G39" s="1" t="n">
        <v>1</v>
      </c>
      <c r="H39" s="1" t="n">
        <v>4</v>
      </c>
      <c r="I39" s="1" t="n">
        <v>4</v>
      </c>
      <c r="J39" s="1" t="n">
        <v>3</v>
      </c>
      <c r="K39" s="1" t="n">
        <v>3</v>
      </c>
      <c r="L39" s="1" t="n">
        <v>3</v>
      </c>
      <c r="M39" s="1" t="n">
        <v>4</v>
      </c>
      <c r="N39" s="1" t="n">
        <v>4</v>
      </c>
      <c r="O39" s="1" t="n">
        <v>2</v>
      </c>
      <c r="P39" s="1" t="n">
        <v>4</v>
      </c>
      <c r="Q39" s="1" t="n">
        <v>2</v>
      </c>
      <c r="R39" s="1" t="n">
        <v>1</v>
      </c>
      <c r="S39" s="1" t="n">
        <v>3</v>
      </c>
    </row>
    <row r="40">
      <c r="A40" t="inlineStr">
        <is>
          <t>Admin Assistant</t>
        </is>
      </c>
      <c r="B40" s="1" t="n">
        <v>2</v>
      </c>
      <c r="C40" s="1" t="n">
        <v>2</v>
      </c>
      <c r="D40" s="1" t="n">
        <v>3</v>
      </c>
      <c r="E40" s="1" t="n">
        <v>3</v>
      </c>
      <c r="F40" s="1" t="n">
        <v>1</v>
      </c>
      <c r="G40" s="1" t="n">
        <v>2</v>
      </c>
      <c r="H40" s="1" t="n">
        <v>3</v>
      </c>
      <c r="I40" s="1" t="n">
        <v>2</v>
      </c>
      <c r="J40" s="1" t="n">
        <v>2</v>
      </c>
      <c r="K40" s="1" t="n">
        <v>1</v>
      </c>
      <c r="L40" s="1" t="n">
        <v>1</v>
      </c>
      <c r="M40" s="1" t="n">
        <v>1</v>
      </c>
      <c r="N40" s="1" t="n">
        <v>1</v>
      </c>
      <c r="O40" s="1" t="n">
        <v>1</v>
      </c>
      <c r="P40" s="1" t="n">
        <v>2</v>
      </c>
      <c r="Q40" s="1" t="n">
        <v>1</v>
      </c>
      <c r="R40" s="1" t="n">
        <v>2</v>
      </c>
      <c r="S40" s="1" t="n">
        <v>3</v>
      </c>
    </row>
    <row r="41">
      <c r="A41" t="inlineStr">
        <is>
          <t>Demonstrator</t>
        </is>
      </c>
      <c r="B41" s="1" t="n">
        <v>4</v>
      </c>
      <c r="C41" s="1" t="n">
        <v>5</v>
      </c>
      <c r="D41" s="1" t="n">
        <v>1</v>
      </c>
      <c r="E41" s="1" t="n">
        <v>5</v>
      </c>
      <c r="F41" s="1" t="n">
        <v>5</v>
      </c>
      <c r="G41" s="1" t="n">
        <v>1</v>
      </c>
      <c r="H41" s="1" t="n">
        <v>4</v>
      </c>
      <c r="I41" s="1" t="n">
        <v>3</v>
      </c>
      <c r="J41" s="1" t="n">
        <v>3</v>
      </c>
      <c r="K41" s="1" t="n">
        <v>3</v>
      </c>
      <c r="L41" s="1" t="n">
        <v>2</v>
      </c>
      <c r="M41" s="1" t="n">
        <v>5</v>
      </c>
      <c r="N41" s="1" t="n">
        <v>5</v>
      </c>
      <c r="O41" s="1" t="n">
        <v>4</v>
      </c>
      <c r="P41" s="1" t="n">
        <v>3</v>
      </c>
      <c r="Q41" s="1" t="n">
        <v>1</v>
      </c>
      <c r="R41" s="1" t="n">
        <v>3</v>
      </c>
      <c r="S41" s="1" t="n">
        <v>3</v>
      </c>
    </row>
    <row r="42">
      <c r="A42" t="inlineStr">
        <is>
          <t>Admin Assistant</t>
        </is>
      </c>
      <c r="B42" s="1" t="n">
        <v>1</v>
      </c>
      <c r="C42" s="1" t="n">
        <v>1</v>
      </c>
      <c r="D42" s="1" t="n">
        <v>1</v>
      </c>
      <c r="E42" s="1" t="n">
        <v>2</v>
      </c>
      <c r="F42" s="1" t="n">
        <v>3</v>
      </c>
      <c r="G42" s="1" t="n">
        <v>3</v>
      </c>
      <c r="H42" s="1" t="n">
        <v>2</v>
      </c>
      <c r="I42" s="1" t="n">
        <v>2</v>
      </c>
      <c r="J42" s="1" t="n">
        <v>2</v>
      </c>
      <c r="K42" s="1" t="n">
        <v>2</v>
      </c>
      <c r="L42" s="1" t="n">
        <v>4</v>
      </c>
      <c r="M42" s="1" t="n">
        <v>2</v>
      </c>
      <c r="N42" s="1" t="n">
        <v>2</v>
      </c>
      <c r="O42" s="1" t="n">
        <v>1</v>
      </c>
      <c r="P42" s="1" t="n">
        <v>3</v>
      </c>
      <c r="Q42" s="1" t="n">
        <v>2</v>
      </c>
      <c r="R42" s="1" t="n">
        <v>1</v>
      </c>
      <c r="S42" s="1" t="n">
        <v>4</v>
      </c>
    </row>
    <row r="43">
      <c r="A43" t="inlineStr">
        <is>
          <t>Demonstrator</t>
        </is>
      </c>
      <c r="B43" s="1" t="n">
        <v>4</v>
      </c>
      <c r="C43" s="1" t="n">
        <v>3</v>
      </c>
      <c r="D43" s="1" t="n">
        <v>1</v>
      </c>
      <c r="E43" s="1" t="n">
        <v>5</v>
      </c>
      <c r="F43" s="1" t="n">
        <v>2</v>
      </c>
      <c r="G43" s="1" t="n">
        <v>5</v>
      </c>
      <c r="H43" s="1" t="n">
        <v>1</v>
      </c>
      <c r="I43" s="1" t="n">
        <v>5</v>
      </c>
      <c r="J43" s="1" t="n">
        <v>3</v>
      </c>
      <c r="K43" s="1" t="n">
        <v>3</v>
      </c>
      <c r="L43" s="1" t="n">
        <v>3</v>
      </c>
      <c r="M43" s="1" t="n">
        <v>3</v>
      </c>
      <c r="N43" s="1" t="n">
        <v>2</v>
      </c>
      <c r="O43" s="1" t="n">
        <v>5</v>
      </c>
      <c r="P43" s="1" t="n">
        <v>2</v>
      </c>
      <c r="Q43" s="1" t="n">
        <v>4</v>
      </c>
      <c r="R43" s="1" t="n">
        <v>4</v>
      </c>
      <c r="S43" s="1" t="n">
        <v>3</v>
      </c>
    </row>
    <row r="44">
      <c r="A44" t="inlineStr">
        <is>
          <t>Student</t>
        </is>
      </c>
      <c r="B44" s="1" t="n">
        <v>4</v>
      </c>
      <c r="C44" s="1" t="n">
        <v>2</v>
      </c>
      <c r="D44" s="1" t="n">
        <v>3</v>
      </c>
      <c r="E44" s="1" t="n">
        <v>5</v>
      </c>
      <c r="F44" s="1" t="n">
        <v>5</v>
      </c>
      <c r="G44" s="1" t="n">
        <v>5</v>
      </c>
      <c r="H44" s="1" t="n">
        <v>5</v>
      </c>
      <c r="I44" s="1" t="n">
        <v>3</v>
      </c>
      <c r="J44" s="1" t="n">
        <v>4</v>
      </c>
      <c r="K44" s="1" t="n">
        <v>2</v>
      </c>
      <c r="L44" s="1" t="n">
        <v>3</v>
      </c>
      <c r="M44" s="1" t="n">
        <v>4</v>
      </c>
      <c r="N44" s="1" t="n">
        <v>5</v>
      </c>
      <c r="O44" s="1" t="n">
        <v>3</v>
      </c>
      <c r="P44" s="1" t="n">
        <v>4</v>
      </c>
      <c r="Q44" s="1" t="n">
        <v>4</v>
      </c>
      <c r="R44" s="1" t="n">
        <v>3</v>
      </c>
      <c r="S44" s="1" t="n">
        <v>4</v>
      </c>
    </row>
    <row r="45">
      <c r="A45" t="inlineStr">
        <is>
          <t>Student</t>
        </is>
      </c>
      <c r="B45" s="1" t="n">
        <v>5</v>
      </c>
      <c r="C45" s="1" t="n">
        <v>5</v>
      </c>
      <c r="D45" s="1" t="n">
        <v>2</v>
      </c>
      <c r="E45" s="1" t="n">
        <v>3</v>
      </c>
      <c r="F45" s="1" t="n">
        <v>4</v>
      </c>
      <c r="G45" s="1" t="n">
        <v>3</v>
      </c>
      <c r="H45" s="1" t="n">
        <v>5</v>
      </c>
      <c r="I45" s="1" t="n">
        <v>4</v>
      </c>
      <c r="J45" s="1" t="n">
        <v>5</v>
      </c>
      <c r="K45" s="1" t="n">
        <v>4</v>
      </c>
      <c r="L45" s="1" t="n">
        <v>3</v>
      </c>
      <c r="M45" s="1" t="n">
        <v>4</v>
      </c>
      <c r="N45" s="1" t="n">
        <v>3</v>
      </c>
      <c r="O45" s="1" t="n">
        <v>2</v>
      </c>
      <c r="P45" s="1" t="n">
        <v>2</v>
      </c>
      <c r="Q45" s="1" t="n">
        <v>5</v>
      </c>
      <c r="R45" s="1" t="n">
        <v>3</v>
      </c>
      <c r="S45" s="1" t="n">
        <v>5</v>
      </c>
    </row>
    <row r="46">
      <c r="A46" t="inlineStr">
        <is>
          <t>Course Leader</t>
        </is>
      </c>
      <c r="B46" s="1" t="n">
        <v>2</v>
      </c>
      <c r="C46" s="1" t="n">
        <v>3</v>
      </c>
      <c r="D46" s="1" t="n">
        <v>1</v>
      </c>
      <c r="E46" s="1" t="n">
        <v>4</v>
      </c>
      <c r="F46" s="1" t="n">
        <v>3</v>
      </c>
      <c r="G46" s="1" t="n">
        <v>5</v>
      </c>
      <c r="H46" s="1" t="n">
        <v>5</v>
      </c>
      <c r="I46" s="1" t="n">
        <v>5</v>
      </c>
      <c r="J46" s="1" t="n">
        <v>5</v>
      </c>
      <c r="K46" s="1" t="n">
        <v>3</v>
      </c>
      <c r="L46" s="1" t="n">
        <v>4</v>
      </c>
      <c r="M46" s="1" t="n">
        <v>5</v>
      </c>
      <c r="N46" s="1" t="n">
        <v>2</v>
      </c>
      <c r="O46" s="1" t="n">
        <v>5</v>
      </c>
      <c r="P46" s="1" t="n">
        <v>5</v>
      </c>
      <c r="Q46" s="1" t="n">
        <v>2</v>
      </c>
      <c r="R46" s="1" t="n">
        <v>4</v>
      </c>
      <c r="S46" s="1" t="n">
        <v>4</v>
      </c>
    </row>
    <row r="47">
      <c r="A47" t="inlineStr">
        <is>
          <t>Demonstrator</t>
        </is>
      </c>
      <c r="B47" s="1" t="n">
        <v>4</v>
      </c>
      <c r="C47" s="1" t="n">
        <v>2</v>
      </c>
      <c r="D47" s="1" t="n">
        <v>4</v>
      </c>
      <c r="E47" s="1" t="n">
        <v>4</v>
      </c>
      <c r="F47" s="1" t="n">
        <v>5</v>
      </c>
      <c r="G47" s="1" t="n">
        <v>4</v>
      </c>
      <c r="H47" s="1" t="n">
        <v>4</v>
      </c>
      <c r="I47" s="1" t="n">
        <v>2</v>
      </c>
      <c r="J47" s="1" t="n">
        <v>3</v>
      </c>
      <c r="K47" s="1" t="n">
        <v>5</v>
      </c>
      <c r="L47" s="1" t="n">
        <v>4</v>
      </c>
      <c r="M47" s="1" t="n">
        <v>4</v>
      </c>
      <c r="N47" s="1" t="n">
        <v>3</v>
      </c>
      <c r="O47" s="1" t="n">
        <v>4</v>
      </c>
      <c r="P47" s="1" t="n">
        <v>2</v>
      </c>
      <c r="Q47" s="1" t="n">
        <v>2</v>
      </c>
      <c r="R47" s="1" t="n">
        <v>2</v>
      </c>
      <c r="S47" s="1" t="n">
        <v>3</v>
      </c>
    </row>
    <row r="48">
      <c r="A48" t="inlineStr">
        <is>
          <t>Demonstrator</t>
        </is>
      </c>
      <c r="B48" s="1" t="n">
        <v>4</v>
      </c>
      <c r="C48" s="1" t="n">
        <v>2</v>
      </c>
      <c r="D48" s="1" t="n">
        <v>4</v>
      </c>
      <c r="E48" s="1" t="n">
        <v>5</v>
      </c>
      <c r="F48" s="1" t="n">
        <v>5</v>
      </c>
      <c r="G48" s="1" t="n">
        <v>5</v>
      </c>
      <c r="H48" s="1" t="n">
        <v>4</v>
      </c>
      <c r="I48" s="1" t="n">
        <v>4</v>
      </c>
      <c r="J48" s="1" t="n">
        <v>4</v>
      </c>
      <c r="K48" s="1" t="n">
        <v>3</v>
      </c>
      <c r="L48" s="1" t="n">
        <v>4</v>
      </c>
      <c r="M48" s="1" t="n">
        <v>4</v>
      </c>
      <c r="N48" s="1" t="n">
        <v>4</v>
      </c>
      <c r="O48" s="1" t="n">
        <v>4</v>
      </c>
      <c r="P48" s="1" t="n">
        <v>2</v>
      </c>
      <c r="Q48" s="1" t="n">
        <v>4</v>
      </c>
      <c r="R48" s="1" t="n">
        <v>5</v>
      </c>
      <c r="S48" s="1" t="n">
        <v>2</v>
      </c>
    </row>
    <row r="49">
      <c r="A49" t="inlineStr">
        <is>
          <t>Course Leader</t>
        </is>
      </c>
      <c r="B49" s="1" t="n">
        <v>4</v>
      </c>
      <c r="C49" s="1" t="n">
        <v>2</v>
      </c>
      <c r="D49" s="1" t="n">
        <v>5</v>
      </c>
      <c r="E49" s="1" t="n">
        <v>3</v>
      </c>
      <c r="F49" s="1" t="n">
        <v>3</v>
      </c>
      <c r="G49" s="1" t="n">
        <v>3</v>
      </c>
      <c r="H49" s="1" t="n">
        <v>4</v>
      </c>
      <c r="I49" s="1" t="n">
        <v>5</v>
      </c>
      <c r="J49" s="1" t="n">
        <v>5</v>
      </c>
      <c r="K49" s="1" t="n">
        <v>5</v>
      </c>
      <c r="L49" s="1" t="n">
        <v>5</v>
      </c>
      <c r="M49" s="1" t="n">
        <v>4</v>
      </c>
      <c r="N49" s="1" t="n">
        <v>5</v>
      </c>
      <c r="O49" s="1" t="n">
        <v>3</v>
      </c>
      <c r="P49" s="1" t="n">
        <v>4</v>
      </c>
      <c r="Q49" s="1" t="n">
        <v>5</v>
      </c>
      <c r="R49" s="1" t="n">
        <v>5</v>
      </c>
      <c r="S49" s="1" t="n">
        <v>2</v>
      </c>
    </row>
    <row r="50">
      <c r="A50" t="inlineStr">
        <is>
          <t>Student</t>
        </is>
      </c>
      <c r="B50" s="1" t="n">
        <v>4</v>
      </c>
      <c r="C50" s="1" t="n">
        <v>4</v>
      </c>
      <c r="D50" s="1" t="n">
        <v>3</v>
      </c>
      <c r="E50" s="1" t="n">
        <v>4</v>
      </c>
      <c r="F50" s="1" t="n">
        <v>3</v>
      </c>
      <c r="G50" s="1" t="n">
        <v>3</v>
      </c>
      <c r="H50" s="1" t="n">
        <v>3</v>
      </c>
      <c r="I50" s="1" t="n">
        <v>5</v>
      </c>
      <c r="J50" s="1" t="n">
        <v>5</v>
      </c>
      <c r="K50" s="1" t="n">
        <v>2</v>
      </c>
      <c r="L50" s="1" t="n">
        <v>4</v>
      </c>
      <c r="M50" s="1" t="n">
        <v>5</v>
      </c>
      <c r="N50" s="1" t="n">
        <v>4</v>
      </c>
      <c r="O50" s="1" t="n">
        <v>4</v>
      </c>
      <c r="P50" s="1" t="n">
        <v>2</v>
      </c>
      <c r="Q50" s="1" t="n">
        <v>3</v>
      </c>
      <c r="R50" s="1" t="n">
        <v>3</v>
      </c>
      <c r="S50" s="1" t="n">
        <v>3</v>
      </c>
    </row>
    <row r="51">
      <c r="A51" t="inlineStr">
        <is>
          <t>Demonstrator</t>
        </is>
      </c>
      <c r="B51" s="1" t="n">
        <v>5</v>
      </c>
      <c r="C51" s="1" t="n">
        <v>5</v>
      </c>
      <c r="D51" s="1" t="n">
        <v>3</v>
      </c>
      <c r="E51" s="1" t="n">
        <v>2</v>
      </c>
      <c r="F51" s="1" t="n">
        <v>4</v>
      </c>
      <c r="G51" s="1" t="n">
        <v>3</v>
      </c>
      <c r="H51" s="1" t="n">
        <v>2</v>
      </c>
      <c r="I51" s="1" t="n">
        <v>4</v>
      </c>
      <c r="J51" s="1" t="n">
        <v>4</v>
      </c>
      <c r="K51" s="1" t="n">
        <v>2</v>
      </c>
      <c r="L51" s="1" t="n">
        <v>3</v>
      </c>
      <c r="M51" s="1" t="n">
        <v>4</v>
      </c>
      <c r="N51" s="1" t="n">
        <v>2</v>
      </c>
      <c r="O51" s="1" t="n">
        <v>5</v>
      </c>
      <c r="P51" s="1" t="n">
        <v>4</v>
      </c>
      <c r="Q51" s="1" t="n">
        <v>2</v>
      </c>
      <c r="R51" s="1" t="n">
        <v>5</v>
      </c>
      <c r="S51" s="1" t="n">
        <v>5</v>
      </c>
    </row>
    <row r="52">
      <c r="A52" t="inlineStr">
        <is>
          <t>Course Leader</t>
        </is>
      </c>
      <c r="B52" s="1" t="n">
        <v>3</v>
      </c>
      <c r="C52" s="1" t="n">
        <v>3</v>
      </c>
      <c r="D52" s="1" t="n">
        <v>4</v>
      </c>
      <c r="E52" s="1" t="n">
        <v>2</v>
      </c>
      <c r="F52" s="1" t="n">
        <v>4</v>
      </c>
      <c r="G52" s="1" t="n">
        <v>5</v>
      </c>
      <c r="H52" s="1" t="n">
        <v>5</v>
      </c>
      <c r="I52" s="1" t="n">
        <v>5</v>
      </c>
      <c r="J52" s="1" t="n">
        <v>4</v>
      </c>
      <c r="K52" s="1" t="n">
        <v>4</v>
      </c>
      <c r="L52" s="1" t="n">
        <v>4</v>
      </c>
      <c r="M52" s="1" t="n">
        <v>5</v>
      </c>
      <c r="N52" s="1" t="n">
        <v>4</v>
      </c>
      <c r="O52" s="1" t="n">
        <v>5</v>
      </c>
      <c r="P52" s="1" t="n">
        <v>3</v>
      </c>
      <c r="Q52" s="1" t="n">
        <v>5</v>
      </c>
      <c r="R52" s="1" t="n">
        <v>5</v>
      </c>
      <c r="S52" s="1" t="n">
        <v>2</v>
      </c>
    </row>
    <row r="53">
      <c r="A53" t="inlineStr">
        <is>
          <t>Demonstrator</t>
        </is>
      </c>
      <c r="B53" s="1" t="n">
        <v>4</v>
      </c>
      <c r="C53" s="1" t="n">
        <v>5</v>
      </c>
      <c r="D53" s="1" t="n">
        <v>5</v>
      </c>
      <c r="E53" s="1" t="n">
        <v>5</v>
      </c>
      <c r="F53" s="1" t="n">
        <v>4</v>
      </c>
      <c r="G53" s="1" t="n">
        <v>3</v>
      </c>
      <c r="H53" s="1" t="n">
        <v>4</v>
      </c>
      <c r="I53" s="1" t="n">
        <v>4</v>
      </c>
      <c r="J53" s="1" t="n">
        <v>4</v>
      </c>
      <c r="K53" s="1" t="n">
        <v>4</v>
      </c>
      <c r="L53" s="1" t="n">
        <v>4</v>
      </c>
      <c r="M53" s="1" t="n">
        <v>5</v>
      </c>
      <c r="N53" s="1" t="n">
        <v>4</v>
      </c>
      <c r="O53" s="1" t="n">
        <v>3</v>
      </c>
      <c r="P53" s="1" t="n">
        <v>3</v>
      </c>
      <c r="Q53" s="1" t="n">
        <v>4</v>
      </c>
      <c r="R53" s="1" t="n">
        <v>4</v>
      </c>
      <c r="S53" s="1" t="n">
        <v>2</v>
      </c>
    </row>
    <row r="54">
      <c r="A54" t="inlineStr">
        <is>
          <t>Admin Assistant</t>
        </is>
      </c>
      <c r="B54" s="1" t="n">
        <v>1</v>
      </c>
      <c r="C54" s="1" t="n">
        <v>1</v>
      </c>
      <c r="D54" s="1" t="n">
        <v>1</v>
      </c>
      <c r="E54" s="1" t="n">
        <v>2</v>
      </c>
      <c r="F54" s="1" t="n">
        <v>1</v>
      </c>
      <c r="G54" s="1" t="n">
        <v>2</v>
      </c>
      <c r="H54" s="1" t="n">
        <v>2</v>
      </c>
      <c r="I54" s="1" t="n">
        <v>3</v>
      </c>
      <c r="J54" s="1" t="n">
        <v>2</v>
      </c>
      <c r="K54" s="1" t="n">
        <v>5</v>
      </c>
      <c r="L54" s="1" t="n">
        <v>2</v>
      </c>
      <c r="M54" s="1" t="n">
        <v>2</v>
      </c>
      <c r="N54" s="1" t="n">
        <v>3</v>
      </c>
      <c r="O54" s="1" t="n">
        <v>3</v>
      </c>
      <c r="P54" s="1" t="n">
        <v>1</v>
      </c>
      <c r="Q54" s="1" t="n">
        <v>2</v>
      </c>
      <c r="R54" s="1" t="n">
        <v>4</v>
      </c>
      <c r="S54" s="1" t="n">
        <v>3</v>
      </c>
    </row>
    <row r="55">
      <c r="A55" t="inlineStr">
        <is>
          <t>Student</t>
        </is>
      </c>
      <c r="B55" s="1" t="n">
        <v>5</v>
      </c>
      <c r="C55" s="1" t="n">
        <v>4</v>
      </c>
      <c r="D55" s="1" t="n">
        <v>5</v>
      </c>
      <c r="E55" s="1" t="n">
        <v>3</v>
      </c>
      <c r="F55" s="1" t="n">
        <v>4</v>
      </c>
      <c r="G55" s="1" t="n">
        <v>4</v>
      </c>
      <c r="H55" s="1" t="n">
        <v>4</v>
      </c>
      <c r="I55" s="1" t="n">
        <v>1</v>
      </c>
      <c r="J55" s="1" t="n">
        <v>2</v>
      </c>
      <c r="K55" s="1" t="n">
        <v>3</v>
      </c>
      <c r="L55" s="1" t="n">
        <v>5</v>
      </c>
      <c r="M55" s="1" t="n">
        <v>3</v>
      </c>
      <c r="N55" s="1" t="n">
        <v>3</v>
      </c>
      <c r="O55" s="1" t="n">
        <v>5</v>
      </c>
      <c r="P55" s="1" t="n">
        <v>4</v>
      </c>
      <c r="Q55" s="1" t="n">
        <v>2</v>
      </c>
      <c r="R55" s="1" t="n">
        <v>3</v>
      </c>
      <c r="S55" s="1" t="n">
        <v>2</v>
      </c>
    </row>
    <row r="56">
      <c r="A56" t="inlineStr">
        <is>
          <t>Admin Assistant</t>
        </is>
      </c>
      <c r="B56" s="1" t="n">
        <v>1</v>
      </c>
      <c r="C56" s="1" t="n">
        <v>1</v>
      </c>
      <c r="D56" s="1" t="n">
        <v>1</v>
      </c>
      <c r="E56" s="1" t="n">
        <v>1</v>
      </c>
      <c r="F56" s="1" t="n">
        <v>1</v>
      </c>
      <c r="G56" s="1" t="n">
        <v>2</v>
      </c>
      <c r="H56" s="1" t="n">
        <v>4</v>
      </c>
      <c r="I56" s="1" t="n">
        <v>2</v>
      </c>
      <c r="J56" s="1" t="n">
        <v>3</v>
      </c>
      <c r="K56" s="1" t="n">
        <v>1</v>
      </c>
      <c r="L56" s="1" t="n">
        <v>1</v>
      </c>
      <c r="M56" s="1" t="n">
        <v>1</v>
      </c>
      <c r="N56" s="1" t="n">
        <v>1</v>
      </c>
      <c r="O56" s="1" t="n">
        <v>1</v>
      </c>
      <c r="P56" s="1" t="n">
        <v>3</v>
      </c>
      <c r="Q56" s="1" t="n">
        <v>2</v>
      </c>
      <c r="R56" s="1" t="n">
        <v>2</v>
      </c>
      <c r="S56" s="1" t="n">
        <v>4</v>
      </c>
    </row>
    <row r="57">
      <c r="A57" t="inlineStr">
        <is>
          <t>Student</t>
        </is>
      </c>
      <c r="B57" s="1" t="n">
        <v>4</v>
      </c>
      <c r="C57" s="1" t="n">
        <v>5</v>
      </c>
      <c r="D57" s="1" t="n">
        <v>5</v>
      </c>
      <c r="E57" s="1" t="n">
        <v>5</v>
      </c>
      <c r="F57" s="1" t="n">
        <v>5</v>
      </c>
      <c r="G57" s="1" t="n">
        <v>3</v>
      </c>
      <c r="H57" s="1" t="n">
        <v>5</v>
      </c>
      <c r="I57" s="1" t="n">
        <v>4</v>
      </c>
      <c r="J57" s="1" t="n">
        <v>4</v>
      </c>
      <c r="K57" s="1" t="n">
        <v>5</v>
      </c>
      <c r="L57" s="1" t="n">
        <v>3</v>
      </c>
      <c r="M57" s="1" t="n">
        <v>5</v>
      </c>
      <c r="N57" s="1" t="n">
        <v>4</v>
      </c>
      <c r="O57" s="1" t="n">
        <v>5</v>
      </c>
      <c r="P57" s="1" t="n">
        <v>4</v>
      </c>
      <c r="Q57" s="1" t="n">
        <v>4</v>
      </c>
      <c r="R57" s="1" t="n">
        <v>3</v>
      </c>
      <c r="S57" s="1" t="n">
        <v>2</v>
      </c>
    </row>
    <row r="58">
      <c r="A58" t="inlineStr">
        <is>
          <t>Course Leader</t>
        </is>
      </c>
      <c r="B58" s="1" t="n">
        <v>3</v>
      </c>
      <c r="C58" s="1" t="n">
        <v>2</v>
      </c>
      <c r="D58" s="1" t="n">
        <v>3</v>
      </c>
      <c r="E58" s="1" t="n">
        <v>1</v>
      </c>
      <c r="F58" s="1" t="n">
        <v>4</v>
      </c>
      <c r="G58" s="1" t="n">
        <v>4</v>
      </c>
      <c r="H58" s="1" t="n">
        <v>3</v>
      </c>
      <c r="I58" s="1" t="n">
        <v>5</v>
      </c>
      <c r="J58" s="1" t="n">
        <v>5</v>
      </c>
      <c r="K58" s="1" t="n">
        <v>4</v>
      </c>
      <c r="L58" s="1" t="n">
        <v>3</v>
      </c>
      <c r="M58" s="1" t="n">
        <v>5</v>
      </c>
      <c r="N58" s="1" t="n">
        <v>5</v>
      </c>
      <c r="O58" s="1" t="n">
        <v>2</v>
      </c>
      <c r="P58" s="1" t="n">
        <v>5</v>
      </c>
      <c r="Q58" s="1" t="n">
        <v>4</v>
      </c>
      <c r="R58" s="1" t="n">
        <v>5</v>
      </c>
      <c r="S58" s="1" t="n">
        <v>3</v>
      </c>
    </row>
    <row r="59">
      <c r="A59" t="inlineStr">
        <is>
          <t>Student</t>
        </is>
      </c>
      <c r="B59" s="1" t="n">
        <v>4</v>
      </c>
      <c r="C59" s="1" t="n">
        <v>3</v>
      </c>
      <c r="D59" s="1" t="n">
        <v>5</v>
      </c>
      <c r="E59" s="1" t="n">
        <v>3</v>
      </c>
      <c r="F59" s="1" t="n">
        <v>3</v>
      </c>
      <c r="G59" s="1" t="n">
        <v>5</v>
      </c>
      <c r="H59" s="1" t="n">
        <v>5</v>
      </c>
      <c r="I59" s="1" t="n">
        <v>5</v>
      </c>
      <c r="J59" s="1" t="n">
        <v>3</v>
      </c>
      <c r="K59" s="1" t="n">
        <v>5</v>
      </c>
      <c r="L59" s="1" t="n">
        <v>5</v>
      </c>
      <c r="M59" s="1" t="n">
        <v>5</v>
      </c>
      <c r="N59" s="1" t="n">
        <v>3</v>
      </c>
      <c r="O59" s="1" t="n">
        <v>3</v>
      </c>
      <c r="P59" s="1" t="n">
        <v>5</v>
      </c>
      <c r="Q59" s="1" t="n">
        <v>5</v>
      </c>
      <c r="R59" s="1" t="n">
        <v>4</v>
      </c>
      <c r="S59" s="1" t="n">
        <v>4</v>
      </c>
    </row>
    <row r="60">
      <c r="A60" t="inlineStr">
        <is>
          <t>Student</t>
        </is>
      </c>
      <c r="B60" s="1" t="n">
        <v>5</v>
      </c>
      <c r="C60" s="1" t="n">
        <v>3</v>
      </c>
      <c r="D60" s="1" t="n">
        <v>5</v>
      </c>
      <c r="E60" s="1" t="n">
        <v>4</v>
      </c>
      <c r="F60" s="1" t="n">
        <v>5</v>
      </c>
      <c r="G60" s="1" t="n">
        <v>4</v>
      </c>
      <c r="H60" s="1" t="n">
        <v>5</v>
      </c>
      <c r="I60" s="1" t="n">
        <v>4</v>
      </c>
      <c r="J60" s="1" t="n">
        <v>3</v>
      </c>
      <c r="K60" s="1" t="n">
        <v>4</v>
      </c>
      <c r="L60" s="1" t="n">
        <v>3</v>
      </c>
      <c r="M60" s="1" t="n">
        <v>4</v>
      </c>
      <c r="N60" s="1" t="n">
        <v>5</v>
      </c>
      <c r="O60" s="1" t="n">
        <v>3</v>
      </c>
      <c r="P60" s="1" t="n">
        <v>4</v>
      </c>
      <c r="Q60" s="1" t="n">
        <v>5</v>
      </c>
      <c r="R60" s="1" t="n">
        <v>5</v>
      </c>
      <c r="S60" s="1" t="n">
        <v>3</v>
      </c>
    </row>
    <row r="61">
      <c r="A61" t="inlineStr">
        <is>
          <t>Course Leader</t>
        </is>
      </c>
      <c r="B61" s="1" t="n">
        <v>4</v>
      </c>
      <c r="C61" s="1" t="n">
        <v>4</v>
      </c>
      <c r="D61" s="1" t="n">
        <v>3</v>
      </c>
      <c r="E61" s="1" t="n">
        <v>3</v>
      </c>
      <c r="F61" s="1" t="n">
        <v>4</v>
      </c>
      <c r="G61" s="1" t="n">
        <v>2</v>
      </c>
      <c r="H61" s="1" t="n">
        <v>4</v>
      </c>
      <c r="I61" s="1" t="n">
        <v>5</v>
      </c>
      <c r="J61" s="1" t="n">
        <v>4</v>
      </c>
      <c r="K61" s="1" t="n">
        <v>5</v>
      </c>
      <c r="L61" s="1" t="n">
        <v>4</v>
      </c>
      <c r="M61" s="1" t="n">
        <v>3</v>
      </c>
      <c r="N61" s="1" t="n">
        <v>5</v>
      </c>
      <c r="O61" s="1" t="n">
        <v>5</v>
      </c>
      <c r="P61" s="1" t="n">
        <v>5</v>
      </c>
      <c r="Q61" s="1" t="n">
        <v>3</v>
      </c>
      <c r="R61" s="1" t="n">
        <v>5</v>
      </c>
      <c r="S61" s="1" t="n">
        <v>3</v>
      </c>
    </row>
    <row r="62">
      <c r="A62" t="inlineStr">
        <is>
          <t>Student</t>
        </is>
      </c>
      <c r="B62" s="1" t="n">
        <v>5</v>
      </c>
      <c r="C62" s="1" t="n">
        <v>5</v>
      </c>
      <c r="D62" s="1" t="n">
        <v>5</v>
      </c>
      <c r="E62" s="1" t="n">
        <v>2</v>
      </c>
      <c r="F62" s="1" t="n">
        <v>5</v>
      </c>
      <c r="G62" s="1" t="n">
        <v>4</v>
      </c>
      <c r="H62" s="1" t="n">
        <v>2</v>
      </c>
      <c r="I62" s="1" t="n">
        <v>3</v>
      </c>
      <c r="J62" s="1" t="n">
        <v>5</v>
      </c>
      <c r="K62" s="1" t="n">
        <v>5</v>
      </c>
      <c r="L62" s="1" t="n">
        <v>2</v>
      </c>
      <c r="M62" s="1" t="n">
        <v>3</v>
      </c>
      <c r="N62" s="1" t="n">
        <v>3</v>
      </c>
      <c r="O62" s="1" t="n">
        <v>5</v>
      </c>
      <c r="P62" s="1" t="n">
        <v>5</v>
      </c>
      <c r="Q62" s="1" t="n">
        <v>4</v>
      </c>
      <c r="R62" s="1" t="n">
        <v>4</v>
      </c>
      <c r="S62" s="1" t="n">
        <v>1</v>
      </c>
    </row>
    <row r="63">
      <c r="A63" t="inlineStr">
        <is>
          <t>Demonstrator</t>
        </is>
      </c>
      <c r="B63" s="1" t="n">
        <v>5</v>
      </c>
      <c r="C63" s="1" t="n">
        <v>2</v>
      </c>
      <c r="D63" s="1" t="n">
        <v>5</v>
      </c>
      <c r="E63" s="1" t="n">
        <v>3</v>
      </c>
      <c r="F63" s="1" t="n">
        <v>2</v>
      </c>
      <c r="G63" s="1" t="n">
        <v>5</v>
      </c>
      <c r="H63" s="1" t="n">
        <v>3</v>
      </c>
      <c r="I63" s="1" t="n">
        <v>4</v>
      </c>
      <c r="J63" s="1" t="n">
        <v>4</v>
      </c>
      <c r="K63" s="1" t="n">
        <v>4</v>
      </c>
      <c r="L63" s="1" t="n">
        <v>4</v>
      </c>
      <c r="M63" s="1" t="n">
        <v>3</v>
      </c>
      <c r="N63" s="1" t="n">
        <v>3</v>
      </c>
      <c r="O63" s="1" t="n">
        <v>3</v>
      </c>
      <c r="P63" s="1" t="n">
        <v>1</v>
      </c>
      <c r="Q63" s="1" t="n">
        <v>4</v>
      </c>
      <c r="R63" s="1" t="n">
        <v>4</v>
      </c>
      <c r="S63" s="1" t="n">
        <v>4</v>
      </c>
    </row>
    <row r="64">
      <c r="A64" t="inlineStr">
        <is>
          <t>Course Leader</t>
        </is>
      </c>
      <c r="B64" s="1" t="n">
        <v>4</v>
      </c>
      <c r="C64" s="1" t="n">
        <v>3</v>
      </c>
      <c r="D64" s="1" t="n">
        <v>3</v>
      </c>
      <c r="E64" s="1" t="n">
        <v>4</v>
      </c>
      <c r="F64" s="1" t="n">
        <v>3</v>
      </c>
      <c r="G64" s="1" t="n">
        <v>4</v>
      </c>
      <c r="H64" s="1" t="n">
        <v>5</v>
      </c>
      <c r="I64" s="1" t="n">
        <v>5</v>
      </c>
      <c r="J64" s="1" t="n">
        <v>4</v>
      </c>
      <c r="K64" s="1" t="n">
        <v>5</v>
      </c>
      <c r="L64" s="1" t="n">
        <v>5</v>
      </c>
      <c r="M64" s="1" t="n">
        <v>3</v>
      </c>
      <c r="N64" s="1" t="n">
        <v>5</v>
      </c>
      <c r="O64" s="1" t="n">
        <v>3</v>
      </c>
      <c r="P64" s="1" t="n">
        <v>4</v>
      </c>
      <c r="Q64" s="1" t="n">
        <v>5</v>
      </c>
      <c r="R64" s="1" t="n">
        <v>4</v>
      </c>
      <c r="S64" s="1" t="n">
        <v>1</v>
      </c>
    </row>
    <row r="65">
      <c r="A65" t="inlineStr">
        <is>
          <t>Course Leader</t>
        </is>
      </c>
      <c r="B65" s="1" t="n">
        <v>4</v>
      </c>
      <c r="C65" s="1" t="n">
        <v>4</v>
      </c>
      <c r="D65" s="1" t="n">
        <v>3</v>
      </c>
      <c r="E65" s="1" t="n">
        <v>2</v>
      </c>
      <c r="F65" s="1" t="n">
        <v>5</v>
      </c>
      <c r="G65" s="1" t="n">
        <v>5</v>
      </c>
      <c r="H65" s="1" t="n">
        <v>5</v>
      </c>
      <c r="I65" s="1" t="n">
        <v>5</v>
      </c>
      <c r="J65" s="1" t="n">
        <v>5</v>
      </c>
      <c r="K65" s="1" t="n">
        <v>5</v>
      </c>
      <c r="L65" s="1" t="n">
        <v>5</v>
      </c>
      <c r="M65" s="1" t="n">
        <v>5</v>
      </c>
      <c r="N65" s="1" t="n">
        <v>5</v>
      </c>
      <c r="O65" s="1" t="n">
        <v>4</v>
      </c>
      <c r="P65" s="1" t="n">
        <v>5</v>
      </c>
      <c r="Q65" s="1" t="n">
        <v>4</v>
      </c>
      <c r="R65" s="1" t="n">
        <v>4</v>
      </c>
      <c r="S65" s="1" t="n">
        <v>3</v>
      </c>
    </row>
    <row r="66">
      <c r="A66" t="inlineStr">
        <is>
          <t>Course Leader</t>
        </is>
      </c>
      <c r="B66" s="1" t="n">
        <v>5</v>
      </c>
      <c r="C66" s="1" t="n">
        <v>4</v>
      </c>
      <c r="D66" s="1" t="n">
        <v>3</v>
      </c>
      <c r="E66" s="1" t="n">
        <v>4</v>
      </c>
      <c r="F66" s="1" t="n">
        <v>3</v>
      </c>
      <c r="G66" s="1" t="n">
        <v>5</v>
      </c>
      <c r="H66" s="1" t="n">
        <v>5</v>
      </c>
      <c r="I66" s="1" t="n">
        <v>4</v>
      </c>
      <c r="J66" s="1" t="n">
        <v>5</v>
      </c>
      <c r="K66" s="1" t="n">
        <v>4</v>
      </c>
      <c r="L66" s="1" t="n">
        <v>4</v>
      </c>
      <c r="M66" s="1" t="n">
        <v>4</v>
      </c>
      <c r="N66" s="1" t="n">
        <v>5</v>
      </c>
      <c r="O66" s="1" t="n">
        <v>4</v>
      </c>
      <c r="P66" s="1" t="n">
        <v>4</v>
      </c>
      <c r="Q66" s="1" t="n">
        <v>4</v>
      </c>
      <c r="R66" s="1" t="n">
        <v>5</v>
      </c>
      <c r="S66" s="1" t="n">
        <v>3</v>
      </c>
    </row>
    <row r="67">
      <c r="A67" t="inlineStr">
        <is>
          <t>Admin Assistant</t>
        </is>
      </c>
      <c r="B67" s="1" t="n">
        <v>1</v>
      </c>
      <c r="C67" s="1" t="n">
        <v>2</v>
      </c>
      <c r="D67" s="1" t="n">
        <v>3</v>
      </c>
      <c r="E67" s="1" t="n">
        <v>1</v>
      </c>
      <c r="F67" s="1" t="n">
        <v>1</v>
      </c>
      <c r="G67" s="1" t="n">
        <v>4</v>
      </c>
      <c r="H67" s="1" t="n">
        <v>2</v>
      </c>
      <c r="I67" s="1" t="n">
        <v>2</v>
      </c>
      <c r="J67" s="1" t="n">
        <v>3</v>
      </c>
      <c r="K67" s="1" t="n">
        <v>3</v>
      </c>
      <c r="L67" s="1" t="n">
        <v>2</v>
      </c>
      <c r="M67" s="1" t="n">
        <v>1</v>
      </c>
      <c r="N67" s="1" t="n">
        <v>1</v>
      </c>
      <c r="O67" s="1" t="n">
        <v>1</v>
      </c>
      <c r="P67" s="1" t="n">
        <v>3</v>
      </c>
      <c r="Q67" s="1" t="n">
        <v>1</v>
      </c>
      <c r="R67" s="1" t="n">
        <v>1</v>
      </c>
      <c r="S67" s="1" t="n">
        <v>1</v>
      </c>
    </row>
    <row r="68">
      <c r="A68" t="inlineStr">
        <is>
          <t>Admin Assistant</t>
        </is>
      </c>
      <c r="B68" s="1" t="n">
        <v>1</v>
      </c>
      <c r="C68" s="1" t="n">
        <v>1</v>
      </c>
      <c r="D68" s="1" t="n">
        <v>2</v>
      </c>
      <c r="E68" s="1" t="n">
        <v>2</v>
      </c>
      <c r="F68" s="1" t="n">
        <v>1</v>
      </c>
      <c r="G68" s="1" t="n">
        <v>4</v>
      </c>
      <c r="H68" s="1" t="n">
        <v>4</v>
      </c>
      <c r="I68" s="1" t="n">
        <v>3</v>
      </c>
      <c r="J68" s="1" t="n">
        <v>1</v>
      </c>
      <c r="K68" s="1" t="n">
        <v>5</v>
      </c>
      <c r="L68" s="1" t="n">
        <v>2</v>
      </c>
      <c r="M68" s="1" t="n">
        <v>1</v>
      </c>
      <c r="N68" s="1" t="n">
        <v>2</v>
      </c>
      <c r="O68" s="1" t="n">
        <v>4</v>
      </c>
      <c r="P68" s="1" t="n">
        <v>3</v>
      </c>
      <c r="Q68" s="1" t="n">
        <v>3</v>
      </c>
      <c r="R68" s="1" t="n">
        <v>3</v>
      </c>
      <c r="S68" s="1" t="n">
        <v>4</v>
      </c>
    </row>
    <row r="69">
      <c r="A69" t="inlineStr">
        <is>
          <t>Student</t>
        </is>
      </c>
      <c r="B69" s="1" t="n">
        <v>5</v>
      </c>
      <c r="C69" s="1" t="n">
        <v>4</v>
      </c>
      <c r="D69" s="1" t="n">
        <v>4</v>
      </c>
      <c r="E69" s="1" t="n">
        <v>5</v>
      </c>
      <c r="F69" s="1" t="n">
        <v>5</v>
      </c>
      <c r="G69" s="1" t="n">
        <v>5</v>
      </c>
      <c r="H69" s="1" t="n">
        <v>2</v>
      </c>
      <c r="I69" s="1" t="n">
        <v>4</v>
      </c>
      <c r="J69" s="1" t="n">
        <v>4</v>
      </c>
      <c r="K69" s="1" t="n">
        <v>3</v>
      </c>
      <c r="L69" s="1" t="n">
        <v>5</v>
      </c>
      <c r="M69" s="1" t="n">
        <v>5</v>
      </c>
      <c r="N69" s="1" t="n">
        <v>5</v>
      </c>
      <c r="O69" s="1" t="n">
        <v>1</v>
      </c>
      <c r="P69" s="1" t="n">
        <v>4</v>
      </c>
      <c r="Q69" s="1" t="n">
        <v>5</v>
      </c>
      <c r="R69" s="1" t="n">
        <v>3</v>
      </c>
      <c r="S69" s="1" t="n">
        <v>3</v>
      </c>
    </row>
    <row r="70">
      <c r="A70" t="inlineStr">
        <is>
          <t>Course Leader</t>
        </is>
      </c>
      <c r="B70" s="1" t="n">
        <v>4</v>
      </c>
      <c r="C70" s="1" t="n">
        <v>1</v>
      </c>
      <c r="D70" s="1" t="n">
        <v>2</v>
      </c>
      <c r="E70" s="1" t="n">
        <v>3</v>
      </c>
      <c r="F70" s="1" t="n">
        <v>3</v>
      </c>
      <c r="G70" s="1" t="n">
        <v>4</v>
      </c>
      <c r="H70" s="1" t="n">
        <v>4</v>
      </c>
      <c r="I70" s="1" t="n">
        <v>5</v>
      </c>
      <c r="J70" s="1" t="n">
        <v>4</v>
      </c>
      <c r="K70" s="1" t="n">
        <v>5</v>
      </c>
      <c r="L70" s="1" t="n">
        <v>4</v>
      </c>
      <c r="M70" s="1" t="n">
        <v>5</v>
      </c>
      <c r="N70" s="1" t="n">
        <v>5</v>
      </c>
      <c r="O70" s="1" t="n">
        <v>4</v>
      </c>
      <c r="P70" s="1" t="n">
        <v>4</v>
      </c>
      <c r="Q70" s="1" t="n">
        <v>4</v>
      </c>
      <c r="R70" s="1" t="n">
        <v>5</v>
      </c>
      <c r="S70" s="1" t="n">
        <v>3</v>
      </c>
    </row>
    <row r="71">
      <c r="A71" t="inlineStr">
        <is>
          <t>Student</t>
        </is>
      </c>
      <c r="B71" s="1" t="n">
        <v>4</v>
      </c>
      <c r="C71" s="1" t="n">
        <v>5</v>
      </c>
      <c r="D71" s="1" t="n">
        <v>4</v>
      </c>
      <c r="E71" s="1" t="n">
        <v>5</v>
      </c>
      <c r="F71" s="1" t="n">
        <v>3</v>
      </c>
      <c r="G71" s="1" t="n">
        <v>4</v>
      </c>
      <c r="H71" s="1" t="n">
        <v>3</v>
      </c>
      <c r="I71" s="1" t="n">
        <v>5</v>
      </c>
      <c r="J71" s="1" t="n">
        <v>3</v>
      </c>
      <c r="K71" s="1" t="n">
        <v>4</v>
      </c>
      <c r="L71" s="1" t="n">
        <v>3</v>
      </c>
      <c r="M71" s="1" t="n">
        <v>5</v>
      </c>
      <c r="N71" s="1" t="n">
        <v>3</v>
      </c>
      <c r="O71" s="1" t="n">
        <v>5</v>
      </c>
      <c r="P71" s="1" t="n">
        <v>4</v>
      </c>
      <c r="Q71" s="1" t="n">
        <v>3</v>
      </c>
      <c r="R71" s="1" t="n">
        <v>5</v>
      </c>
      <c r="S71" s="1" t="n">
        <v>3</v>
      </c>
    </row>
    <row r="72">
      <c r="A72" t="inlineStr">
        <is>
          <t>Demonstrator</t>
        </is>
      </c>
      <c r="B72" s="1" t="n">
        <v>3</v>
      </c>
      <c r="C72" s="1" t="n">
        <v>5</v>
      </c>
      <c r="D72" s="1" t="n">
        <v>5</v>
      </c>
      <c r="E72" s="1" t="n">
        <v>4</v>
      </c>
      <c r="F72" s="1" t="n">
        <v>5</v>
      </c>
      <c r="G72" s="1" t="n">
        <v>5</v>
      </c>
      <c r="H72" s="1" t="n">
        <v>2</v>
      </c>
      <c r="I72" s="1" t="n">
        <v>3</v>
      </c>
      <c r="J72" s="1" t="n">
        <v>4</v>
      </c>
      <c r="K72" s="1" t="n">
        <v>5</v>
      </c>
      <c r="L72" s="1" t="n">
        <v>3</v>
      </c>
      <c r="M72" s="1" t="n">
        <v>5</v>
      </c>
      <c r="N72" s="1" t="n">
        <v>5</v>
      </c>
      <c r="O72" s="1" t="n">
        <v>1</v>
      </c>
      <c r="P72" s="1" t="n">
        <v>5</v>
      </c>
      <c r="Q72" s="1" t="n">
        <v>4</v>
      </c>
      <c r="R72" s="1" t="n">
        <v>2</v>
      </c>
      <c r="S72" s="1" t="n">
        <v>3</v>
      </c>
    </row>
    <row r="73">
      <c r="A73" t="inlineStr">
        <is>
          <t>Course Leader</t>
        </is>
      </c>
      <c r="B73" s="1" t="n">
        <v>1</v>
      </c>
      <c r="C73" s="1" t="n">
        <v>3</v>
      </c>
      <c r="D73" s="1" t="n">
        <v>1</v>
      </c>
      <c r="E73" s="1" t="n">
        <v>3</v>
      </c>
      <c r="F73" s="1" t="n">
        <v>4</v>
      </c>
      <c r="G73" s="1" t="n">
        <v>4</v>
      </c>
      <c r="H73" s="1" t="n">
        <v>5</v>
      </c>
      <c r="I73" s="1" t="n">
        <v>2</v>
      </c>
      <c r="J73" s="1" t="n">
        <v>5</v>
      </c>
      <c r="K73" s="1" t="n">
        <v>5</v>
      </c>
      <c r="L73" s="1" t="n">
        <v>2</v>
      </c>
      <c r="M73" s="1" t="n">
        <v>4</v>
      </c>
      <c r="N73" s="1" t="n">
        <v>5</v>
      </c>
      <c r="O73" s="1" t="n">
        <v>3</v>
      </c>
      <c r="P73" s="1" t="n">
        <v>5</v>
      </c>
      <c r="Q73" s="1" t="n">
        <v>4</v>
      </c>
      <c r="R73" s="1" t="n">
        <v>3</v>
      </c>
      <c r="S73" s="1" t="n">
        <v>3</v>
      </c>
    </row>
    <row r="74">
      <c r="A74" t="inlineStr">
        <is>
          <t>Demonstrator</t>
        </is>
      </c>
      <c r="B74" s="1" t="n">
        <v>4</v>
      </c>
      <c r="C74" s="1" t="n">
        <v>5</v>
      </c>
      <c r="D74" s="1" t="n">
        <v>4</v>
      </c>
      <c r="E74" s="1" t="n">
        <v>2</v>
      </c>
      <c r="F74" s="1" t="n">
        <v>5</v>
      </c>
      <c r="G74" s="1" t="n">
        <v>2</v>
      </c>
      <c r="H74" s="1" t="n">
        <v>4</v>
      </c>
      <c r="I74" s="1" t="n">
        <v>2</v>
      </c>
      <c r="J74" s="1" t="n">
        <v>2</v>
      </c>
      <c r="K74" s="1" t="n">
        <v>4</v>
      </c>
      <c r="L74" s="1" t="n">
        <v>4</v>
      </c>
      <c r="M74" s="1" t="n">
        <v>3</v>
      </c>
      <c r="N74" s="1" t="n">
        <v>3</v>
      </c>
      <c r="O74" s="1" t="n">
        <v>3</v>
      </c>
      <c r="P74" s="1" t="n">
        <v>5</v>
      </c>
      <c r="Q74" s="1" t="n">
        <v>4</v>
      </c>
      <c r="R74" s="1" t="n">
        <v>4</v>
      </c>
      <c r="S74" s="1" t="n">
        <v>3</v>
      </c>
    </row>
    <row r="75">
      <c r="A75" t="inlineStr">
        <is>
          <t>Student</t>
        </is>
      </c>
      <c r="B75" s="1" t="n">
        <v>5</v>
      </c>
      <c r="C75" s="1" t="n">
        <v>4</v>
      </c>
      <c r="D75" s="1" t="n">
        <v>4</v>
      </c>
      <c r="E75" s="1" t="n">
        <v>5</v>
      </c>
      <c r="F75" s="1" t="n">
        <v>5</v>
      </c>
      <c r="G75" s="1" t="n">
        <v>4</v>
      </c>
      <c r="H75" s="1" t="n">
        <v>3</v>
      </c>
      <c r="I75" s="1" t="n">
        <v>4</v>
      </c>
      <c r="J75" s="1" t="n">
        <v>3</v>
      </c>
      <c r="K75" s="1" t="n">
        <v>5</v>
      </c>
      <c r="L75" s="1" t="n">
        <v>3</v>
      </c>
      <c r="M75" s="1" t="n">
        <v>2</v>
      </c>
      <c r="N75" s="1" t="n">
        <v>4</v>
      </c>
      <c r="O75" s="1" t="n">
        <v>5</v>
      </c>
      <c r="P75" s="1" t="n">
        <v>5</v>
      </c>
      <c r="Q75" s="1" t="n">
        <v>5</v>
      </c>
      <c r="R75" s="1" t="n">
        <v>3</v>
      </c>
      <c r="S75" s="1" t="n">
        <v>3</v>
      </c>
    </row>
    <row r="76">
      <c r="A76" t="inlineStr">
        <is>
          <t>Admin Assistant</t>
        </is>
      </c>
      <c r="B76" s="1" t="n">
        <v>2</v>
      </c>
      <c r="C76" s="1" t="n">
        <v>2</v>
      </c>
      <c r="D76" s="1" t="n">
        <v>1</v>
      </c>
      <c r="E76" s="1" t="n">
        <v>1</v>
      </c>
      <c r="F76" s="1" t="n">
        <v>1</v>
      </c>
      <c r="G76" s="1" t="n">
        <v>3</v>
      </c>
      <c r="H76" s="1" t="n">
        <v>1</v>
      </c>
      <c r="I76" s="1" t="n">
        <v>1</v>
      </c>
      <c r="J76" s="1" t="n">
        <v>2</v>
      </c>
      <c r="K76" s="1" t="n">
        <v>1</v>
      </c>
      <c r="L76" s="1" t="n">
        <v>3</v>
      </c>
      <c r="M76" s="1" t="n">
        <v>1</v>
      </c>
      <c r="N76" s="1" t="n">
        <v>3</v>
      </c>
      <c r="O76" s="1" t="n">
        <v>2</v>
      </c>
      <c r="P76" s="1" t="n">
        <v>3</v>
      </c>
      <c r="Q76" s="1" t="n">
        <v>4</v>
      </c>
      <c r="R76" s="1" t="n">
        <v>4</v>
      </c>
      <c r="S76" s="1" t="n">
        <v>4</v>
      </c>
    </row>
    <row r="77">
      <c r="A77" t="inlineStr">
        <is>
          <t>Student</t>
        </is>
      </c>
      <c r="B77" s="1" t="n">
        <v>4</v>
      </c>
      <c r="C77" s="1" t="n">
        <v>5</v>
      </c>
      <c r="D77" s="1" t="n">
        <v>4</v>
      </c>
      <c r="E77" s="1" t="n">
        <v>4</v>
      </c>
      <c r="F77" s="1" t="n">
        <v>5</v>
      </c>
      <c r="G77" s="1" t="n">
        <v>5</v>
      </c>
      <c r="H77" s="1" t="n">
        <v>3</v>
      </c>
      <c r="I77" s="1" t="n">
        <v>5</v>
      </c>
      <c r="J77" s="1" t="n">
        <v>4</v>
      </c>
      <c r="K77" s="1" t="n">
        <v>4</v>
      </c>
      <c r="L77" s="1" t="n">
        <v>4</v>
      </c>
      <c r="M77" s="1" t="n">
        <v>2</v>
      </c>
      <c r="N77" s="1" t="n">
        <v>2</v>
      </c>
      <c r="O77" s="1" t="n">
        <v>3</v>
      </c>
      <c r="P77" s="1" t="n">
        <v>4</v>
      </c>
      <c r="Q77" s="1" t="n">
        <v>5</v>
      </c>
      <c r="R77" s="1" t="n">
        <v>5</v>
      </c>
      <c r="S77" s="1" t="n">
        <v>4</v>
      </c>
    </row>
    <row r="78">
      <c r="A78" t="inlineStr">
        <is>
          <t>Demonstrator</t>
        </is>
      </c>
      <c r="B78" s="1" t="n">
        <v>4</v>
      </c>
      <c r="C78" s="1" t="n">
        <v>5</v>
      </c>
      <c r="D78" s="1" t="n">
        <v>4</v>
      </c>
      <c r="E78" s="1" t="n">
        <v>4</v>
      </c>
      <c r="F78" s="1" t="n">
        <v>4</v>
      </c>
      <c r="G78" s="1" t="n">
        <v>3</v>
      </c>
      <c r="H78" s="1" t="n">
        <v>3</v>
      </c>
      <c r="I78" s="1" t="n">
        <v>4</v>
      </c>
      <c r="J78" s="1" t="n">
        <v>4</v>
      </c>
      <c r="K78" s="1" t="n">
        <v>4</v>
      </c>
      <c r="L78" s="1" t="n">
        <v>4</v>
      </c>
      <c r="M78" s="1" t="n">
        <v>4</v>
      </c>
      <c r="N78" s="1" t="n">
        <v>4</v>
      </c>
      <c r="O78" s="1" t="n">
        <v>2</v>
      </c>
      <c r="P78" s="1" t="n">
        <v>1</v>
      </c>
      <c r="Q78" s="1" t="n">
        <v>5</v>
      </c>
      <c r="R78" s="1" t="n">
        <v>1</v>
      </c>
      <c r="S78" s="1" t="n">
        <v>3</v>
      </c>
    </row>
    <row r="79">
      <c r="A79" t="inlineStr">
        <is>
          <t>Course Leader</t>
        </is>
      </c>
      <c r="B79" s="1" t="n">
        <v>2</v>
      </c>
      <c r="C79" s="1" t="n">
        <v>1</v>
      </c>
      <c r="D79" s="1" t="n">
        <v>3</v>
      </c>
      <c r="E79" s="1" t="n">
        <v>5</v>
      </c>
      <c r="F79" s="1" t="n">
        <v>2</v>
      </c>
      <c r="G79" s="1" t="n">
        <v>3</v>
      </c>
      <c r="H79" s="1" t="n">
        <v>3</v>
      </c>
      <c r="I79" s="1" t="n">
        <v>5</v>
      </c>
      <c r="J79" s="1" t="n">
        <v>5</v>
      </c>
      <c r="K79" s="1" t="n">
        <v>4</v>
      </c>
      <c r="L79" s="1" t="n">
        <v>5</v>
      </c>
      <c r="M79" s="1" t="n">
        <v>4</v>
      </c>
      <c r="N79" s="1" t="n">
        <v>4</v>
      </c>
      <c r="O79" s="1" t="n">
        <v>3</v>
      </c>
      <c r="P79" s="1" t="n">
        <v>5</v>
      </c>
      <c r="Q79" s="1" t="n">
        <v>3</v>
      </c>
      <c r="R79" s="1" t="n">
        <v>3</v>
      </c>
      <c r="S79" s="1" t="n">
        <v>2</v>
      </c>
    </row>
    <row r="80">
      <c r="A80" t="inlineStr">
        <is>
          <t>Student</t>
        </is>
      </c>
      <c r="B80" s="1" t="n">
        <v>5</v>
      </c>
      <c r="C80" s="1" t="n">
        <v>5</v>
      </c>
      <c r="D80" s="1" t="n">
        <v>5</v>
      </c>
      <c r="E80" s="1" t="n">
        <v>5</v>
      </c>
      <c r="F80" s="1" t="n">
        <v>5</v>
      </c>
      <c r="G80" s="1" t="n">
        <v>1</v>
      </c>
      <c r="H80" s="1" t="n">
        <v>5</v>
      </c>
      <c r="I80" s="1" t="n">
        <v>3</v>
      </c>
      <c r="J80" s="1" t="n">
        <v>2</v>
      </c>
      <c r="K80" s="1" t="n">
        <v>5</v>
      </c>
      <c r="L80" s="1" t="n">
        <v>4</v>
      </c>
      <c r="M80" s="1" t="n">
        <v>5</v>
      </c>
      <c r="N80" s="1" t="n">
        <v>5</v>
      </c>
      <c r="O80" s="1" t="n">
        <v>4</v>
      </c>
      <c r="P80" s="1" t="n">
        <v>5</v>
      </c>
      <c r="Q80" s="1" t="n">
        <v>4</v>
      </c>
      <c r="R80" s="1" t="n">
        <v>5</v>
      </c>
      <c r="S80" s="1" t="n">
        <v>3</v>
      </c>
    </row>
    <row r="81">
      <c r="A81" t="inlineStr">
        <is>
          <t>Course Leader</t>
        </is>
      </c>
      <c r="B81" s="1" t="n">
        <v>5</v>
      </c>
      <c r="C81" s="1" t="n">
        <v>4</v>
      </c>
      <c r="D81" s="1" t="n">
        <v>2</v>
      </c>
      <c r="E81" s="1" t="n">
        <v>1</v>
      </c>
      <c r="F81" s="1" t="n">
        <v>3</v>
      </c>
      <c r="G81" s="1" t="n">
        <v>3</v>
      </c>
      <c r="H81" s="1" t="n">
        <v>5</v>
      </c>
      <c r="I81" s="1" t="n">
        <v>5</v>
      </c>
      <c r="J81" s="1" t="n">
        <v>5</v>
      </c>
      <c r="K81" s="1" t="n">
        <v>4</v>
      </c>
      <c r="L81" s="1" t="n">
        <v>3</v>
      </c>
      <c r="M81" s="1" t="n">
        <v>3</v>
      </c>
      <c r="N81" s="1" t="n">
        <v>4</v>
      </c>
      <c r="O81" s="1" t="n">
        <v>4</v>
      </c>
      <c r="P81" s="1" t="n">
        <v>3</v>
      </c>
      <c r="Q81" s="1" t="n">
        <v>5</v>
      </c>
      <c r="R81" s="1" t="n">
        <v>5</v>
      </c>
      <c r="S81" s="1" t="n">
        <v>4</v>
      </c>
    </row>
    <row r="82">
      <c r="A82" t="inlineStr">
        <is>
          <t>Admin Assistant</t>
        </is>
      </c>
      <c r="B82" s="1" t="n">
        <v>3</v>
      </c>
      <c r="C82" s="1" t="n">
        <v>1</v>
      </c>
      <c r="D82" s="1" t="n">
        <v>1</v>
      </c>
      <c r="E82" s="1" t="n">
        <v>4</v>
      </c>
      <c r="F82" s="1" t="n">
        <v>1</v>
      </c>
      <c r="G82" s="1" t="n">
        <v>2</v>
      </c>
      <c r="H82" s="1" t="n">
        <v>2</v>
      </c>
      <c r="I82" s="1" t="n">
        <v>3</v>
      </c>
      <c r="J82" s="1" t="n">
        <v>2</v>
      </c>
      <c r="K82" s="1" t="n">
        <v>4</v>
      </c>
      <c r="L82" s="1" t="n">
        <v>1</v>
      </c>
      <c r="M82" s="1" t="n">
        <v>2</v>
      </c>
      <c r="N82" s="1" t="n">
        <v>2</v>
      </c>
      <c r="O82" s="1" t="n">
        <v>2</v>
      </c>
      <c r="P82" s="1" t="n">
        <v>5</v>
      </c>
      <c r="Q82" s="1" t="n">
        <v>2</v>
      </c>
      <c r="R82" s="1" t="n">
        <v>4</v>
      </c>
      <c r="S82" s="1" t="n">
        <v>4</v>
      </c>
    </row>
    <row r="83">
      <c r="A83" t="inlineStr">
        <is>
          <t>Admin Assistant</t>
        </is>
      </c>
      <c r="B83" s="1" t="n">
        <v>1</v>
      </c>
      <c r="C83" s="1" t="n">
        <v>1</v>
      </c>
      <c r="D83" s="1" t="n">
        <v>1</v>
      </c>
      <c r="E83" s="1" t="n">
        <v>1</v>
      </c>
      <c r="F83" s="1" t="n">
        <v>2</v>
      </c>
      <c r="G83" s="1" t="n">
        <v>2</v>
      </c>
      <c r="H83" s="1" t="n">
        <v>2</v>
      </c>
      <c r="I83" s="1" t="n">
        <v>1</v>
      </c>
      <c r="J83" s="1" t="n">
        <v>3</v>
      </c>
      <c r="K83" s="1" t="n">
        <v>2</v>
      </c>
      <c r="L83" s="1" t="n">
        <v>3</v>
      </c>
      <c r="M83" s="1" t="n">
        <v>1</v>
      </c>
      <c r="N83" s="1" t="n">
        <v>3</v>
      </c>
      <c r="O83" s="1" t="n">
        <v>3</v>
      </c>
      <c r="P83" s="1" t="n">
        <v>1</v>
      </c>
      <c r="Q83" s="1" t="n">
        <v>4</v>
      </c>
      <c r="R83" s="1" t="n">
        <v>2</v>
      </c>
      <c r="S83" s="1" t="n">
        <v>4</v>
      </c>
    </row>
    <row r="84">
      <c r="A84" t="inlineStr">
        <is>
          <t>Admin Assistant</t>
        </is>
      </c>
      <c r="B84" s="1" t="n">
        <v>3</v>
      </c>
      <c r="C84" s="1" t="n">
        <v>3</v>
      </c>
      <c r="D84" s="1" t="n">
        <v>1</v>
      </c>
      <c r="E84" s="1" t="n">
        <v>1</v>
      </c>
      <c r="F84" s="1" t="n">
        <v>1</v>
      </c>
      <c r="G84" s="1" t="n">
        <v>1</v>
      </c>
      <c r="H84" s="1" t="n">
        <v>2</v>
      </c>
      <c r="I84" s="1" t="n">
        <v>3</v>
      </c>
      <c r="J84" s="1" t="n">
        <v>2</v>
      </c>
      <c r="K84" s="1" t="n">
        <v>3</v>
      </c>
      <c r="L84" s="1" t="n">
        <v>1</v>
      </c>
      <c r="M84" s="1" t="n">
        <v>3</v>
      </c>
      <c r="N84" s="1" t="n">
        <v>2</v>
      </c>
      <c r="O84" s="1" t="n">
        <v>5</v>
      </c>
      <c r="P84" s="1" t="n">
        <v>3</v>
      </c>
      <c r="Q84" s="1" t="n">
        <v>1</v>
      </c>
      <c r="R84" s="1" t="n">
        <v>3</v>
      </c>
      <c r="S84" s="1" t="n">
        <v>3</v>
      </c>
    </row>
    <row r="85">
      <c r="A85" t="inlineStr">
        <is>
          <t>Course Leader</t>
        </is>
      </c>
      <c r="B85" s="1" t="n">
        <v>3</v>
      </c>
      <c r="C85" s="1" t="n">
        <v>3</v>
      </c>
      <c r="D85" s="1" t="n">
        <v>2</v>
      </c>
      <c r="E85" s="1" t="n">
        <v>2</v>
      </c>
      <c r="F85" s="1" t="n">
        <v>2</v>
      </c>
      <c r="G85" s="1" t="n">
        <v>5</v>
      </c>
      <c r="H85" s="1" t="n">
        <v>3</v>
      </c>
      <c r="I85" s="1" t="n">
        <v>5</v>
      </c>
      <c r="J85" s="1" t="n">
        <v>5</v>
      </c>
      <c r="K85" s="1" t="n">
        <v>4</v>
      </c>
      <c r="L85" s="1" t="n">
        <v>3</v>
      </c>
      <c r="M85" s="1" t="n">
        <v>5</v>
      </c>
      <c r="N85" s="1" t="n">
        <v>4</v>
      </c>
      <c r="O85" s="1" t="n">
        <v>2</v>
      </c>
      <c r="P85" s="1" t="n">
        <v>4</v>
      </c>
      <c r="Q85" s="1" t="n">
        <v>4</v>
      </c>
      <c r="R85" s="1" t="n">
        <v>3</v>
      </c>
      <c r="S85" s="1" t="n">
        <v>4</v>
      </c>
    </row>
    <row r="86">
      <c r="A86" t="inlineStr">
        <is>
          <t>Student</t>
        </is>
      </c>
      <c r="B86" s="1" t="n">
        <v>5</v>
      </c>
      <c r="C86" s="1" t="n">
        <v>5</v>
      </c>
      <c r="D86" s="1" t="n">
        <v>4</v>
      </c>
      <c r="E86" s="1" t="n">
        <v>5</v>
      </c>
      <c r="F86" s="1" t="n">
        <v>5</v>
      </c>
      <c r="G86" s="1" t="n">
        <v>3</v>
      </c>
      <c r="H86" s="1" t="n">
        <v>5</v>
      </c>
      <c r="I86" s="1" t="n">
        <v>5</v>
      </c>
      <c r="J86" s="1" t="n">
        <v>3</v>
      </c>
      <c r="K86" s="1" t="n">
        <v>4</v>
      </c>
      <c r="L86" s="1" t="n">
        <v>3</v>
      </c>
      <c r="M86" s="1" t="n">
        <v>3</v>
      </c>
      <c r="N86" s="1" t="n">
        <v>2</v>
      </c>
      <c r="O86" s="1" t="n">
        <v>5</v>
      </c>
      <c r="P86" s="1" t="n">
        <v>4</v>
      </c>
      <c r="Q86" s="1" t="n">
        <v>5</v>
      </c>
      <c r="R86" s="1" t="n">
        <v>3</v>
      </c>
      <c r="S86" s="1" t="n">
        <v>3</v>
      </c>
    </row>
    <row r="87">
      <c r="A87" t="inlineStr">
        <is>
          <t>Course Leader</t>
        </is>
      </c>
      <c r="B87" s="1" t="n">
        <v>4</v>
      </c>
      <c r="C87" s="1" t="n">
        <v>5</v>
      </c>
      <c r="D87" s="1" t="n">
        <v>5</v>
      </c>
      <c r="E87" s="1" t="n">
        <v>3</v>
      </c>
      <c r="F87" s="1" t="n">
        <v>5</v>
      </c>
      <c r="G87" s="1" t="n">
        <v>5</v>
      </c>
      <c r="H87" s="1" t="n">
        <v>5</v>
      </c>
      <c r="I87" s="1" t="n">
        <v>3</v>
      </c>
      <c r="J87" s="1" t="n">
        <v>3</v>
      </c>
      <c r="K87" s="1" t="n">
        <v>4</v>
      </c>
      <c r="L87" s="1" t="n">
        <v>4</v>
      </c>
      <c r="M87" s="1" t="n">
        <v>5</v>
      </c>
      <c r="N87" s="1" t="n">
        <v>4</v>
      </c>
      <c r="O87" s="1" t="n">
        <v>5</v>
      </c>
      <c r="P87" s="1" t="n">
        <v>5</v>
      </c>
      <c r="Q87" s="1" t="n">
        <v>5</v>
      </c>
      <c r="R87" s="1" t="n">
        <v>2</v>
      </c>
      <c r="S87" s="1" t="n">
        <v>3</v>
      </c>
    </row>
    <row r="88">
      <c r="A88" t="inlineStr">
        <is>
          <t>Course Leader</t>
        </is>
      </c>
      <c r="B88" s="1" t="n">
        <v>3</v>
      </c>
      <c r="C88" s="1" t="n">
        <v>1</v>
      </c>
      <c r="D88" s="1" t="n">
        <v>2</v>
      </c>
      <c r="E88" s="1" t="n">
        <v>2</v>
      </c>
      <c r="F88" s="1" t="n">
        <v>5</v>
      </c>
      <c r="G88" s="1" t="n">
        <v>5</v>
      </c>
      <c r="H88" s="1" t="n">
        <v>3</v>
      </c>
      <c r="I88" s="1" t="n">
        <v>5</v>
      </c>
      <c r="J88" s="1" t="n">
        <v>5</v>
      </c>
      <c r="K88" s="1" t="n">
        <v>5</v>
      </c>
      <c r="L88" s="1" t="n">
        <v>5</v>
      </c>
      <c r="M88" s="1" t="n">
        <v>4</v>
      </c>
      <c r="N88" s="1" t="n">
        <v>4</v>
      </c>
      <c r="O88" s="1" t="n">
        <v>5</v>
      </c>
      <c r="P88" s="1" t="n">
        <v>5</v>
      </c>
      <c r="Q88" s="1" t="n">
        <v>5</v>
      </c>
      <c r="R88" s="1" t="n">
        <v>4</v>
      </c>
      <c r="S88" s="1" t="n">
        <v>2</v>
      </c>
    </row>
    <row r="89">
      <c r="A89" t="inlineStr">
        <is>
          <t>Student</t>
        </is>
      </c>
      <c r="B89" s="1" t="n">
        <v>4</v>
      </c>
      <c r="C89" s="1" t="n">
        <v>4</v>
      </c>
      <c r="D89" s="1" t="n">
        <v>4</v>
      </c>
      <c r="E89" s="1" t="n">
        <v>4</v>
      </c>
      <c r="F89" s="1" t="n">
        <v>5</v>
      </c>
      <c r="G89" s="1" t="n">
        <v>3</v>
      </c>
      <c r="H89" s="1" t="n">
        <v>5</v>
      </c>
      <c r="I89" s="1" t="n">
        <v>2</v>
      </c>
      <c r="J89" s="1" t="n">
        <v>4</v>
      </c>
      <c r="K89" s="1" t="n">
        <v>1</v>
      </c>
      <c r="L89" s="1" t="n">
        <v>4</v>
      </c>
      <c r="M89" s="1" t="n">
        <v>5</v>
      </c>
      <c r="N89" s="1" t="n">
        <v>5</v>
      </c>
      <c r="O89" s="1" t="n">
        <v>3</v>
      </c>
      <c r="P89" s="1" t="n">
        <v>4</v>
      </c>
      <c r="Q89" s="1" t="n">
        <v>3</v>
      </c>
      <c r="R89" s="1" t="n">
        <v>2</v>
      </c>
      <c r="S89" s="1" t="n">
        <v>3</v>
      </c>
    </row>
    <row r="90">
      <c r="A90" t="inlineStr">
        <is>
          <t>Admin Assistant</t>
        </is>
      </c>
      <c r="B90" s="1" t="n">
        <v>1</v>
      </c>
      <c r="C90" s="1" t="n">
        <v>1</v>
      </c>
      <c r="D90" s="1" t="n">
        <v>2</v>
      </c>
      <c r="E90" s="1" t="n">
        <v>1</v>
      </c>
      <c r="F90" s="1" t="n">
        <v>1</v>
      </c>
      <c r="G90" s="1" t="n">
        <v>1</v>
      </c>
      <c r="H90" s="1" t="n">
        <v>1</v>
      </c>
      <c r="I90" s="1" t="n">
        <v>1</v>
      </c>
      <c r="J90" s="1" t="n">
        <v>4</v>
      </c>
      <c r="K90" s="1" t="n">
        <v>1</v>
      </c>
      <c r="L90" s="1" t="n">
        <v>4</v>
      </c>
      <c r="M90" s="1" t="n">
        <v>3</v>
      </c>
      <c r="N90" s="1" t="n">
        <v>2</v>
      </c>
      <c r="O90" s="1" t="n">
        <v>1</v>
      </c>
      <c r="P90" s="1" t="n">
        <v>1</v>
      </c>
      <c r="Q90" s="1" t="n">
        <v>3</v>
      </c>
      <c r="R90" s="1" t="n">
        <v>4</v>
      </c>
      <c r="S90" s="1" t="n">
        <v>3</v>
      </c>
    </row>
    <row r="91">
      <c r="A91" t="inlineStr">
        <is>
          <t>Admin Assistant</t>
        </is>
      </c>
      <c r="B91" s="1" t="n">
        <v>1</v>
      </c>
      <c r="C91" s="1" t="n">
        <v>3</v>
      </c>
      <c r="D91" s="1" t="n">
        <v>1</v>
      </c>
      <c r="E91" s="1" t="n">
        <v>1</v>
      </c>
      <c r="F91" s="1" t="n">
        <v>1</v>
      </c>
      <c r="G91" s="1" t="n">
        <v>2</v>
      </c>
      <c r="H91" s="1" t="n">
        <v>3</v>
      </c>
      <c r="I91" s="1" t="n">
        <v>1</v>
      </c>
      <c r="J91" s="1" t="n">
        <v>1</v>
      </c>
      <c r="K91" s="1" t="n">
        <v>1</v>
      </c>
      <c r="L91" s="1" t="n">
        <v>1</v>
      </c>
      <c r="M91" s="1" t="n">
        <v>3</v>
      </c>
      <c r="N91" s="1" t="n">
        <v>1</v>
      </c>
      <c r="O91" s="1" t="n">
        <v>1</v>
      </c>
      <c r="P91" s="1" t="n">
        <v>1</v>
      </c>
      <c r="Q91" s="1" t="n">
        <v>2</v>
      </c>
      <c r="R91" s="1" t="n">
        <v>1</v>
      </c>
      <c r="S91" s="1" t="n">
        <v>3</v>
      </c>
    </row>
    <row r="92">
      <c r="A92" t="inlineStr">
        <is>
          <t>Student</t>
        </is>
      </c>
      <c r="B92" s="1" t="n">
        <v>4</v>
      </c>
      <c r="C92" s="1" t="n">
        <v>5</v>
      </c>
      <c r="D92" s="1" t="n">
        <v>5</v>
      </c>
      <c r="E92" s="1" t="n">
        <v>5</v>
      </c>
      <c r="F92" s="1" t="n">
        <v>4</v>
      </c>
      <c r="G92" s="1" t="n">
        <v>4</v>
      </c>
      <c r="H92" s="1" t="n">
        <v>2</v>
      </c>
      <c r="I92" s="1" t="n">
        <v>1</v>
      </c>
      <c r="J92" s="1" t="n">
        <v>5</v>
      </c>
      <c r="K92" s="1" t="n">
        <v>4</v>
      </c>
      <c r="L92" s="1" t="n">
        <v>3</v>
      </c>
      <c r="M92" s="1" t="n">
        <v>2</v>
      </c>
      <c r="N92" s="1" t="n">
        <v>5</v>
      </c>
      <c r="O92" s="1" t="n">
        <v>5</v>
      </c>
      <c r="P92" s="1" t="n">
        <v>4</v>
      </c>
      <c r="Q92" s="1" t="n">
        <v>3</v>
      </c>
      <c r="R92" s="1" t="n">
        <v>3</v>
      </c>
      <c r="S92" s="1" t="n">
        <v>4</v>
      </c>
    </row>
    <row r="93">
      <c r="A93" t="inlineStr">
        <is>
          <t>Course Leader</t>
        </is>
      </c>
      <c r="B93" s="1" t="n">
        <v>1</v>
      </c>
      <c r="C93" s="1" t="n">
        <v>3</v>
      </c>
      <c r="D93" s="1" t="n">
        <v>3</v>
      </c>
      <c r="E93" s="1" t="n">
        <v>2</v>
      </c>
      <c r="F93" s="1" t="n">
        <v>4</v>
      </c>
      <c r="G93" s="1" t="n">
        <v>5</v>
      </c>
      <c r="H93" s="1" t="n">
        <v>5</v>
      </c>
      <c r="I93" s="1" t="n">
        <v>5</v>
      </c>
      <c r="J93" s="1" t="n">
        <v>4</v>
      </c>
      <c r="K93" s="1" t="n">
        <v>3</v>
      </c>
      <c r="L93" s="1" t="n">
        <v>5</v>
      </c>
      <c r="M93" s="1" t="n">
        <v>5</v>
      </c>
      <c r="N93" s="1" t="n">
        <v>5</v>
      </c>
      <c r="O93" s="1" t="n">
        <v>5</v>
      </c>
      <c r="P93" s="1" t="n">
        <v>3</v>
      </c>
      <c r="Q93" s="1" t="n">
        <v>4</v>
      </c>
      <c r="R93" s="1" t="n">
        <v>5</v>
      </c>
      <c r="S93" s="1" t="n">
        <v>4</v>
      </c>
    </row>
    <row r="94">
      <c r="A94" t="inlineStr">
        <is>
          <t>Course Leader</t>
        </is>
      </c>
      <c r="B94" s="1" t="n">
        <v>2</v>
      </c>
      <c r="C94" s="1" t="n">
        <v>2</v>
      </c>
      <c r="D94" s="1" t="n">
        <v>4</v>
      </c>
      <c r="E94" s="1" t="n">
        <v>1</v>
      </c>
      <c r="F94" s="1" t="n">
        <v>5</v>
      </c>
      <c r="G94" s="1" t="n">
        <v>5</v>
      </c>
      <c r="H94" s="1" t="n">
        <v>4</v>
      </c>
      <c r="I94" s="1" t="n">
        <v>5</v>
      </c>
      <c r="J94" s="1" t="n">
        <v>5</v>
      </c>
      <c r="K94" s="1" t="n">
        <v>5</v>
      </c>
      <c r="L94" s="1" t="n">
        <v>4</v>
      </c>
      <c r="M94" s="1" t="n">
        <v>3</v>
      </c>
      <c r="N94" s="1" t="n">
        <v>4</v>
      </c>
      <c r="O94" s="1" t="n">
        <v>5</v>
      </c>
      <c r="P94" s="1" t="n">
        <v>5</v>
      </c>
      <c r="Q94" s="1" t="n">
        <v>4</v>
      </c>
      <c r="R94" s="1" t="n">
        <v>3</v>
      </c>
      <c r="S94" s="1" t="n">
        <v>3</v>
      </c>
    </row>
    <row r="95">
      <c r="A95" t="inlineStr">
        <is>
          <t>Admin Assistant</t>
        </is>
      </c>
      <c r="B95" s="1" t="n">
        <v>3</v>
      </c>
      <c r="C95" s="1" t="n">
        <v>1</v>
      </c>
      <c r="D95" s="1" t="n">
        <v>2</v>
      </c>
      <c r="E95" s="1" t="n">
        <v>3</v>
      </c>
      <c r="F95" s="1" t="n">
        <v>1</v>
      </c>
      <c r="G95" s="1" t="n">
        <v>3</v>
      </c>
      <c r="H95" s="1" t="n">
        <v>2</v>
      </c>
      <c r="I95" s="1" t="n">
        <v>2</v>
      </c>
      <c r="J95" s="1" t="n">
        <v>1</v>
      </c>
      <c r="K95" s="1" t="n">
        <v>3</v>
      </c>
      <c r="L95" s="1" t="n">
        <v>2</v>
      </c>
      <c r="M95" s="1" t="n">
        <v>5</v>
      </c>
      <c r="N95" s="1" t="n">
        <v>2</v>
      </c>
      <c r="O95" s="1" t="n">
        <v>3</v>
      </c>
      <c r="P95" s="1" t="n">
        <v>3</v>
      </c>
      <c r="Q95" s="1" t="n">
        <v>2</v>
      </c>
      <c r="R95" s="1" t="n">
        <v>3</v>
      </c>
      <c r="S95" s="1" t="n">
        <v>3</v>
      </c>
    </row>
    <row r="96">
      <c r="A96" t="inlineStr">
        <is>
          <t>Demonstrator</t>
        </is>
      </c>
      <c r="B96" s="1" t="n">
        <v>3</v>
      </c>
      <c r="C96" s="1" t="n">
        <v>4</v>
      </c>
      <c r="D96" s="1" t="n">
        <v>2</v>
      </c>
      <c r="E96" s="1" t="n">
        <v>4</v>
      </c>
      <c r="F96" s="1" t="n">
        <v>5</v>
      </c>
      <c r="G96" s="1" t="n">
        <v>4</v>
      </c>
      <c r="H96" s="1" t="n">
        <v>2</v>
      </c>
      <c r="I96" s="1" t="n">
        <v>2</v>
      </c>
      <c r="J96" s="1" t="n">
        <v>4</v>
      </c>
      <c r="K96" s="1" t="n">
        <v>4</v>
      </c>
      <c r="L96" s="1" t="n">
        <v>2</v>
      </c>
      <c r="M96" s="1" t="n">
        <v>1</v>
      </c>
      <c r="N96" s="1" t="n">
        <v>5</v>
      </c>
      <c r="O96" s="1" t="n">
        <v>3</v>
      </c>
      <c r="P96" s="1" t="n">
        <v>2</v>
      </c>
      <c r="Q96" s="1" t="n">
        <v>3</v>
      </c>
      <c r="R96" s="1" t="n">
        <v>3</v>
      </c>
      <c r="S96" s="1" t="n">
        <v>2</v>
      </c>
    </row>
    <row r="97">
      <c r="A97" t="inlineStr">
        <is>
          <t>Demonstrator</t>
        </is>
      </c>
      <c r="B97" s="1" t="n">
        <v>5</v>
      </c>
      <c r="C97" s="1" t="n">
        <v>3</v>
      </c>
      <c r="D97" s="1" t="n">
        <v>5</v>
      </c>
      <c r="E97" s="1" t="n">
        <v>5</v>
      </c>
      <c r="F97" s="1" t="n">
        <v>5</v>
      </c>
      <c r="G97" s="1" t="n">
        <v>4</v>
      </c>
      <c r="H97" s="1" t="n">
        <v>4</v>
      </c>
      <c r="I97" s="1" t="n">
        <v>4</v>
      </c>
      <c r="J97" s="1" t="n">
        <v>3</v>
      </c>
      <c r="K97" s="1" t="n">
        <v>3</v>
      </c>
      <c r="L97" s="1" t="n">
        <v>3</v>
      </c>
      <c r="M97" s="1" t="n">
        <v>4</v>
      </c>
      <c r="N97" s="1" t="n">
        <v>3</v>
      </c>
      <c r="O97" s="1" t="n">
        <v>3</v>
      </c>
      <c r="P97" s="1" t="n">
        <v>4</v>
      </c>
      <c r="Q97" s="1" t="n">
        <v>2</v>
      </c>
      <c r="R97" s="1" t="n">
        <v>5</v>
      </c>
      <c r="S97" s="1" t="n">
        <v>3</v>
      </c>
    </row>
    <row r="98">
      <c r="A98" t="inlineStr">
        <is>
          <t>Demonstrator</t>
        </is>
      </c>
      <c r="B98" s="1" t="n">
        <v>5</v>
      </c>
      <c r="C98" s="1" t="n">
        <v>3</v>
      </c>
      <c r="D98" s="1" t="n">
        <v>5</v>
      </c>
      <c r="E98" s="1" t="n">
        <v>5</v>
      </c>
      <c r="F98" s="1" t="n">
        <v>4</v>
      </c>
      <c r="G98" s="1" t="n">
        <v>2</v>
      </c>
      <c r="H98" s="1" t="n">
        <v>5</v>
      </c>
      <c r="I98" s="1" t="n">
        <v>3</v>
      </c>
      <c r="J98" s="1" t="n">
        <v>4</v>
      </c>
      <c r="K98" s="1" t="n">
        <v>3</v>
      </c>
      <c r="L98" s="1" t="n">
        <v>4</v>
      </c>
      <c r="M98" s="1" t="n">
        <v>4</v>
      </c>
      <c r="N98" s="1" t="n">
        <v>2</v>
      </c>
      <c r="O98" s="1" t="n">
        <v>3</v>
      </c>
      <c r="P98" s="1" t="n">
        <v>4</v>
      </c>
      <c r="Q98" s="1" t="n">
        <v>4</v>
      </c>
      <c r="R98" s="1" t="n">
        <v>3</v>
      </c>
      <c r="S98" s="1" t="n">
        <v>2</v>
      </c>
    </row>
    <row r="99">
      <c r="A99" t="inlineStr">
        <is>
          <t>Course Leader</t>
        </is>
      </c>
      <c r="B99" s="1" t="n">
        <v>5</v>
      </c>
      <c r="C99" s="1" t="n">
        <v>4</v>
      </c>
      <c r="D99" s="1" t="n">
        <v>1</v>
      </c>
      <c r="E99" s="1" t="n">
        <v>3</v>
      </c>
      <c r="F99" s="1" t="n">
        <v>2</v>
      </c>
      <c r="G99" s="1" t="n">
        <v>4</v>
      </c>
      <c r="H99" s="1" t="n">
        <v>4</v>
      </c>
      <c r="I99" s="1" t="n">
        <v>5</v>
      </c>
      <c r="J99" s="1" t="n">
        <v>5</v>
      </c>
      <c r="K99" s="1" t="n">
        <v>4</v>
      </c>
      <c r="L99" s="1" t="n">
        <v>5</v>
      </c>
      <c r="M99" s="1" t="n">
        <v>5</v>
      </c>
      <c r="N99" s="1" t="n">
        <v>5</v>
      </c>
      <c r="O99" s="1" t="n">
        <v>5</v>
      </c>
      <c r="P99" s="1" t="n">
        <v>2</v>
      </c>
      <c r="Q99" s="1" t="n">
        <v>4</v>
      </c>
      <c r="R99" s="1" t="n">
        <v>2</v>
      </c>
      <c r="S99" s="1" t="n">
        <v>4</v>
      </c>
    </row>
    <row r="100">
      <c r="A100" t="inlineStr">
        <is>
          <t>Course Leader</t>
        </is>
      </c>
      <c r="B100" s="1" t="n">
        <v>4</v>
      </c>
      <c r="C100" s="1" t="n">
        <v>4</v>
      </c>
      <c r="D100" s="1" t="n">
        <v>4</v>
      </c>
      <c r="E100" s="1" t="n">
        <v>3</v>
      </c>
      <c r="F100" s="1" t="n">
        <v>3</v>
      </c>
      <c r="G100" s="1" t="n">
        <v>4</v>
      </c>
      <c r="H100" s="1" t="n">
        <v>5</v>
      </c>
      <c r="I100" s="1" t="n">
        <v>3</v>
      </c>
      <c r="J100" s="1" t="n">
        <v>4</v>
      </c>
      <c r="K100" s="1" t="n">
        <v>4</v>
      </c>
      <c r="L100" s="1" t="n">
        <v>5</v>
      </c>
      <c r="M100" s="1" t="n">
        <v>5</v>
      </c>
      <c r="N100" s="1" t="n">
        <v>4</v>
      </c>
      <c r="O100" s="1" t="n">
        <v>4</v>
      </c>
      <c r="P100" s="1" t="n">
        <v>5</v>
      </c>
      <c r="Q100" s="1" t="n">
        <v>4</v>
      </c>
      <c r="R100" s="1" t="n">
        <v>4</v>
      </c>
      <c r="S100" s="1" t="n">
        <v>3</v>
      </c>
    </row>
    <row r="101">
      <c r="A101" t="inlineStr">
        <is>
          <t>Admin Assistant</t>
        </is>
      </c>
      <c r="B101" s="1" t="n">
        <v>1</v>
      </c>
      <c r="C101" s="1" t="n">
        <v>2</v>
      </c>
      <c r="D101" s="1" t="n">
        <v>2</v>
      </c>
      <c r="E101" s="1" t="n">
        <v>2</v>
      </c>
      <c r="F101" s="1" t="n">
        <v>1</v>
      </c>
      <c r="G101" s="1" t="n">
        <v>4</v>
      </c>
      <c r="H101" s="1" t="n">
        <v>2</v>
      </c>
      <c r="I101" s="1" t="n">
        <v>1</v>
      </c>
      <c r="J101" s="1" t="n">
        <v>2</v>
      </c>
      <c r="K101" s="1" t="n">
        <v>2</v>
      </c>
      <c r="L101" s="1" t="n">
        <v>3</v>
      </c>
      <c r="M101" s="1" t="n">
        <v>4</v>
      </c>
      <c r="N101" s="1" t="n">
        <v>3</v>
      </c>
      <c r="O101" s="1" t="n">
        <v>4</v>
      </c>
      <c r="P101" s="1" t="n">
        <v>3</v>
      </c>
      <c r="Q101" s="1" t="n">
        <v>3</v>
      </c>
      <c r="R101" s="1" t="n">
        <v>2</v>
      </c>
      <c r="S101" s="1" t="n">
        <v>1</v>
      </c>
    </row>
    <row r="102">
      <c r="A102" t="inlineStr">
        <is>
          <t>Demonstrator</t>
        </is>
      </c>
      <c r="B102" s="1" t="n">
        <v>3</v>
      </c>
      <c r="C102" s="1" t="n">
        <v>4</v>
      </c>
      <c r="D102" s="1" t="n">
        <v>5</v>
      </c>
      <c r="E102" s="1" t="n">
        <v>3</v>
      </c>
      <c r="F102" s="1" t="n">
        <v>4</v>
      </c>
      <c r="G102" s="1" t="n">
        <v>4</v>
      </c>
      <c r="H102" s="1" t="n">
        <v>4</v>
      </c>
      <c r="I102" s="1" t="n">
        <v>5</v>
      </c>
      <c r="J102" s="1" t="n">
        <v>3</v>
      </c>
      <c r="K102" s="1" t="n">
        <v>3</v>
      </c>
      <c r="L102" s="1" t="n">
        <v>3</v>
      </c>
      <c r="M102" s="1" t="n">
        <v>3</v>
      </c>
      <c r="N102" s="1" t="n">
        <v>2</v>
      </c>
      <c r="O102" s="1" t="n">
        <v>2</v>
      </c>
      <c r="P102" s="1" t="n">
        <v>2</v>
      </c>
      <c r="Q102" s="1" t="n">
        <v>3</v>
      </c>
      <c r="R102" s="1" t="n">
        <v>1</v>
      </c>
      <c r="S102" s="1" t="n">
        <v>3</v>
      </c>
    </row>
    <row r="103">
      <c r="A103" t="inlineStr">
        <is>
          <t>Admin Assistant</t>
        </is>
      </c>
      <c r="B103" s="1" t="n">
        <v>1</v>
      </c>
      <c r="C103" s="1" t="n">
        <v>3</v>
      </c>
      <c r="D103" s="1" t="n">
        <v>2</v>
      </c>
      <c r="E103" s="1" t="n">
        <v>1</v>
      </c>
      <c r="F103" s="1" t="n">
        <v>2</v>
      </c>
      <c r="G103" s="1" t="n">
        <v>1</v>
      </c>
      <c r="H103" s="1" t="n">
        <v>1</v>
      </c>
      <c r="I103" s="1" t="n">
        <v>2</v>
      </c>
      <c r="J103" s="1" t="n">
        <v>1</v>
      </c>
      <c r="K103" s="1" t="n">
        <v>1</v>
      </c>
      <c r="L103" s="1" t="n">
        <v>3</v>
      </c>
      <c r="M103" s="1" t="n">
        <v>3</v>
      </c>
      <c r="N103" s="1" t="n">
        <v>2</v>
      </c>
      <c r="O103" s="1" t="n">
        <v>1</v>
      </c>
      <c r="P103" s="1" t="n">
        <v>3</v>
      </c>
      <c r="Q103" s="1" t="n">
        <v>1</v>
      </c>
      <c r="R103" s="1" t="n">
        <v>3</v>
      </c>
      <c r="S103" s="1" t="n">
        <v>3</v>
      </c>
    </row>
    <row r="104">
      <c r="A104" t="inlineStr">
        <is>
          <t>Admin Assistant</t>
        </is>
      </c>
      <c r="B104" s="1" t="n">
        <v>4</v>
      </c>
      <c r="C104" s="1" t="n">
        <v>2</v>
      </c>
      <c r="D104" s="1" t="n">
        <v>1</v>
      </c>
      <c r="E104" s="1" t="n">
        <v>1</v>
      </c>
      <c r="F104" s="1" t="n">
        <v>1</v>
      </c>
      <c r="G104" s="1" t="n">
        <v>1</v>
      </c>
      <c r="H104" s="1" t="n">
        <v>1</v>
      </c>
      <c r="I104" s="1" t="n">
        <v>2</v>
      </c>
      <c r="J104" s="1" t="n">
        <v>1</v>
      </c>
      <c r="K104" s="1" t="n">
        <v>2</v>
      </c>
      <c r="L104" s="1" t="n">
        <v>3</v>
      </c>
      <c r="M104" s="1" t="n">
        <v>1</v>
      </c>
      <c r="N104" s="1" t="n">
        <v>4</v>
      </c>
      <c r="O104" s="1" t="n">
        <v>2</v>
      </c>
      <c r="P104" s="1" t="n">
        <v>3</v>
      </c>
      <c r="Q104" s="1" t="n">
        <v>2</v>
      </c>
      <c r="R104" s="1" t="n">
        <v>1</v>
      </c>
      <c r="S104" s="1" t="n">
        <v>2</v>
      </c>
    </row>
    <row r="105">
      <c r="A105" t="inlineStr">
        <is>
          <t>Admin Assistant</t>
        </is>
      </c>
      <c r="B105" s="1" t="n">
        <v>2</v>
      </c>
      <c r="C105" s="1" t="n">
        <v>1</v>
      </c>
      <c r="D105" s="1" t="n">
        <v>1</v>
      </c>
      <c r="E105" s="1" t="n">
        <v>2</v>
      </c>
      <c r="F105" s="1" t="n">
        <v>2</v>
      </c>
      <c r="G105" s="1" t="n">
        <v>1</v>
      </c>
      <c r="H105" s="1" t="n">
        <v>3</v>
      </c>
      <c r="I105" s="1" t="n">
        <v>1</v>
      </c>
      <c r="J105" s="1" t="n">
        <v>1</v>
      </c>
      <c r="K105" s="1" t="n">
        <v>3</v>
      </c>
      <c r="L105" s="1" t="n">
        <v>2</v>
      </c>
      <c r="M105" s="1" t="n">
        <v>2</v>
      </c>
      <c r="N105" s="1" t="n">
        <v>3</v>
      </c>
      <c r="O105" s="1" t="n">
        <v>2</v>
      </c>
      <c r="P105" s="1" t="n">
        <v>2</v>
      </c>
      <c r="Q105" s="1" t="n">
        <v>3</v>
      </c>
      <c r="R105" s="1" t="n">
        <v>1</v>
      </c>
      <c r="S105" s="1" t="n">
        <v>3</v>
      </c>
    </row>
    <row r="106">
      <c r="A106" t="inlineStr">
        <is>
          <t>Student</t>
        </is>
      </c>
      <c r="B106" s="1" t="n">
        <v>3</v>
      </c>
      <c r="C106" s="1" t="n">
        <v>4</v>
      </c>
      <c r="D106" s="1" t="n">
        <v>5</v>
      </c>
      <c r="E106" s="1" t="n">
        <v>5</v>
      </c>
      <c r="F106" s="1" t="n">
        <v>4</v>
      </c>
      <c r="G106" s="1" t="n">
        <v>2</v>
      </c>
      <c r="H106" s="1" t="n">
        <v>4</v>
      </c>
      <c r="I106" s="1" t="n">
        <v>3</v>
      </c>
      <c r="J106" s="1" t="n">
        <v>3</v>
      </c>
      <c r="K106" s="1" t="n">
        <v>4</v>
      </c>
      <c r="L106" s="1" t="n">
        <v>4</v>
      </c>
      <c r="M106" s="1" t="n">
        <v>3</v>
      </c>
      <c r="N106" s="1" t="n">
        <v>5</v>
      </c>
      <c r="O106" s="1" t="n">
        <v>5</v>
      </c>
      <c r="P106" s="1" t="n">
        <v>4</v>
      </c>
      <c r="Q106" s="1" t="n">
        <v>5</v>
      </c>
      <c r="R106" s="1" t="n">
        <v>3</v>
      </c>
      <c r="S106" s="1" t="n">
        <v>4</v>
      </c>
    </row>
    <row r="107">
      <c r="A107" t="inlineStr">
        <is>
          <t>Demonstrator</t>
        </is>
      </c>
      <c r="B107" s="1" t="n">
        <v>4</v>
      </c>
      <c r="C107" s="1" t="n">
        <v>2</v>
      </c>
      <c r="D107" s="1" t="n">
        <v>5</v>
      </c>
      <c r="E107" s="1" t="n">
        <v>5</v>
      </c>
      <c r="F107" s="1" t="n">
        <v>3</v>
      </c>
      <c r="G107" s="1" t="n">
        <v>4</v>
      </c>
      <c r="H107" s="1" t="n">
        <v>3</v>
      </c>
      <c r="I107" s="1" t="n">
        <v>4</v>
      </c>
      <c r="J107" s="1" t="n">
        <v>5</v>
      </c>
      <c r="K107" s="1" t="n">
        <v>1</v>
      </c>
      <c r="L107" s="1" t="n">
        <v>5</v>
      </c>
      <c r="M107" s="1" t="n">
        <v>1</v>
      </c>
      <c r="N107" s="1" t="n">
        <v>4</v>
      </c>
      <c r="O107" s="1" t="n">
        <v>5</v>
      </c>
      <c r="P107" s="1" t="n">
        <v>2</v>
      </c>
      <c r="Q107" s="1" t="n">
        <v>2</v>
      </c>
      <c r="R107" s="1" t="n">
        <v>1</v>
      </c>
      <c r="S107" s="1" t="n">
        <v>3</v>
      </c>
    </row>
    <row r="108">
      <c r="A108" t="inlineStr">
        <is>
          <t>Demonstrator</t>
        </is>
      </c>
      <c r="B108" s="1" t="n">
        <v>5</v>
      </c>
      <c r="C108" s="1" t="n">
        <v>5</v>
      </c>
      <c r="D108" s="1" t="n">
        <v>5</v>
      </c>
      <c r="E108" s="1" t="n">
        <v>5</v>
      </c>
      <c r="F108" s="1" t="n">
        <v>3</v>
      </c>
      <c r="G108" s="1" t="n">
        <v>3</v>
      </c>
      <c r="H108" s="1" t="n">
        <v>1</v>
      </c>
      <c r="I108" s="1" t="n">
        <v>3</v>
      </c>
      <c r="J108" s="1" t="n">
        <v>5</v>
      </c>
      <c r="K108" s="1" t="n">
        <v>5</v>
      </c>
      <c r="L108" s="1" t="n">
        <v>2</v>
      </c>
      <c r="M108" s="1" t="n">
        <v>3</v>
      </c>
      <c r="N108" s="1" t="n">
        <v>2</v>
      </c>
      <c r="O108" s="1" t="n">
        <v>2</v>
      </c>
      <c r="P108" s="1" t="n">
        <v>2</v>
      </c>
      <c r="Q108" s="1" t="n">
        <v>2</v>
      </c>
      <c r="R108" s="1" t="n">
        <v>4</v>
      </c>
      <c r="S108" s="1" t="n">
        <v>3</v>
      </c>
    </row>
    <row r="109">
      <c r="A109" t="inlineStr">
        <is>
          <t>Student</t>
        </is>
      </c>
      <c r="B109" s="1" t="n">
        <v>5</v>
      </c>
      <c r="C109" s="1" t="n">
        <v>4</v>
      </c>
      <c r="D109" s="1" t="n">
        <v>5</v>
      </c>
      <c r="E109" s="1" t="n">
        <v>5</v>
      </c>
      <c r="F109" s="1" t="n">
        <v>4</v>
      </c>
      <c r="G109" s="1" t="n">
        <v>5</v>
      </c>
      <c r="H109" s="1" t="n">
        <v>4</v>
      </c>
      <c r="I109" s="1" t="n">
        <v>5</v>
      </c>
      <c r="J109" s="1" t="n">
        <v>5</v>
      </c>
      <c r="K109" s="1" t="n">
        <v>5</v>
      </c>
      <c r="L109" s="1" t="n">
        <v>5</v>
      </c>
      <c r="M109" s="1" t="n">
        <v>3</v>
      </c>
      <c r="N109" s="1" t="n">
        <v>5</v>
      </c>
      <c r="O109" s="1" t="n">
        <v>4</v>
      </c>
      <c r="P109" s="1" t="n">
        <v>5</v>
      </c>
      <c r="Q109" s="1" t="n">
        <v>5</v>
      </c>
      <c r="R109" s="1" t="n">
        <v>2</v>
      </c>
      <c r="S109" s="1" t="n">
        <v>2</v>
      </c>
    </row>
    <row r="110">
      <c r="A110" t="inlineStr">
        <is>
          <t>Student</t>
        </is>
      </c>
      <c r="B110" s="1" t="n">
        <v>3</v>
      </c>
      <c r="C110" s="1" t="n">
        <v>5</v>
      </c>
      <c r="D110" s="1" t="n">
        <v>5</v>
      </c>
      <c r="E110" s="1" t="n">
        <v>5</v>
      </c>
      <c r="F110" s="1" t="n">
        <v>5</v>
      </c>
      <c r="G110" s="1" t="n">
        <v>5</v>
      </c>
      <c r="H110" s="1" t="n">
        <v>3</v>
      </c>
      <c r="I110" s="1" t="n">
        <v>2</v>
      </c>
      <c r="J110" s="1" t="n">
        <v>4</v>
      </c>
      <c r="K110" s="1" t="n">
        <v>2</v>
      </c>
      <c r="L110" s="1" t="n">
        <v>5</v>
      </c>
      <c r="M110" s="1" t="n">
        <v>3</v>
      </c>
      <c r="N110" s="1" t="n">
        <v>1</v>
      </c>
      <c r="O110" s="1" t="n">
        <v>5</v>
      </c>
      <c r="P110" s="1" t="n">
        <v>4</v>
      </c>
      <c r="Q110" s="1" t="n">
        <v>5</v>
      </c>
      <c r="R110" s="1" t="n">
        <v>5</v>
      </c>
      <c r="S110" s="1" t="n">
        <v>2</v>
      </c>
    </row>
    <row r="111">
      <c r="A111" t="inlineStr">
        <is>
          <t>Demonstrator</t>
        </is>
      </c>
      <c r="B111" s="1" t="n">
        <v>2</v>
      </c>
      <c r="C111" s="1" t="n">
        <v>3</v>
      </c>
      <c r="D111" s="1" t="n">
        <v>5</v>
      </c>
      <c r="E111" s="1" t="n">
        <v>5</v>
      </c>
      <c r="F111" s="1" t="n">
        <v>4</v>
      </c>
      <c r="G111" s="1" t="n">
        <v>3</v>
      </c>
      <c r="H111" s="1" t="n">
        <v>3</v>
      </c>
      <c r="I111" s="1" t="n">
        <v>4</v>
      </c>
      <c r="J111" s="1" t="n">
        <v>5</v>
      </c>
      <c r="K111" s="1" t="n">
        <v>2</v>
      </c>
      <c r="L111" s="1" t="n">
        <v>3</v>
      </c>
      <c r="M111" s="1" t="n">
        <v>2</v>
      </c>
      <c r="N111" s="1" t="n">
        <v>4</v>
      </c>
      <c r="O111" s="1" t="n">
        <v>4</v>
      </c>
      <c r="P111" s="1" t="n">
        <v>2</v>
      </c>
      <c r="Q111" s="1" t="n">
        <v>3</v>
      </c>
      <c r="R111" s="1" t="n">
        <v>2</v>
      </c>
      <c r="S111" s="1" t="n">
        <v>3</v>
      </c>
    </row>
    <row r="112">
      <c r="A112" t="inlineStr">
        <is>
          <t>Student</t>
        </is>
      </c>
      <c r="B112" s="1" t="n">
        <v>5</v>
      </c>
      <c r="C112" s="1" t="n">
        <v>5</v>
      </c>
      <c r="D112" s="1" t="n">
        <v>5</v>
      </c>
      <c r="E112" s="1" t="n">
        <v>5</v>
      </c>
      <c r="F112" s="1" t="n">
        <v>5</v>
      </c>
      <c r="G112" s="1" t="n">
        <v>4</v>
      </c>
      <c r="H112" s="1" t="n">
        <v>2</v>
      </c>
      <c r="I112" s="1" t="n">
        <v>5</v>
      </c>
      <c r="J112" s="1" t="n">
        <v>4</v>
      </c>
      <c r="K112" s="1" t="n">
        <v>3</v>
      </c>
      <c r="L112" s="1" t="n">
        <v>4</v>
      </c>
      <c r="M112" s="1" t="n">
        <v>5</v>
      </c>
      <c r="N112" s="1" t="n">
        <v>2</v>
      </c>
      <c r="O112" s="1" t="n">
        <v>5</v>
      </c>
      <c r="P112" s="1" t="n">
        <v>5</v>
      </c>
      <c r="Q112" s="1" t="n">
        <v>4</v>
      </c>
      <c r="R112" s="1" t="n">
        <v>4</v>
      </c>
      <c r="S112" s="1" t="n">
        <v>3</v>
      </c>
    </row>
    <row r="113">
      <c r="A113" t="inlineStr">
        <is>
          <t>Admin Assistant</t>
        </is>
      </c>
      <c r="B113" s="1" t="n">
        <v>3</v>
      </c>
      <c r="C113" s="1" t="n">
        <v>3</v>
      </c>
      <c r="D113" s="1" t="n">
        <v>1</v>
      </c>
      <c r="E113" s="1" t="n">
        <v>1</v>
      </c>
      <c r="F113" s="1" t="n">
        <v>1</v>
      </c>
      <c r="G113" s="1" t="n">
        <v>1</v>
      </c>
      <c r="H113" s="1" t="n">
        <v>3</v>
      </c>
      <c r="I113" s="1" t="n">
        <v>4</v>
      </c>
      <c r="J113" s="1" t="n">
        <v>4</v>
      </c>
      <c r="K113" s="1" t="n">
        <v>1</v>
      </c>
      <c r="L113" s="1" t="n">
        <v>4</v>
      </c>
      <c r="M113" s="1" t="n">
        <v>1</v>
      </c>
      <c r="N113" s="1" t="n">
        <v>2</v>
      </c>
      <c r="O113" s="1" t="n">
        <v>3</v>
      </c>
      <c r="P113" s="1" t="n">
        <v>3</v>
      </c>
      <c r="Q113" s="1" t="n">
        <v>3</v>
      </c>
      <c r="R113" s="1" t="n">
        <v>2</v>
      </c>
      <c r="S113" s="1" t="n">
        <v>3</v>
      </c>
    </row>
    <row r="114">
      <c r="A114" t="inlineStr">
        <is>
          <t>Course Leader</t>
        </is>
      </c>
      <c r="B114" s="1" t="n">
        <v>1</v>
      </c>
      <c r="C114" s="1" t="n">
        <v>3</v>
      </c>
      <c r="D114" s="1" t="n">
        <v>2</v>
      </c>
      <c r="E114" s="1" t="n">
        <v>4</v>
      </c>
      <c r="F114" s="1" t="n">
        <v>3</v>
      </c>
      <c r="G114" s="1" t="n">
        <v>5</v>
      </c>
      <c r="H114" s="1" t="n">
        <v>5</v>
      </c>
      <c r="I114" s="1" t="n">
        <v>5</v>
      </c>
      <c r="J114" s="1" t="n">
        <v>4</v>
      </c>
      <c r="K114" s="1" t="n">
        <v>4</v>
      </c>
      <c r="L114" s="1" t="n">
        <v>5</v>
      </c>
      <c r="M114" s="1" t="n">
        <v>4</v>
      </c>
      <c r="N114" s="1" t="n">
        <v>5</v>
      </c>
      <c r="O114" s="1" t="n">
        <v>5</v>
      </c>
      <c r="P114" s="1" t="n">
        <v>5</v>
      </c>
      <c r="Q114" s="1" t="n">
        <v>4</v>
      </c>
      <c r="R114" s="1" t="n">
        <v>5</v>
      </c>
      <c r="S114" s="1" t="n">
        <v>2</v>
      </c>
    </row>
    <row r="115">
      <c r="A115" t="inlineStr">
        <is>
          <t>Admin Assistant</t>
        </is>
      </c>
      <c r="B115" s="1" t="n">
        <v>2</v>
      </c>
      <c r="C115" s="1" t="n">
        <v>1</v>
      </c>
      <c r="D115" s="1" t="n">
        <v>1</v>
      </c>
      <c r="E115" s="1" t="n">
        <v>2</v>
      </c>
      <c r="F115" s="1" t="n">
        <v>1</v>
      </c>
      <c r="G115" s="1" t="n">
        <v>1</v>
      </c>
      <c r="H115" s="1" t="n">
        <v>1</v>
      </c>
      <c r="I115" s="1" t="n">
        <v>2</v>
      </c>
      <c r="J115" s="1" t="n">
        <v>1</v>
      </c>
      <c r="K115" s="1" t="n">
        <v>2</v>
      </c>
      <c r="L115" s="1" t="n">
        <v>3</v>
      </c>
      <c r="M115" s="1" t="n">
        <v>4</v>
      </c>
      <c r="N115" s="1" t="n">
        <v>1</v>
      </c>
      <c r="O115" s="1" t="n">
        <v>1</v>
      </c>
      <c r="P115" s="1" t="n">
        <v>1</v>
      </c>
      <c r="Q115" s="1" t="n">
        <v>1</v>
      </c>
      <c r="R115" s="1" t="n">
        <v>3</v>
      </c>
      <c r="S115" s="1" t="n">
        <v>3</v>
      </c>
    </row>
    <row r="116">
      <c r="A116" t="inlineStr">
        <is>
          <t>Demonstrator</t>
        </is>
      </c>
      <c r="B116" s="1" t="n">
        <v>5</v>
      </c>
      <c r="C116" s="1" t="n">
        <v>2</v>
      </c>
      <c r="D116" s="1" t="n">
        <v>5</v>
      </c>
      <c r="E116" s="1" t="n">
        <v>3</v>
      </c>
      <c r="F116" s="1" t="n">
        <v>3</v>
      </c>
      <c r="G116" s="1" t="n">
        <v>4</v>
      </c>
      <c r="H116" s="1" t="n">
        <v>4</v>
      </c>
      <c r="I116" s="1" t="n">
        <v>2</v>
      </c>
      <c r="J116" s="1" t="n">
        <v>1</v>
      </c>
      <c r="K116" s="1" t="n">
        <v>4</v>
      </c>
      <c r="L116" s="1" t="n">
        <v>5</v>
      </c>
      <c r="M116" s="1" t="n">
        <v>3</v>
      </c>
      <c r="N116" s="1" t="n">
        <v>2</v>
      </c>
      <c r="O116" s="1" t="n">
        <v>3</v>
      </c>
      <c r="P116" s="1" t="n">
        <v>3</v>
      </c>
      <c r="Q116" s="1" t="n">
        <v>2</v>
      </c>
      <c r="R116" s="1" t="n">
        <v>3</v>
      </c>
      <c r="S116" s="1" t="n">
        <v>4</v>
      </c>
    </row>
    <row r="117">
      <c r="A117" t="inlineStr">
        <is>
          <t>Student</t>
        </is>
      </c>
      <c r="B117" s="1" t="n">
        <v>5</v>
      </c>
      <c r="C117" s="1" t="n">
        <v>5</v>
      </c>
      <c r="D117" s="1" t="n">
        <v>5</v>
      </c>
      <c r="E117" s="1" t="n">
        <v>5</v>
      </c>
      <c r="F117" s="1" t="n">
        <v>4</v>
      </c>
      <c r="G117" s="1" t="n">
        <v>1</v>
      </c>
      <c r="H117" s="1" t="n">
        <v>2</v>
      </c>
      <c r="I117" s="1" t="n">
        <v>3</v>
      </c>
      <c r="J117" s="1" t="n">
        <v>2</v>
      </c>
      <c r="K117" s="1" t="n">
        <v>4</v>
      </c>
      <c r="L117" s="1" t="n">
        <v>2</v>
      </c>
      <c r="M117" s="1" t="n">
        <v>4</v>
      </c>
      <c r="N117" s="1" t="n">
        <v>3</v>
      </c>
      <c r="O117" s="1" t="n">
        <v>4</v>
      </c>
      <c r="P117" s="1" t="n">
        <v>3</v>
      </c>
      <c r="Q117" s="1" t="n">
        <v>4</v>
      </c>
      <c r="R117" s="1" t="n">
        <v>5</v>
      </c>
      <c r="S117" s="1" t="n">
        <v>2</v>
      </c>
    </row>
    <row r="118">
      <c r="A118" t="inlineStr">
        <is>
          <t>Course Leader</t>
        </is>
      </c>
      <c r="B118" s="1" t="n">
        <v>3</v>
      </c>
      <c r="C118" s="1" t="n">
        <v>3</v>
      </c>
      <c r="D118" s="1" t="n">
        <v>2</v>
      </c>
      <c r="E118" s="1" t="n">
        <v>3</v>
      </c>
      <c r="F118" s="1" t="n">
        <v>3</v>
      </c>
      <c r="G118" s="1" t="n">
        <v>5</v>
      </c>
      <c r="H118" s="1" t="n">
        <v>5</v>
      </c>
      <c r="I118" s="1" t="n">
        <v>5</v>
      </c>
      <c r="J118" s="1" t="n">
        <v>5</v>
      </c>
      <c r="K118" s="1" t="n">
        <v>4</v>
      </c>
      <c r="L118" s="1" t="n">
        <v>5</v>
      </c>
      <c r="M118" s="1" t="n">
        <v>3</v>
      </c>
      <c r="N118" s="1" t="n">
        <v>5</v>
      </c>
      <c r="O118" s="1" t="n">
        <v>3</v>
      </c>
      <c r="P118" s="1" t="n">
        <v>2</v>
      </c>
      <c r="Q118" s="1" t="n">
        <v>5</v>
      </c>
      <c r="R118" s="1" t="n">
        <v>5</v>
      </c>
      <c r="S118" s="1" t="n">
        <v>4</v>
      </c>
    </row>
    <row r="119">
      <c r="A119" t="inlineStr">
        <is>
          <t>Demonstrator</t>
        </is>
      </c>
      <c r="B119" s="1" t="n">
        <v>4</v>
      </c>
      <c r="C119" s="1" t="n">
        <v>4</v>
      </c>
      <c r="D119" s="1" t="n">
        <v>3</v>
      </c>
      <c r="E119" s="1" t="n">
        <v>5</v>
      </c>
      <c r="F119" s="1" t="n">
        <v>3</v>
      </c>
      <c r="G119" s="1" t="n">
        <v>4</v>
      </c>
      <c r="H119" s="1" t="n">
        <v>4</v>
      </c>
      <c r="I119" s="1" t="n">
        <v>4</v>
      </c>
      <c r="J119" s="1" t="n">
        <v>3</v>
      </c>
      <c r="K119" s="1" t="n">
        <v>3</v>
      </c>
      <c r="L119" s="1" t="n">
        <v>3</v>
      </c>
      <c r="M119" s="1" t="n">
        <v>3</v>
      </c>
      <c r="N119" s="1" t="n">
        <v>3</v>
      </c>
      <c r="O119" s="1" t="n">
        <v>1</v>
      </c>
      <c r="P119" s="1" t="n">
        <v>3</v>
      </c>
      <c r="Q119" s="1" t="n">
        <v>2</v>
      </c>
      <c r="R119" s="1" t="n">
        <v>2</v>
      </c>
      <c r="S119" s="1" t="n">
        <v>3</v>
      </c>
    </row>
    <row r="120">
      <c r="A120" t="inlineStr">
        <is>
          <t>Student</t>
        </is>
      </c>
      <c r="B120" s="1" t="n">
        <v>4</v>
      </c>
      <c r="C120" s="1" t="n">
        <v>5</v>
      </c>
      <c r="D120" s="1" t="n">
        <v>5</v>
      </c>
      <c r="E120" s="1" t="n">
        <v>5</v>
      </c>
      <c r="F120" s="1" t="n">
        <v>5</v>
      </c>
      <c r="G120" s="1" t="n">
        <v>4</v>
      </c>
      <c r="H120" s="1" t="n">
        <v>5</v>
      </c>
      <c r="I120" s="1" t="n">
        <v>5</v>
      </c>
      <c r="J120" s="1" t="n">
        <v>5</v>
      </c>
      <c r="K120" s="1" t="n">
        <v>3</v>
      </c>
      <c r="L120" s="1" t="n">
        <v>2</v>
      </c>
      <c r="M120" s="1" t="n">
        <v>5</v>
      </c>
      <c r="N120" s="1" t="n">
        <v>5</v>
      </c>
      <c r="O120" s="1" t="n">
        <v>3</v>
      </c>
      <c r="P120" s="1" t="n">
        <v>2</v>
      </c>
      <c r="Q120" s="1" t="n">
        <v>4</v>
      </c>
      <c r="R120" s="1" t="n">
        <v>2</v>
      </c>
      <c r="S120" s="1" t="n">
        <v>5</v>
      </c>
    </row>
    <row r="121">
      <c r="A121" t="inlineStr">
        <is>
          <t>Course Leader</t>
        </is>
      </c>
      <c r="B121" s="1" t="n">
        <v>3</v>
      </c>
      <c r="C121" s="1" t="n">
        <v>5</v>
      </c>
      <c r="D121" s="1" t="n">
        <v>2</v>
      </c>
      <c r="E121" s="1" t="n">
        <v>4</v>
      </c>
      <c r="F121" s="1" t="n">
        <v>1</v>
      </c>
      <c r="G121" s="1" t="n">
        <v>5</v>
      </c>
      <c r="H121" s="1" t="n">
        <v>4</v>
      </c>
      <c r="I121" s="1" t="n">
        <v>5</v>
      </c>
      <c r="J121" s="1" t="n">
        <v>5</v>
      </c>
      <c r="K121" s="1" t="n">
        <v>3</v>
      </c>
      <c r="L121" s="1" t="n">
        <v>5</v>
      </c>
      <c r="M121" s="1" t="n">
        <v>2</v>
      </c>
      <c r="N121" s="1" t="n">
        <v>2</v>
      </c>
      <c r="O121" s="1" t="n">
        <v>4</v>
      </c>
      <c r="P121" s="1" t="n">
        <v>5</v>
      </c>
      <c r="Q121" s="1" t="n">
        <v>5</v>
      </c>
      <c r="R121" s="1" t="n">
        <v>4</v>
      </c>
      <c r="S121" s="1" t="n">
        <v>3</v>
      </c>
    </row>
    <row r="122">
      <c r="A122" t="inlineStr">
        <is>
          <t>Course Leader</t>
        </is>
      </c>
      <c r="B122" s="1" t="n">
        <v>2</v>
      </c>
      <c r="C122" s="1" t="n">
        <v>4</v>
      </c>
      <c r="D122" s="1" t="n">
        <v>3</v>
      </c>
      <c r="E122" s="1" t="n">
        <v>5</v>
      </c>
      <c r="F122" s="1" t="n">
        <v>3</v>
      </c>
      <c r="G122" s="1" t="n">
        <v>5</v>
      </c>
      <c r="H122" s="1" t="n">
        <v>5</v>
      </c>
      <c r="I122" s="1" t="n">
        <v>5</v>
      </c>
      <c r="J122" s="1" t="n">
        <v>5</v>
      </c>
      <c r="K122" s="1" t="n">
        <v>5</v>
      </c>
      <c r="L122" s="1" t="n">
        <v>4</v>
      </c>
      <c r="M122" s="1" t="n">
        <v>4</v>
      </c>
      <c r="N122" s="1" t="n">
        <v>4</v>
      </c>
      <c r="O122" s="1" t="n">
        <v>5</v>
      </c>
      <c r="P122" s="1" t="n">
        <v>3</v>
      </c>
      <c r="Q122" s="1" t="n">
        <v>2</v>
      </c>
      <c r="R122" s="1" t="n">
        <v>5</v>
      </c>
      <c r="S122" s="1" t="n">
        <v>3</v>
      </c>
    </row>
    <row r="123">
      <c r="A123" t="inlineStr">
        <is>
          <t>Student</t>
        </is>
      </c>
      <c r="B123" s="1" t="n">
        <v>5</v>
      </c>
      <c r="C123" s="1" t="n">
        <v>5</v>
      </c>
      <c r="D123" s="1" t="n">
        <v>4</v>
      </c>
      <c r="E123" s="1" t="n">
        <v>5</v>
      </c>
      <c r="F123" s="1" t="n">
        <v>2</v>
      </c>
      <c r="G123" s="1" t="n">
        <v>2</v>
      </c>
      <c r="H123" s="1" t="n">
        <v>4</v>
      </c>
      <c r="I123" s="1" t="n">
        <v>2</v>
      </c>
      <c r="J123" s="1" t="n">
        <v>4</v>
      </c>
      <c r="K123" s="1" t="n">
        <v>5</v>
      </c>
      <c r="L123" s="1" t="n">
        <v>3</v>
      </c>
      <c r="M123" s="1" t="n">
        <v>4</v>
      </c>
      <c r="N123" s="1" t="n">
        <v>3</v>
      </c>
      <c r="O123" s="1" t="n">
        <v>2</v>
      </c>
      <c r="P123" s="1" t="n">
        <v>3</v>
      </c>
      <c r="Q123" s="1" t="n">
        <v>4</v>
      </c>
      <c r="R123" s="1" t="n">
        <v>5</v>
      </c>
      <c r="S123" s="1" t="n">
        <v>4</v>
      </c>
    </row>
    <row r="124">
      <c r="A124" t="inlineStr">
        <is>
          <t>Course Leader</t>
        </is>
      </c>
      <c r="B124" s="1" t="n">
        <v>1</v>
      </c>
      <c r="C124" s="1" t="n">
        <v>4</v>
      </c>
      <c r="D124" s="1" t="n">
        <v>2</v>
      </c>
      <c r="E124" s="1" t="n">
        <v>5</v>
      </c>
      <c r="F124" s="1" t="n">
        <v>4</v>
      </c>
      <c r="G124" s="1" t="n">
        <v>3</v>
      </c>
      <c r="H124" s="1" t="n">
        <v>4</v>
      </c>
      <c r="I124" s="1" t="n">
        <v>5</v>
      </c>
      <c r="J124" s="1" t="n">
        <v>4</v>
      </c>
      <c r="K124" s="1" t="n">
        <v>5</v>
      </c>
      <c r="L124" s="1" t="n">
        <v>5</v>
      </c>
      <c r="M124" s="1" t="n">
        <v>3</v>
      </c>
      <c r="N124" s="1" t="n">
        <v>4</v>
      </c>
      <c r="O124" s="1" t="n">
        <v>3</v>
      </c>
      <c r="P124" s="1" t="n">
        <v>3</v>
      </c>
      <c r="Q124" s="1" t="n">
        <v>5</v>
      </c>
      <c r="R124" s="1" t="n">
        <v>2</v>
      </c>
      <c r="S124" s="1" t="n">
        <v>3</v>
      </c>
    </row>
    <row r="125">
      <c r="A125" t="inlineStr">
        <is>
          <t>Demonstrator</t>
        </is>
      </c>
      <c r="B125" s="1" t="n">
        <v>5</v>
      </c>
      <c r="C125" s="1" t="n">
        <v>4</v>
      </c>
      <c r="D125" s="1" t="n">
        <v>3</v>
      </c>
      <c r="E125" s="1" t="n">
        <v>3</v>
      </c>
      <c r="F125" s="1" t="n">
        <v>5</v>
      </c>
      <c r="G125" s="1" t="n">
        <v>5</v>
      </c>
      <c r="H125" s="1" t="n">
        <v>2</v>
      </c>
      <c r="I125" s="1" t="n">
        <v>5</v>
      </c>
      <c r="J125" s="1" t="n">
        <v>3</v>
      </c>
      <c r="K125" s="1" t="n">
        <v>4</v>
      </c>
      <c r="L125" s="1" t="n">
        <v>4</v>
      </c>
      <c r="M125" s="1" t="n">
        <v>5</v>
      </c>
      <c r="N125" s="1" t="n">
        <v>1</v>
      </c>
      <c r="O125" s="1" t="n">
        <v>4</v>
      </c>
      <c r="P125" s="1" t="n">
        <v>5</v>
      </c>
      <c r="Q125" s="1" t="n">
        <v>2</v>
      </c>
      <c r="R125" s="1" t="n">
        <v>4</v>
      </c>
      <c r="S125" s="1" t="n">
        <v>2</v>
      </c>
    </row>
    <row r="126">
      <c r="A126" t="inlineStr">
        <is>
          <t>Student</t>
        </is>
      </c>
      <c r="B126" s="1" t="n">
        <v>5</v>
      </c>
      <c r="C126" s="1" t="n">
        <v>5</v>
      </c>
      <c r="D126" s="1" t="n">
        <v>3</v>
      </c>
      <c r="E126" s="1" t="n">
        <v>4</v>
      </c>
      <c r="F126" s="1" t="n">
        <v>5</v>
      </c>
      <c r="G126" s="1" t="n">
        <v>4</v>
      </c>
      <c r="H126" s="1" t="n">
        <v>5</v>
      </c>
      <c r="I126" s="1" t="n">
        <v>2</v>
      </c>
      <c r="J126" s="1" t="n">
        <v>2</v>
      </c>
      <c r="K126" s="1" t="n">
        <v>5</v>
      </c>
      <c r="L126" s="1" t="n">
        <v>5</v>
      </c>
      <c r="M126" s="1" t="n">
        <v>5</v>
      </c>
      <c r="N126" s="1" t="n">
        <v>3</v>
      </c>
      <c r="O126" s="1" t="n">
        <v>3</v>
      </c>
      <c r="P126" s="1" t="n">
        <v>2</v>
      </c>
      <c r="Q126" s="1" t="n">
        <v>5</v>
      </c>
      <c r="R126" s="1" t="n">
        <v>4</v>
      </c>
      <c r="S126" s="1" t="n">
        <v>3</v>
      </c>
    </row>
    <row r="127">
      <c r="A127" t="inlineStr">
        <is>
          <t>Admin Assistant</t>
        </is>
      </c>
      <c r="B127" s="1" t="n">
        <v>1</v>
      </c>
      <c r="C127" s="1" t="n">
        <v>1</v>
      </c>
      <c r="D127" s="1" t="n">
        <v>1</v>
      </c>
      <c r="E127" s="1" t="n">
        <v>1</v>
      </c>
      <c r="F127" s="1" t="n">
        <v>3</v>
      </c>
      <c r="G127" s="1" t="n">
        <v>3</v>
      </c>
      <c r="H127" s="1" t="n">
        <v>2</v>
      </c>
      <c r="I127" s="1" t="n">
        <v>1</v>
      </c>
      <c r="J127" s="1" t="n">
        <v>3</v>
      </c>
      <c r="K127" s="1" t="n">
        <v>3</v>
      </c>
      <c r="L127" s="1" t="n">
        <v>1</v>
      </c>
      <c r="M127" s="1" t="n">
        <v>4</v>
      </c>
      <c r="N127" s="1" t="n">
        <v>2</v>
      </c>
      <c r="O127" s="1" t="n">
        <v>2</v>
      </c>
      <c r="P127" s="1" t="n">
        <v>1</v>
      </c>
      <c r="Q127" s="1" t="n">
        <v>4</v>
      </c>
      <c r="R127" s="1" t="n">
        <v>1</v>
      </c>
      <c r="S127" s="1" t="n">
        <v>4</v>
      </c>
    </row>
    <row r="128">
      <c r="A128" t="inlineStr">
        <is>
          <t>Demonstrator</t>
        </is>
      </c>
      <c r="B128" s="1" t="n">
        <v>1</v>
      </c>
      <c r="C128" s="1" t="n">
        <v>4</v>
      </c>
      <c r="D128" s="1" t="n">
        <v>4</v>
      </c>
      <c r="E128" s="1" t="n">
        <v>4</v>
      </c>
      <c r="F128" s="1" t="n">
        <v>3</v>
      </c>
      <c r="G128" s="1" t="n">
        <v>3</v>
      </c>
      <c r="H128" s="1" t="n">
        <v>3</v>
      </c>
      <c r="I128" s="1" t="n">
        <v>4</v>
      </c>
      <c r="J128" s="1" t="n">
        <v>4</v>
      </c>
      <c r="K128" s="1" t="n">
        <v>4</v>
      </c>
      <c r="L128" s="1" t="n">
        <v>5</v>
      </c>
      <c r="M128" s="1" t="n">
        <v>1</v>
      </c>
      <c r="N128" s="1" t="n">
        <v>5</v>
      </c>
      <c r="O128" s="1" t="n">
        <v>2</v>
      </c>
      <c r="P128" s="1" t="n">
        <v>2</v>
      </c>
      <c r="Q128" s="1" t="n">
        <v>2</v>
      </c>
      <c r="R128" s="1" t="n">
        <v>3</v>
      </c>
      <c r="S128" s="1" t="n">
        <v>4</v>
      </c>
    </row>
    <row r="129">
      <c r="A129" t="inlineStr">
        <is>
          <t>Demonstrator</t>
        </is>
      </c>
      <c r="B129" s="1" t="n">
        <v>5</v>
      </c>
      <c r="C129" s="1" t="n">
        <v>5</v>
      </c>
      <c r="D129" s="1" t="n">
        <v>3</v>
      </c>
      <c r="E129" s="1" t="n">
        <v>4</v>
      </c>
      <c r="F129" s="1" t="n">
        <v>4</v>
      </c>
      <c r="G129" s="1" t="n">
        <v>4</v>
      </c>
      <c r="H129" s="1" t="n">
        <v>4</v>
      </c>
      <c r="I129" s="1" t="n">
        <v>3</v>
      </c>
      <c r="J129" s="1" t="n">
        <v>1</v>
      </c>
      <c r="K129" s="1" t="n">
        <v>3</v>
      </c>
      <c r="L129" s="1" t="n">
        <v>4</v>
      </c>
      <c r="M129" s="1" t="n">
        <v>3</v>
      </c>
      <c r="N129" s="1" t="n">
        <v>4</v>
      </c>
      <c r="O129" s="1" t="n">
        <v>1</v>
      </c>
      <c r="P129" s="1" t="n">
        <v>3</v>
      </c>
      <c r="Q129" s="1" t="n">
        <v>5</v>
      </c>
      <c r="R129" s="1" t="n">
        <v>2</v>
      </c>
      <c r="S129" s="1" t="n">
        <v>3</v>
      </c>
    </row>
    <row r="130">
      <c r="A130" t="inlineStr">
        <is>
          <t>Student</t>
        </is>
      </c>
      <c r="B130" s="1" t="n">
        <v>5</v>
      </c>
      <c r="C130" s="1" t="n">
        <v>4</v>
      </c>
      <c r="D130" s="1" t="n">
        <v>5</v>
      </c>
      <c r="E130" s="1" t="n">
        <v>5</v>
      </c>
      <c r="F130" s="1" t="n">
        <v>4</v>
      </c>
      <c r="G130" s="1" t="n">
        <v>4</v>
      </c>
      <c r="H130" s="1" t="n">
        <v>4</v>
      </c>
      <c r="I130" s="1" t="n">
        <v>2</v>
      </c>
      <c r="J130" s="1" t="n">
        <v>5</v>
      </c>
      <c r="K130" s="1" t="n">
        <v>2</v>
      </c>
      <c r="L130" s="1" t="n">
        <v>4</v>
      </c>
      <c r="M130" s="1" t="n">
        <v>5</v>
      </c>
      <c r="N130" s="1" t="n">
        <v>3</v>
      </c>
      <c r="O130" s="1" t="n">
        <v>2</v>
      </c>
      <c r="P130" s="1" t="n">
        <v>5</v>
      </c>
      <c r="Q130" s="1" t="n">
        <v>2</v>
      </c>
      <c r="R130" s="1" t="n">
        <v>4</v>
      </c>
      <c r="S130" s="1" t="n">
        <v>3</v>
      </c>
    </row>
    <row r="131">
      <c r="A131" t="inlineStr">
        <is>
          <t>Student</t>
        </is>
      </c>
      <c r="B131" s="1" t="n">
        <v>5</v>
      </c>
      <c r="C131" s="1" t="n">
        <v>5</v>
      </c>
      <c r="D131" s="1" t="n">
        <v>4</v>
      </c>
      <c r="E131" s="1" t="n">
        <v>5</v>
      </c>
      <c r="F131" s="1" t="n">
        <v>5</v>
      </c>
      <c r="G131" s="1" t="n">
        <v>5</v>
      </c>
      <c r="H131" s="1" t="n">
        <v>5</v>
      </c>
      <c r="I131" s="1" t="n">
        <v>2</v>
      </c>
      <c r="J131" s="1" t="n">
        <v>2</v>
      </c>
      <c r="K131" s="1" t="n">
        <v>5</v>
      </c>
      <c r="L131" s="1" t="n">
        <v>3</v>
      </c>
      <c r="M131" s="1" t="n">
        <v>5</v>
      </c>
      <c r="N131" s="1" t="n">
        <v>5</v>
      </c>
      <c r="O131" s="1" t="n">
        <v>1</v>
      </c>
      <c r="P131" s="1" t="n">
        <v>4</v>
      </c>
      <c r="Q131" s="1" t="n">
        <v>3</v>
      </c>
      <c r="R131" s="1" t="n">
        <v>3</v>
      </c>
      <c r="S131" s="1" t="n">
        <v>3</v>
      </c>
    </row>
    <row r="132">
      <c r="A132" t="inlineStr">
        <is>
          <t>Course Leader</t>
        </is>
      </c>
      <c r="B132" s="1" t="n">
        <v>5</v>
      </c>
      <c r="C132" s="1" t="n">
        <v>5</v>
      </c>
      <c r="D132" s="1" t="n">
        <v>4</v>
      </c>
      <c r="E132" s="1" t="n">
        <v>2</v>
      </c>
      <c r="F132" s="1" t="n">
        <v>5</v>
      </c>
      <c r="G132" s="1" t="n">
        <v>5</v>
      </c>
      <c r="H132" s="1" t="n">
        <v>5</v>
      </c>
      <c r="I132" s="1" t="n">
        <v>5</v>
      </c>
      <c r="J132" s="1" t="n">
        <v>4</v>
      </c>
      <c r="K132" s="1" t="n">
        <v>5</v>
      </c>
      <c r="L132" s="1" t="n">
        <v>5</v>
      </c>
      <c r="M132" s="1" t="n">
        <v>4</v>
      </c>
      <c r="N132" s="1" t="n">
        <v>5</v>
      </c>
      <c r="O132" s="1" t="n">
        <v>2</v>
      </c>
      <c r="P132" s="1" t="n">
        <v>3</v>
      </c>
      <c r="Q132" s="1" t="n">
        <v>2</v>
      </c>
      <c r="R132" s="1" t="n">
        <v>3</v>
      </c>
      <c r="S132" s="1" t="n">
        <v>4</v>
      </c>
    </row>
    <row r="133">
      <c r="A133" t="inlineStr">
        <is>
          <t>Demonstrator</t>
        </is>
      </c>
      <c r="B133" s="1" t="n">
        <v>4</v>
      </c>
      <c r="C133" s="1" t="n">
        <v>5</v>
      </c>
      <c r="D133" s="1" t="n">
        <v>4</v>
      </c>
      <c r="E133" s="1" t="n">
        <v>5</v>
      </c>
      <c r="F133" s="1" t="n">
        <v>4</v>
      </c>
      <c r="G133" s="1" t="n">
        <v>4</v>
      </c>
      <c r="H133" s="1" t="n">
        <v>4</v>
      </c>
      <c r="I133" s="1" t="n">
        <v>5</v>
      </c>
      <c r="J133" s="1" t="n">
        <v>3</v>
      </c>
      <c r="K133" s="1" t="n">
        <v>4</v>
      </c>
      <c r="L133" s="1" t="n">
        <v>1</v>
      </c>
      <c r="M133" s="1" t="n">
        <v>4</v>
      </c>
      <c r="N133" s="1" t="n">
        <v>4</v>
      </c>
      <c r="O133" s="1" t="n">
        <v>3</v>
      </c>
      <c r="P133" s="1" t="n">
        <v>3</v>
      </c>
      <c r="Q133" s="1" t="n">
        <v>3</v>
      </c>
      <c r="R133" s="1" t="n">
        <v>4</v>
      </c>
      <c r="S133" s="1" t="n">
        <v>2</v>
      </c>
    </row>
    <row r="134">
      <c r="A134" t="inlineStr">
        <is>
          <t>Course Leader</t>
        </is>
      </c>
      <c r="B134" s="1" t="n">
        <v>3</v>
      </c>
      <c r="C134" s="1" t="n">
        <v>3</v>
      </c>
      <c r="D134" s="1" t="n">
        <v>2</v>
      </c>
      <c r="E134" s="1" t="n">
        <v>2</v>
      </c>
      <c r="F134" s="1" t="n">
        <v>1</v>
      </c>
      <c r="G134" s="1" t="n">
        <v>5</v>
      </c>
      <c r="H134" s="1" t="n">
        <v>5</v>
      </c>
      <c r="I134" s="1" t="n">
        <v>3</v>
      </c>
      <c r="J134" s="1" t="n">
        <v>5</v>
      </c>
      <c r="K134" s="1" t="n">
        <v>5</v>
      </c>
      <c r="L134" s="1" t="n">
        <v>5</v>
      </c>
      <c r="M134" s="1" t="n">
        <v>4</v>
      </c>
      <c r="N134" s="1" t="n">
        <v>4</v>
      </c>
      <c r="O134" s="1" t="n">
        <v>4</v>
      </c>
      <c r="P134" s="1" t="n">
        <v>5</v>
      </c>
      <c r="Q134" s="1" t="n">
        <v>5</v>
      </c>
      <c r="R134" s="1" t="n">
        <v>4</v>
      </c>
      <c r="S134" s="1" t="n">
        <v>3</v>
      </c>
    </row>
    <row r="135">
      <c r="A135" t="inlineStr">
        <is>
          <t>Demonstrator</t>
        </is>
      </c>
      <c r="B135" s="1" t="n">
        <v>1</v>
      </c>
      <c r="C135" s="1" t="n">
        <v>4</v>
      </c>
      <c r="D135" s="1" t="n">
        <v>3</v>
      </c>
      <c r="E135" s="1" t="n">
        <v>4</v>
      </c>
      <c r="F135" s="1" t="n">
        <v>1</v>
      </c>
      <c r="G135" s="1" t="n">
        <v>5</v>
      </c>
      <c r="H135" s="1" t="n">
        <v>3</v>
      </c>
      <c r="I135" s="1" t="n">
        <v>5</v>
      </c>
      <c r="J135" s="1" t="n">
        <v>3</v>
      </c>
      <c r="K135" s="1" t="n">
        <v>2</v>
      </c>
      <c r="L135" s="1" t="n">
        <v>3</v>
      </c>
      <c r="M135" s="1" t="n">
        <v>5</v>
      </c>
      <c r="N135" s="1" t="n">
        <v>2</v>
      </c>
      <c r="O135" s="1" t="n">
        <v>3</v>
      </c>
      <c r="P135" s="1" t="n">
        <v>3</v>
      </c>
      <c r="Q135" s="1" t="n">
        <v>4</v>
      </c>
      <c r="R135" s="1" t="n">
        <v>4</v>
      </c>
      <c r="S135" s="1" t="n">
        <v>4</v>
      </c>
    </row>
    <row r="136">
      <c r="A136" t="inlineStr">
        <is>
          <t>Demonstrator</t>
        </is>
      </c>
      <c r="B136" s="1" t="n">
        <v>5</v>
      </c>
      <c r="C136" s="1" t="n">
        <v>4</v>
      </c>
      <c r="D136" s="1" t="n">
        <v>5</v>
      </c>
      <c r="E136" s="1" t="n">
        <v>4</v>
      </c>
      <c r="F136" s="1" t="n">
        <v>3</v>
      </c>
      <c r="G136" s="1" t="n">
        <v>3</v>
      </c>
      <c r="H136" s="1" t="n">
        <v>4</v>
      </c>
      <c r="I136" s="1" t="n">
        <v>3</v>
      </c>
      <c r="J136" s="1" t="n">
        <v>4</v>
      </c>
      <c r="K136" s="1" t="n">
        <v>3</v>
      </c>
      <c r="L136" s="1" t="n">
        <v>3</v>
      </c>
      <c r="M136" s="1" t="n">
        <v>2</v>
      </c>
      <c r="N136" s="1" t="n">
        <v>5</v>
      </c>
      <c r="O136" s="1" t="n">
        <v>5</v>
      </c>
      <c r="P136" s="1" t="n">
        <v>1</v>
      </c>
      <c r="Q136" s="1" t="n">
        <v>2</v>
      </c>
      <c r="R136" s="1" t="n">
        <v>3</v>
      </c>
      <c r="S136" s="1" t="n">
        <v>2</v>
      </c>
    </row>
    <row r="137">
      <c r="A137" t="inlineStr">
        <is>
          <t>Admin Assistant</t>
        </is>
      </c>
      <c r="B137" s="1" t="n">
        <v>1</v>
      </c>
      <c r="C137" s="1" t="n">
        <v>1</v>
      </c>
      <c r="D137" s="1" t="n">
        <v>1</v>
      </c>
      <c r="E137" s="1" t="n">
        <v>1</v>
      </c>
      <c r="F137" s="1" t="n">
        <v>1</v>
      </c>
      <c r="G137" s="1" t="n">
        <v>2</v>
      </c>
      <c r="H137" s="1" t="n">
        <v>1</v>
      </c>
      <c r="I137" s="1" t="n">
        <v>1</v>
      </c>
      <c r="J137" s="1" t="n">
        <v>1</v>
      </c>
      <c r="K137" s="1" t="n">
        <v>3</v>
      </c>
      <c r="L137" s="1" t="n">
        <v>3</v>
      </c>
      <c r="M137" s="1" t="n">
        <v>4</v>
      </c>
      <c r="N137" s="1" t="n">
        <v>2</v>
      </c>
      <c r="O137" s="1" t="n">
        <v>3</v>
      </c>
      <c r="P137" s="1" t="n">
        <v>3</v>
      </c>
      <c r="Q137" s="1" t="n">
        <v>2</v>
      </c>
      <c r="R137" s="1" t="n">
        <v>4</v>
      </c>
      <c r="S137" s="1" t="n">
        <v>5</v>
      </c>
    </row>
    <row r="138">
      <c r="A138" t="inlineStr">
        <is>
          <t>Demonstrator</t>
        </is>
      </c>
      <c r="B138" s="1" t="n">
        <v>3</v>
      </c>
      <c r="C138" s="1" t="n">
        <v>3</v>
      </c>
      <c r="D138" s="1" t="n">
        <v>5</v>
      </c>
      <c r="E138" s="1" t="n">
        <v>4</v>
      </c>
      <c r="F138" s="1" t="n">
        <v>5</v>
      </c>
      <c r="G138" s="1" t="n">
        <v>3</v>
      </c>
      <c r="H138" s="1" t="n">
        <v>3</v>
      </c>
      <c r="I138" s="1" t="n">
        <v>2</v>
      </c>
      <c r="J138" s="1" t="n">
        <v>5</v>
      </c>
      <c r="K138" s="1" t="n">
        <v>4</v>
      </c>
      <c r="L138" s="1" t="n">
        <v>4</v>
      </c>
      <c r="M138" s="1" t="n">
        <v>4</v>
      </c>
      <c r="N138" s="1" t="n">
        <v>1</v>
      </c>
      <c r="O138" s="1" t="n">
        <v>5</v>
      </c>
      <c r="P138" s="1" t="n">
        <v>3</v>
      </c>
      <c r="Q138" s="1" t="n">
        <v>2</v>
      </c>
      <c r="R138" s="1" t="n">
        <v>3</v>
      </c>
      <c r="S138" s="1" t="n">
        <v>3</v>
      </c>
    </row>
    <row r="139">
      <c r="A139" t="inlineStr">
        <is>
          <t>Course Leader</t>
        </is>
      </c>
      <c r="B139" s="1" t="n">
        <v>4</v>
      </c>
      <c r="C139" s="1" t="n">
        <v>2</v>
      </c>
      <c r="D139" s="1" t="n">
        <v>3</v>
      </c>
      <c r="E139" s="1" t="n">
        <v>4</v>
      </c>
      <c r="F139" s="1" t="n">
        <v>3</v>
      </c>
      <c r="G139" s="1" t="n">
        <v>5</v>
      </c>
      <c r="H139" s="1" t="n">
        <v>5</v>
      </c>
      <c r="I139" s="1" t="n">
        <v>5</v>
      </c>
      <c r="J139" s="1" t="n">
        <v>5</v>
      </c>
      <c r="K139" s="1" t="n">
        <v>2</v>
      </c>
      <c r="L139" s="1" t="n">
        <v>5</v>
      </c>
      <c r="M139" s="1" t="n">
        <v>5</v>
      </c>
      <c r="N139" s="1" t="n">
        <v>3</v>
      </c>
      <c r="O139" s="1" t="n">
        <v>4</v>
      </c>
      <c r="P139" s="1" t="n">
        <v>2</v>
      </c>
      <c r="Q139" s="1" t="n">
        <v>4</v>
      </c>
      <c r="R139" s="1" t="n">
        <v>5</v>
      </c>
      <c r="S139" s="1" t="n">
        <v>3</v>
      </c>
    </row>
    <row r="140">
      <c r="A140" t="inlineStr">
        <is>
          <t>Course Leader</t>
        </is>
      </c>
      <c r="B140" s="1" t="n">
        <v>2</v>
      </c>
      <c r="C140" s="1" t="n">
        <v>1</v>
      </c>
      <c r="D140" s="1" t="n">
        <v>1</v>
      </c>
      <c r="E140" s="1" t="n">
        <v>3</v>
      </c>
      <c r="F140" s="1" t="n">
        <v>2</v>
      </c>
      <c r="G140" s="1" t="n">
        <v>5</v>
      </c>
      <c r="H140" s="1" t="n">
        <v>5</v>
      </c>
      <c r="I140" s="1" t="n">
        <v>5</v>
      </c>
      <c r="J140" s="1" t="n">
        <v>3</v>
      </c>
      <c r="K140" s="1" t="n">
        <v>5</v>
      </c>
      <c r="L140" s="1" t="n">
        <v>5</v>
      </c>
      <c r="M140" s="1" t="n">
        <v>3</v>
      </c>
      <c r="N140" s="1" t="n">
        <v>4</v>
      </c>
      <c r="O140" s="1" t="n">
        <v>5</v>
      </c>
      <c r="P140" s="1" t="n">
        <v>3</v>
      </c>
      <c r="Q140" s="1" t="n">
        <v>3</v>
      </c>
      <c r="R140" s="1" t="n">
        <v>5</v>
      </c>
      <c r="S140" s="1" t="n">
        <v>4</v>
      </c>
    </row>
    <row r="141">
      <c r="A141" t="inlineStr">
        <is>
          <t>Admin Assistant</t>
        </is>
      </c>
      <c r="B141" s="1" t="n">
        <v>1</v>
      </c>
      <c r="C141" s="1" t="n">
        <v>1</v>
      </c>
      <c r="D141" s="1" t="n">
        <v>2</v>
      </c>
      <c r="E141" s="1" t="n">
        <v>1</v>
      </c>
      <c r="F141" s="1" t="n">
        <v>2</v>
      </c>
      <c r="G141" s="1" t="n">
        <v>5</v>
      </c>
      <c r="H141" s="1" t="n">
        <v>2</v>
      </c>
      <c r="I141" s="1" t="n">
        <v>1</v>
      </c>
      <c r="J141" s="1" t="n">
        <v>2</v>
      </c>
      <c r="K141" s="1" t="n">
        <v>2</v>
      </c>
      <c r="L141" s="1" t="n">
        <v>3</v>
      </c>
      <c r="M141" s="1" t="n">
        <v>3</v>
      </c>
      <c r="N141" s="1" t="n">
        <v>1</v>
      </c>
      <c r="O141" s="1" t="n">
        <v>2</v>
      </c>
      <c r="P141" s="1" t="n">
        <v>2</v>
      </c>
      <c r="Q141" s="1" t="n">
        <v>4</v>
      </c>
      <c r="R141" s="1" t="n">
        <v>5</v>
      </c>
      <c r="S141" s="1" t="n">
        <v>2</v>
      </c>
    </row>
    <row r="142">
      <c r="A142" t="inlineStr">
        <is>
          <t>Course Leader</t>
        </is>
      </c>
      <c r="B142" s="1" t="n">
        <v>1</v>
      </c>
      <c r="C142" s="1" t="n">
        <v>3</v>
      </c>
      <c r="D142" s="1" t="n">
        <v>4</v>
      </c>
      <c r="E142" s="1" t="n">
        <v>2</v>
      </c>
      <c r="F142" s="1" t="n">
        <v>4</v>
      </c>
      <c r="G142" s="1" t="n">
        <v>2</v>
      </c>
      <c r="H142" s="1" t="n">
        <v>5</v>
      </c>
      <c r="I142" s="1" t="n">
        <v>5</v>
      </c>
      <c r="J142" s="1" t="n">
        <v>5</v>
      </c>
      <c r="K142" s="1" t="n">
        <v>5</v>
      </c>
      <c r="L142" s="1" t="n">
        <v>4</v>
      </c>
      <c r="M142" s="1" t="n">
        <v>4</v>
      </c>
      <c r="N142" s="1" t="n">
        <v>4</v>
      </c>
      <c r="O142" s="1" t="n">
        <v>5</v>
      </c>
      <c r="P142" s="1" t="n">
        <v>5</v>
      </c>
      <c r="Q142" s="1" t="n">
        <v>5</v>
      </c>
      <c r="R142" s="1" t="n">
        <v>4</v>
      </c>
      <c r="S142" s="1" t="n">
        <v>4</v>
      </c>
    </row>
    <row r="143">
      <c r="A143" t="inlineStr">
        <is>
          <t>Student</t>
        </is>
      </c>
      <c r="B143" s="1" t="n">
        <v>5</v>
      </c>
      <c r="C143" s="1" t="n">
        <v>5</v>
      </c>
      <c r="D143" s="1" t="n">
        <v>5</v>
      </c>
      <c r="E143" s="1" t="n">
        <v>3</v>
      </c>
      <c r="F143" s="1" t="n">
        <v>5</v>
      </c>
      <c r="G143" s="1" t="n">
        <v>4</v>
      </c>
      <c r="H143" s="1" t="n">
        <v>2</v>
      </c>
      <c r="I143" s="1" t="n">
        <v>2</v>
      </c>
      <c r="J143" s="1" t="n">
        <v>3</v>
      </c>
      <c r="K143" s="1" t="n">
        <v>4</v>
      </c>
      <c r="L143" s="1" t="n">
        <v>4</v>
      </c>
      <c r="M143" s="1" t="n">
        <v>3</v>
      </c>
      <c r="N143" s="1" t="n">
        <v>5</v>
      </c>
      <c r="O143" s="1" t="n">
        <v>4</v>
      </c>
      <c r="P143" s="1" t="n">
        <v>5</v>
      </c>
      <c r="Q143" s="1" t="n">
        <v>2</v>
      </c>
      <c r="R143" s="1" t="n">
        <v>3</v>
      </c>
      <c r="S143" s="1" t="n">
        <v>2</v>
      </c>
    </row>
    <row r="144">
      <c r="A144" t="inlineStr">
        <is>
          <t>Admin Assistant</t>
        </is>
      </c>
      <c r="B144" s="1" t="n">
        <v>1</v>
      </c>
      <c r="C144" s="1" t="n">
        <v>3</v>
      </c>
      <c r="D144" s="1" t="n">
        <v>2</v>
      </c>
      <c r="E144" s="1" t="n">
        <v>1</v>
      </c>
      <c r="F144" s="1" t="n">
        <v>1</v>
      </c>
      <c r="G144" s="1" t="n">
        <v>2</v>
      </c>
      <c r="H144" s="1" t="n">
        <v>3</v>
      </c>
      <c r="I144" s="1" t="n">
        <v>4</v>
      </c>
      <c r="J144" s="1" t="n">
        <v>4</v>
      </c>
      <c r="K144" s="1" t="n">
        <v>1</v>
      </c>
      <c r="L144" s="1" t="n">
        <v>1</v>
      </c>
      <c r="M144" s="1" t="n">
        <v>1</v>
      </c>
      <c r="N144" s="1" t="n">
        <v>3</v>
      </c>
      <c r="O144" s="1" t="n">
        <v>2</v>
      </c>
      <c r="P144" s="1" t="n">
        <v>3</v>
      </c>
      <c r="Q144" s="1" t="n">
        <v>2</v>
      </c>
      <c r="R144" s="1" t="n">
        <v>3</v>
      </c>
      <c r="S144" s="1" t="n">
        <v>4</v>
      </c>
    </row>
    <row r="145">
      <c r="A145" t="inlineStr">
        <is>
          <t>Course Leader</t>
        </is>
      </c>
      <c r="B145" s="1" t="n">
        <v>2</v>
      </c>
      <c r="C145" s="1" t="n">
        <v>4</v>
      </c>
      <c r="D145" s="1" t="n">
        <v>2</v>
      </c>
      <c r="E145" s="1" t="n">
        <v>2</v>
      </c>
      <c r="F145" s="1" t="n">
        <v>4</v>
      </c>
      <c r="G145" s="1" t="n">
        <v>5</v>
      </c>
      <c r="H145" s="1" t="n">
        <v>5</v>
      </c>
      <c r="I145" s="1" t="n">
        <v>4</v>
      </c>
      <c r="J145" s="1" t="n">
        <v>5</v>
      </c>
      <c r="K145" s="1" t="n">
        <v>5</v>
      </c>
      <c r="L145" s="1" t="n">
        <v>5</v>
      </c>
      <c r="M145" s="1" t="n">
        <v>5</v>
      </c>
      <c r="N145" s="1" t="n">
        <v>3</v>
      </c>
      <c r="O145" s="1" t="n">
        <v>3</v>
      </c>
      <c r="P145" s="1" t="n">
        <v>5</v>
      </c>
      <c r="Q145" s="1" t="n">
        <v>3</v>
      </c>
      <c r="R145" s="1" t="n">
        <v>4</v>
      </c>
      <c r="S145" s="1" t="n">
        <v>4</v>
      </c>
    </row>
    <row r="146">
      <c r="A146" t="inlineStr">
        <is>
          <t>Course Leader</t>
        </is>
      </c>
      <c r="B146" s="1" t="n">
        <v>2</v>
      </c>
      <c r="C146" s="1" t="n">
        <v>2</v>
      </c>
      <c r="D146" s="1" t="n">
        <v>2</v>
      </c>
      <c r="E146" s="1" t="n">
        <v>5</v>
      </c>
      <c r="F146" s="1" t="n">
        <v>1</v>
      </c>
      <c r="G146" s="1" t="n">
        <v>5</v>
      </c>
      <c r="H146" s="1" t="n">
        <v>4</v>
      </c>
      <c r="I146" s="1" t="n">
        <v>5</v>
      </c>
      <c r="J146" s="1" t="n">
        <v>4</v>
      </c>
      <c r="K146" s="1" t="n">
        <v>5</v>
      </c>
      <c r="L146" s="1" t="n">
        <v>3</v>
      </c>
      <c r="M146" s="1" t="n">
        <v>5</v>
      </c>
      <c r="N146" s="1" t="n">
        <v>5</v>
      </c>
      <c r="O146" s="1" t="n">
        <v>5</v>
      </c>
      <c r="P146" s="1" t="n">
        <v>3</v>
      </c>
      <c r="Q146" s="1" t="n">
        <v>2</v>
      </c>
      <c r="R146" s="1" t="n">
        <v>5</v>
      </c>
      <c r="S146" s="1" t="n">
        <v>3</v>
      </c>
    </row>
    <row r="147">
      <c r="A147" t="inlineStr">
        <is>
          <t>Student</t>
        </is>
      </c>
      <c r="B147" s="1" t="n">
        <v>5</v>
      </c>
      <c r="C147" s="1" t="n">
        <v>5</v>
      </c>
      <c r="D147" s="1" t="n">
        <v>5</v>
      </c>
      <c r="E147" s="1" t="n">
        <v>5</v>
      </c>
      <c r="F147" s="1" t="n">
        <v>4</v>
      </c>
      <c r="G147" s="1" t="n">
        <v>5</v>
      </c>
      <c r="H147" s="1" t="n">
        <v>4</v>
      </c>
      <c r="I147" s="1" t="n">
        <v>3</v>
      </c>
      <c r="J147" s="1" t="n">
        <v>5</v>
      </c>
      <c r="K147" s="1" t="n">
        <v>4</v>
      </c>
      <c r="L147" s="1" t="n">
        <v>5</v>
      </c>
      <c r="M147" s="1" t="n">
        <v>3</v>
      </c>
      <c r="N147" s="1" t="n">
        <v>2</v>
      </c>
      <c r="O147" s="1" t="n">
        <v>5</v>
      </c>
      <c r="P147" s="1" t="n">
        <v>3</v>
      </c>
      <c r="Q147" s="1" t="n">
        <v>4</v>
      </c>
      <c r="R147" s="1" t="n">
        <v>4</v>
      </c>
      <c r="S147" s="1" t="n">
        <v>3</v>
      </c>
    </row>
    <row r="148">
      <c r="A148" t="inlineStr">
        <is>
          <t>Admin Assistant</t>
        </is>
      </c>
      <c r="B148" s="1" t="n">
        <v>1</v>
      </c>
      <c r="C148" s="1" t="n">
        <v>2</v>
      </c>
      <c r="D148" s="1" t="n">
        <v>3</v>
      </c>
      <c r="E148" s="1" t="n">
        <v>1</v>
      </c>
      <c r="F148" s="1" t="n">
        <v>1</v>
      </c>
      <c r="G148" s="1" t="n">
        <v>2</v>
      </c>
      <c r="H148" s="1" t="n">
        <v>4</v>
      </c>
      <c r="I148" s="1" t="n">
        <v>2</v>
      </c>
      <c r="J148" s="1" t="n">
        <v>1</v>
      </c>
      <c r="K148" s="1" t="n">
        <v>2</v>
      </c>
      <c r="L148" s="1" t="n">
        <v>2</v>
      </c>
      <c r="M148" s="1" t="n">
        <v>2</v>
      </c>
      <c r="N148" s="1" t="n">
        <v>2</v>
      </c>
      <c r="O148" s="1" t="n">
        <v>2</v>
      </c>
      <c r="P148" s="1" t="n">
        <v>2</v>
      </c>
      <c r="Q148" s="1" t="n">
        <v>1</v>
      </c>
      <c r="R148" s="1" t="n">
        <v>3</v>
      </c>
      <c r="S148" s="1" t="n">
        <v>4</v>
      </c>
    </row>
    <row r="149">
      <c r="A149" t="inlineStr">
        <is>
          <t>Student</t>
        </is>
      </c>
      <c r="B149" s="1" t="n">
        <v>5</v>
      </c>
      <c r="C149" s="1" t="n">
        <v>3</v>
      </c>
      <c r="D149" s="1" t="n">
        <v>5</v>
      </c>
      <c r="E149" s="1" t="n">
        <v>4</v>
      </c>
      <c r="F149" s="1" t="n">
        <v>5</v>
      </c>
      <c r="G149" s="1" t="n">
        <v>5</v>
      </c>
      <c r="H149" s="1" t="n">
        <v>4</v>
      </c>
      <c r="I149" s="1" t="n">
        <v>3</v>
      </c>
      <c r="J149" s="1" t="n">
        <v>4</v>
      </c>
      <c r="K149" s="1" t="n">
        <v>5</v>
      </c>
      <c r="L149" s="1" t="n">
        <v>4</v>
      </c>
      <c r="M149" s="1" t="n">
        <v>5</v>
      </c>
      <c r="N149" s="1" t="n">
        <v>3</v>
      </c>
      <c r="O149" s="1" t="n">
        <v>4</v>
      </c>
      <c r="P149" s="1" t="n">
        <v>3</v>
      </c>
      <c r="Q149" s="1" t="n">
        <v>4</v>
      </c>
      <c r="R149" s="1" t="n">
        <v>4</v>
      </c>
      <c r="S149" s="1" t="n">
        <v>4</v>
      </c>
    </row>
    <row r="150">
      <c r="A150" t="inlineStr">
        <is>
          <t>Admin Assistant</t>
        </is>
      </c>
      <c r="B150" s="1" t="n">
        <v>2</v>
      </c>
      <c r="C150" s="1" t="n">
        <v>1</v>
      </c>
      <c r="D150" s="1" t="n">
        <v>1</v>
      </c>
      <c r="E150" s="1" t="n">
        <v>1</v>
      </c>
      <c r="F150" s="1" t="n">
        <v>1</v>
      </c>
      <c r="G150" s="1" t="n">
        <v>1</v>
      </c>
      <c r="H150" s="1" t="n">
        <v>3</v>
      </c>
      <c r="I150" s="1" t="n">
        <v>3</v>
      </c>
      <c r="J150" s="1" t="n">
        <v>3</v>
      </c>
      <c r="K150" s="1" t="n">
        <v>4</v>
      </c>
      <c r="L150" s="1" t="n">
        <v>1</v>
      </c>
      <c r="M150" s="1" t="n">
        <v>1</v>
      </c>
      <c r="N150" s="1" t="n">
        <v>5</v>
      </c>
      <c r="O150" s="1" t="n">
        <v>3</v>
      </c>
      <c r="P150" s="1" t="n">
        <v>2</v>
      </c>
      <c r="Q150" s="1" t="n">
        <v>1</v>
      </c>
      <c r="R150" s="1" t="n">
        <v>1</v>
      </c>
      <c r="S150" s="1" t="n">
        <v>2</v>
      </c>
    </row>
    <row r="151">
      <c r="A151" t="inlineStr">
        <is>
          <t>Admin Assistant</t>
        </is>
      </c>
      <c r="B151" s="1" t="n">
        <v>1</v>
      </c>
      <c r="C151" s="1" t="n">
        <v>1</v>
      </c>
      <c r="D151" s="1" t="n">
        <v>2</v>
      </c>
      <c r="E151" s="1" t="n">
        <v>3</v>
      </c>
      <c r="F151" s="1" t="n">
        <v>1</v>
      </c>
      <c r="G151" s="1" t="n">
        <v>3</v>
      </c>
      <c r="H151" s="1" t="n">
        <v>2</v>
      </c>
      <c r="I151" s="1" t="n">
        <v>2</v>
      </c>
      <c r="J151" s="1" t="n">
        <v>1</v>
      </c>
      <c r="K151" s="1" t="n">
        <v>4</v>
      </c>
      <c r="L151" s="1" t="n">
        <v>1</v>
      </c>
      <c r="M151" s="1" t="n">
        <v>2</v>
      </c>
      <c r="N151" s="1" t="n">
        <v>2</v>
      </c>
      <c r="O151" s="1" t="n">
        <v>4</v>
      </c>
      <c r="P151" s="1" t="n">
        <v>1</v>
      </c>
      <c r="Q151" s="1" t="n">
        <v>1</v>
      </c>
      <c r="R151" s="1" t="n">
        <v>3</v>
      </c>
      <c r="S151" s="1" t="n">
        <v>2</v>
      </c>
    </row>
    <row r="152">
      <c r="A152" t="inlineStr">
        <is>
          <t>Demonstrator</t>
        </is>
      </c>
      <c r="B152" s="1" t="n">
        <v>3</v>
      </c>
      <c r="C152" s="1" t="n">
        <v>3</v>
      </c>
      <c r="D152" s="1" t="n">
        <v>5</v>
      </c>
      <c r="E152" s="1" t="n">
        <v>3</v>
      </c>
      <c r="F152" s="1" t="n">
        <v>4</v>
      </c>
      <c r="G152" s="1" t="n">
        <v>4</v>
      </c>
      <c r="H152" s="1" t="n">
        <v>3</v>
      </c>
      <c r="I152" s="1" t="n">
        <v>5</v>
      </c>
      <c r="J152" s="1" t="n">
        <v>4</v>
      </c>
      <c r="K152" s="1" t="n">
        <v>3</v>
      </c>
      <c r="L152" s="1" t="n">
        <v>2</v>
      </c>
      <c r="M152" s="1" t="n">
        <v>1</v>
      </c>
      <c r="N152" s="1" t="n">
        <v>3</v>
      </c>
      <c r="O152" s="1" t="n">
        <v>2</v>
      </c>
      <c r="P152" s="1" t="n">
        <v>4</v>
      </c>
      <c r="Q152" s="1" t="n">
        <v>3</v>
      </c>
      <c r="R152" s="1" t="n">
        <v>3</v>
      </c>
      <c r="S152" s="1" t="n">
        <v>3</v>
      </c>
    </row>
    <row r="153">
      <c r="A153" t="inlineStr">
        <is>
          <t>Course Leader</t>
        </is>
      </c>
      <c r="B153" s="1" t="n">
        <v>4</v>
      </c>
      <c r="C153" s="1" t="n">
        <v>5</v>
      </c>
      <c r="D153" s="1" t="n">
        <v>2</v>
      </c>
      <c r="E153" s="1" t="n">
        <v>4</v>
      </c>
      <c r="F153" s="1" t="n">
        <v>4</v>
      </c>
      <c r="G153" s="1" t="n">
        <v>2</v>
      </c>
      <c r="H153" s="1" t="n">
        <v>5</v>
      </c>
      <c r="I153" s="1" t="n">
        <v>5</v>
      </c>
      <c r="J153" s="1" t="n">
        <v>3</v>
      </c>
      <c r="K153" s="1" t="n">
        <v>5</v>
      </c>
      <c r="L153" s="1" t="n">
        <v>4</v>
      </c>
      <c r="M153" s="1" t="n">
        <v>5</v>
      </c>
      <c r="N153" s="1" t="n">
        <v>3</v>
      </c>
      <c r="O153" s="1" t="n">
        <v>5</v>
      </c>
      <c r="P153" s="1" t="n">
        <v>4</v>
      </c>
      <c r="Q153" s="1" t="n">
        <v>4</v>
      </c>
      <c r="R153" s="1" t="n">
        <v>5</v>
      </c>
      <c r="S153" s="1" t="n">
        <v>4</v>
      </c>
    </row>
    <row r="154">
      <c r="A154" t="inlineStr">
        <is>
          <t>Course Leader</t>
        </is>
      </c>
      <c r="B154" s="1" t="n">
        <v>2</v>
      </c>
      <c r="C154" s="1" t="n">
        <v>5</v>
      </c>
      <c r="D154" s="1" t="n">
        <v>5</v>
      </c>
      <c r="E154" s="1" t="n">
        <v>3</v>
      </c>
      <c r="F154" s="1" t="n">
        <v>2</v>
      </c>
      <c r="G154" s="1" t="n">
        <v>5</v>
      </c>
      <c r="H154" s="1" t="n">
        <v>5</v>
      </c>
      <c r="I154" s="1" t="n">
        <v>5</v>
      </c>
      <c r="J154" s="1" t="n">
        <v>5</v>
      </c>
      <c r="K154" s="1" t="n">
        <v>5</v>
      </c>
      <c r="L154" s="1" t="n">
        <v>3</v>
      </c>
      <c r="M154" s="1" t="n">
        <v>5</v>
      </c>
      <c r="N154" s="1" t="n">
        <v>4</v>
      </c>
      <c r="O154" s="1" t="n">
        <v>2</v>
      </c>
      <c r="P154" s="1" t="n">
        <v>5</v>
      </c>
      <c r="Q154" s="1" t="n">
        <v>2</v>
      </c>
      <c r="R154" s="1" t="n">
        <v>4</v>
      </c>
      <c r="S154" s="1" t="n">
        <v>4</v>
      </c>
    </row>
    <row r="155">
      <c r="A155" t="inlineStr">
        <is>
          <t>Demonstrator</t>
        </is>
      </c>
      <c r="B155" s="1" t="n">
        <v>3</v>
      </c>
      <c r="C155" s="1" t="n">
        <v>3</v>
      </c>
      <c r="D155" s="1" t="n">
        <v>5</v>
      </c>
      <c r="E155" s="1" t="n">
        <v>3</v>
      </c>
      <c r="F155" s="1" t="n">
        <v>4</v>
      </c>
      <c r="G155" s="1" t="n">
        <v>5</v>
      </c>
      <c r="H155" s="1" t="n">
        <v>5</v>
      </c>
      <c r="I155" s="1" t="n">
        <v>3</v>
      </c>
      <c r="J155" s="1" t="n">
        <v>5</v>
      </c>
      <c r="K155" s="1" t="n">
        <v>4</v>
      </c>
      <c r="L155" s="1" t="n">
        <v>3</v>
      </c>
      <c r="M155" s="1" t="n">
        <v>3</v>
      </c>
      <c r="N155" s="1" t="n">
        <v>3</v>
      </c>
      <c r="O155" s="1" t="n">
        <v>5</v>
      </c>
      <c r="P155" s="1" t="n">
        <v>3</v>
      </c>
      <c r="Q155" s="1" t="n">
        <v>2</v>
      </c>
      <c r="R155" s="1" t="n">
        <v>4</v>
      </c>
      <c r="S155" s="1" t="n">
        <v>2</v>
      </c>
    </row>
    <row r="156">
      <c r="A156" t="inlineStr">
        <is>
          <t>Student</t>
        </is>
      </c>
      <c r="B156" s="1" t="n">
        <v>4</v>
      </c>
      <c r="C156" s="1" t="n">
        <v>5</v>
      </c>
      <c r="D156" s="1" t="n">
        <v>5</v>
      </c>
      <c r="E156" s="1" t="n">
        <v>5</v>
      </c>
      <c r="F156" s="1" t="n">
        <v>5</v>
      </c>
      <c r="G156" s="1" t="n">
        <v>3</v>
      </c>
      <c r="H156" s="1" t="n">
        <v>5</v>
      </c>
      <c r="I156" s="1" t="n">
        <v>5</v>
      </c>
      <c r="J156" s="1" t="n">
        <v>2</v>
      </c>
      <c r="K156" s="1" t="n">
        <v>4</v>
      </c>
      <c r="L156" s="1" t="n">
        <v>4</v>
      </c>
      <c r="M156" s="1" t="n">
        <v>4</v>
      </c>
      <c r="N156" s="1" t="n">
        <v>3</v>
      </c>
      <c r="O156" s="1" t="n">
        <v>3</v>
      </c>
      <c r="P156" s="1" t="n">
        <v>5</v>
      </c>
      <c r="Q156" s="1" t="n">
        <v>5</v>
      </c>
      <c r="R156" s="1" t="n">
        <v>4</v>
      </c>
      <c r="S156" s="1" t="n">
        <v>3</v>
      </c>
    </row>
    <row r="157">
      <c r="A157" t="inlineStr">
        <is>
          <t>Demonstrator</t>
        </is>
      </c>
      <c r="B157" s="1" t="n">
        <v>5</v>
      </c>
      <c r="C157" s="1" t="n">
        <v>3</v>
      </c>
      <c r="D157" s="1" t="n">
        <v>5</v>
      </c>
      <c r="E157" s="1" t="n">
        <v>4</v>
      </c>
      <c r="F157" s="1" t="n">
        <v>3</v>
      </c>
      <c r="G157" s="1" t="n">
        <v>5</v>
      </c>
      <c r="H157" s="1" t="n">
        <v>5</v>
      </c>
      <c r="I157" s="1" t="n">
        <v>3</v>
      </c>
      <c r="J157" s="1" t="n">
        <v>5</v>
      </c>
      <c r="K157" s="1" t="n">
        <v>2</v>
      </c>
      <c r="L157" s="1" t="n">
        <v>3</v>
      </c>
      <c r="M157" s="1" t="n">
        <v>5</v>
      </c>
      <c r="N157" s="1" t="n">
        <v>2</v>
      </c>
      <c r="O157" s="1" t="n">
        <v>3</v>
      </c>
      <c r="P157" s="1" t="n">
        <v>3</v>
      </c>
      <c r="Q157" s="1" t="n">
        <v>2</v>
      </c>
      <c r="R157" s="1" t="n">
        <v>4</v>
      </c>
      <c r="S157" s="1" t="n">
        <v>2</v>
      </c>
    </row>
    <row r="158">
      <c r="A158" t="inlineStr">
        <is>
          <t>Course Leader</t>
        </is>
      </c>
      <c r="B158" s="1" t="n">
        <v>2</v>
      </c>
      <c r="C158" s="1" t="n">
        <v>2</v>
      </c>
      <c r="D158" s="1" t="n">
        <v>4</v>
      </c>
      <c r="E158" s="1" t="n">
        <v>4</v>
      </c>
      <c r="F158" s="1" t="n">
        <v>3</v>
      </c>
      <c r="G158" s="1" t="n">
        <v>5</v>
      </c>
      <c r="H158" s="1" t="n">
        <v>5</v>
      </c>
      <c r="I158" s="1" t="n">
        <v>4</v>
      </c>
      <c r="J158" s="1" t="n">
        <v>5</v>
      </c>
      <c r="K158" s="1" t="n">
        <v>5</v>
      </c>
      <c r="L158" s="1" t="n">
        <v>3</v>
      </c>
      <c r="M158" s="1" t="n">
        <v>4</v>
      </c>
      <c r="N158" s="1" t="n">
        <v>4</v>
      </c>
      <c r="O158" s="1" t="n">
        <v>5</v>
      </c>
      <c r="P158" s="1" t="n">
        <v>2</v>
      </c>
      <c r="Q158" s="1" t="n">
        <v>2</v>
      </c>
      <c r="R158" s="1" t="n">
        <v>3</v>
      </c>
      <c r="S158" s="1" t="n">
        <v>3</v>
      </c>
    </row>
    <row r="159">
      <c r="A159" t="inlineStr">
        <is>
          <t>Course Leader</t>
        </is>
      </c>
      <c r="B159" s="1" t="n">
        <v>3</v>
      </c>
      <c r="C159" s="1" t="n">
        <v>3</v>
      </c>
      <c r="D159" s="1" t="n">
        <v>2</v>
      </c>
      <c r="E159" s="1" t="n">
        <v>3</v>
      </c>
      <c r="F159" s="1" t="n">
        <v>3</v>
      </c>
      <c r="G159" s="1" t="n">
        <v>3</v>
      </c>
      <c r="H159" s="1" t="n">
        <v>5</v>
      </c>
      <c r="I159" s="1" t="n">
        <v>4</v>
      </c>
      <c r="J159" s="1" t="n">
        <v>4</v>
      </c>
      <c r="K159" s="1" t="n">
        <v>5</v>
      </c>
      <c r="L159" s="1" t="n">
        <v>5</v>
      </c>
      <c r="M159" s="1" t="n">
        <v>5</v>
      </c>
      <c r="N159" s="1" t="n">
        <v>4</v>
      </c>
      <c r="O159" s="1" t="n">
        <v>3</v>
      </c>
      <c r="P159" s="1" t="n">
        <v>3</v>
      </c>
      <c r="Q159" s="1" t="n">
        <v>2</v>
      </c>
      <c r="R159" s="1" t="n">
        <v>3</v>
      </c>
      <c r="S159" s="1" t="n">
        <v>2</v>
      </c>
    </row>
    <row r="160">
      <c r="A160" t="inlineStr">
        <is>
          <t>Demonstrator</t>
        </is>
      </c>
      <c r="B160" s="1" t="n">
        <v>5</v>
      </c>
      <c r="C160" s="1" t="n">
        <v>4</v>
      </c>
      <c r="D160" s="1" t="n">
        <v>4</v>
      </c>
      <c r="E160" s="1" t="n">
        <v>2</v>
      </c>
      <c r="F160" s="1" t="n">
        <v>5</v>
      </c>
      <c r="G160" s="1" t="n">
        <v>4</v>
      </c>
      <c r="H160" s="1" t="n">
        <v>5</v>
      </c>
      <c r="I160" s="1" t="n">
        <v>5</v>
      </c>
      <c r="J160" s="1" t="n">
        <v>3</v>
      </c>
      <c r="K160" s="1" t="n">
        <v>4</v>
      </c>
      <c r="L160" s="1" t="n">
        <v>3</v>
      </c>
      <c r="M160" s="1" t="n">
        <v>2</v>
      </c>
      <c r="N160" s="1" t="n">
        <v>4</v>
      </c>
      <c r="O160" s="1" t="n">
        <v>3</v>
      </c>
      <c r="P160" s="1" t="n">
        <v>3</v>
      </c>
      <c r="Q160" s="1" t="n">
        <v>2</v>
      </c>
      <c r="R160" s="1" t="n">
        <v>4</v>
      </c>
      <c r="S160" s="1" t="n">
        <v>5</v>
      </c>
    </row>
    <row r="161">
      <c r="A161" t="inlineStr">
        <is>
          <t>Demonstrator</t>
        </is>
      </c>
      <c r="B161" s="1" t="n">
        <v>5</v>
      </c>
      <c r="C161" s="1" t="n">
        <v>5</v>
      </c>
      <c r="D161" s="1" t="n">
        <v>4</v>
      </c>
      <c r="E161" s="1" t="n">
        <v>4</v>
      </c>
      <c r="F161" s="1" t="n">
        <v>3</v>
      </c>
      <c r="G161" s="1" t="n">
        <v>2</v>
      </c>
      <c r="H161" s="1" t="n">
        <v>5</v>
      </c>
      <c r="I161" s="1" t="n">
        <v>3</v>
      </c>
      <c r="J161" s="1" t="n">
        <v>4</v>
      </c>
      <c r="K161" s="1" t="n">
        <v>4</v>
      </c>
      <c r="L161" s="1" t="n">
        <v>5</v>
      </c>
      <c r="M161" s="1" t="n">
        <v>4</v>
      </c>
      <c r="N161" s="1" t="n">
        <v>5</v>
      </c>
      <c r="O161" s="1" t="n">
        <v>4</v>
      </c>
      <c r="P161" s="1" t="n">
        <v>4</v>
      </c>
      <c r="Q161" s="1" t="n">
        <v>1</v>
      </c>
      <c r="R161" s="1" t="n">
        <v>3</v>
      </c>
      <c r="S161" s="1" t="n">
        <v>2</v>
      </c>
    </row>
    <row r="162">
      <c r="A162" t="inlineStr">
        <is>
          <t>Demonstrator</t>
        </is>
      </c>
      <c r="B162" s="1" t="n">
        <v>3</v>
      </c>
      <c r="C162" s="1" t="n">
        <v>4</v>
      </c>
      <c r="D162" s="1" t="n">
        <v>3</v>
      </c>
      <c r="E162" s="1" t="n">
        <v>2</v>
      </c>
      <c r="F162" s="1" t="n">
        <v>3</v>
      </c>
      <c r="G162" s="1" t="n">
        <v>3</v>
      </c>
      <c r="H162" s="1" t="n">
        <v>2</v>
      </c>
      <c r="I162" s="1" t="n">
        <v>4</v>
      </c>
      <c r="J162" s="1" t="n">
        <v>2</v>
      </c>
      <c r="K162" s="1" t="n">
        <v>3</v>
      </c>
      <c r="L162" s="1" t="n">
        <v>5</v>
      </c>
      <c r="M162" s="1" t="n">
        <v>2</v>
      </c>
      <c r="N162" s="1" t="n">
        <v>3</v>
      </c>
      <c r="O162" s="1" t="n">
        <v>4</v>
      </c>
      <c r="P162" s="1" t="n">
        <v>5</v>
      </c>
      <c r="Q162" s="1" t="n">
        <v>4</v>
      </c>
      <c r="R162" s="1" t="n">
        <v>3</v>
      </c>
      <c r="S162" s="1" t="n">
        <v>3</v>
      </c>
    </row>
    <row r="163">
      <c r="A163" t="inlineStr">
        <is>
          <t>Course Leader</t>
        </is>
      </c>
      <c r="B163" s="1" t="n">
        <v>3</v>
      </c>
      <c r="C163" s="1" t="n">
        <v>4</v>
      </c>
      <c r="D163" s="1" t="n">
        <v>2</v>
      </c>
      <c r="E163" s="1" t="n">
        <v>3</v>
      </c>
      <c r="F163" s="1" t="n">
        <v>2</v>
      </c>
      <c r="G163" s="1" t="n">
        <v>3</v>
      </c>
      <c r="H163" s="1" t="n">
        <v>5</v>
      </c>
      <c r="I163" s="1" t="n">
        <v>5</v>
      </c>
      <c r="J163" s="1" t="n">
        <v>5</v>
      </c>
      <c r="K163" s="1" t="n">
        <v>5</v>
      </c>
      <c r="L163" s="1" t="n">
        <v>2</v>
      </c>
      <c r="M163" s="1" t="n">
        <v>4</v>
      </c>
      <c r="N163" s="1" t="n">
        <v>3</v>
      </c>
      <c r="O163" s="1" t="n">
        <v>4</v>
      </c>
      <c r="P163" s="1" t="n">
        <v>4</v>
      </c>
      <c r="Q163" s="1" t="n">
        <v>3</v>
      </c>
      <c r="R163" s="1" t="n">
        <v>5</v>
      </c>
      <c r="S163" s="1" t="n">
        <v>3</v>
      </c>
    </row>
    <row r="164">
      <c r="A164" t="inlineStr">
        <is>
          <t>Demonstrator</t>
        </is>
      </c>
      <c r="B164" s="1" t="n">
        <v>3</v>
      </c>
      <c r="C164" s="1" t="n">
        <v>3</v>
      </c>
      <c r="D164" s="1" t="n">
        <v>3</v>
      </c>
      <c r="E164" s="1" t="n">
        <v>4</v>
      </c>
      <c r="F164" s="1" t="n">
        <v>3</v>
      </c>
      <c r="G164" s="1" t="n">
        <v>3</v>
      </c>
      <c r="H164" s="1" t="n">
        <v>2</v>
      </c>
      <c r="I164" s="1" t="n">
        <v>4</v>
      </c>
      <c r="J164" s="1" t="n">
        <v>4</v>
      </c>
      <c r="K164" s="1" t="n">
        <v>4</v>
      </c>
      <c r="L164" s="1" t="n">
        <v>3</v>
      </c>
      <c r="M164" s="1" t="n">
        <v>1</v>
      </c>
      <c r="N164" s="1" t="n">
        <v>3</v>
      </c>
      <c r="O164" s="1" t="n">
        <v>3</v>
      </c>
      <c r="P164" s="1" t="n">
        <v>5</v>
      </c>
      <c r="Q164" s="1" t="n">
        <v>5</v>
      </c>
      <c r="R164" s="1" t="n">
        <v>2</v>
      </c>
      <c r="S164" s="1" t="n">
        <v>5</v>
      </c>
    </row>
    <row r="165">
      <c r="A165" t="inlineStr">
        <is>
          <t>Demonstrator</t>
        </is>
      </c>
      <c r="B165" s="1" t="n">
        <v>5</v>
      </c>
      <c r="C165" s="1" t="n">
        <v>4</v>
      </c>
      <c r="D165" s="1" t="n">
        <v>5</v>
      </c>
      <c r="E165" s="1" t="n">
        <v>5</v>
      </c>
      <c r="F165" s="1" t="n">
        <v>4</v>
      </c>
      <c r="G165" s="1" t="n">
        <v>3</v>
      </c>
      <c r="H165" s="1" t="n">
        <v>1</v>
      </c>
      <c r="I165" s="1" t="n">
        <v>5</v>
      </c>
      <c r="J165" s="1" t="n">
        <v>4</v>
      </c>
      <c r="K165" s="1" t="n">
        <v>2</v>
      </c>
      <c r="L165" s="1" t="n">
        <v>4</v>
      </c>
      <c r="M165" s="1" t="n">
        <v>4</v>
      </c>
      <c r="N165" s="1" t="n">
        <v>3</v>
      </c>
      <c r="O165" s="1" t="n">
        <v>3</v>
      </c>
      <c r="P165" s="1" t="n">
        <v>1</v>
      </c>
      <c r="Q165" s="1" t="n">
        <v>4</v>
      </c>
      <c r="R165" s="1" t="n">
        <v>3</v>
      </c>
      <c r="S165" s="1" t="n">
        <v>5</v>
      </c>
    </row>
    <row r="166">
      <c r="A166" t="inlineStr">
        <is>
          <t>Student</t>
        </is>
      </c>
      <c r="B166" s="1" t="n">
        <v>4</v>
      </c>
      <c r="C166" s="1" t="n">
        <v>5</v>
      </c>
      <c r="D166" s="1" t="n">
        <v>5</v>
      </c>
      <c r="E166" s="1" t="n">
        <v>5</v>
      </c>
      <c r="F166" s="1" t="n">
        <v>3</v>
      </c>
      <c r="G166" s="1" t="n">
        <v>5</v>
      </c>
      <c r="H166" s="1" t="n">
        <v>4</v>
      </c>
      <c r="I166" s="1" t="n">
        <v>5</v>
      </c>
      <c r="J166" s="1" t="n">
        <v>4</v>
      </c>
      <c r="K166" s="1" t="n">
        <v>3</v>
      </c>
      <c r="L166" s="1" t="n">
        <v>3</v>
      </c>
      <c r="M166" s="1" t="n">
        <v>5</v>
      </c>
      <c r="N166" s="1" t="n">
        <v>5</v>
      </c>
      <c r="O166" s="1" t="n">
        <v>4</v>
      </c>
      <c r="P166" s="1" t="n">
        <v>5</v>
      </c>
      <c r="Q166" s="1" t="n">
        <v>4</v>
      </c>
      <c r="R166" s="1" t="n">
        <v>2</v>
      </c>
      <c r="S166" s="1" t="n">
        <v>4</v>
      </c>
    </row>
    <row r="167">
      <c r="A167" t="inlineStr">
        <is>
          <t>Demonstrator</t>
        </is>
      </c>
      <c r="B167" s="1" t="n">
        <v>5</v>
      </c>
      <c r="C167" s="1" t="n">
        <v>5</v>
      </c>
      <c r="D167" s="1" t="n">
        <v>2</v>
      </c>
      <c r="E167" s="1" t="n">
        <v>5</v>
      </c>
      <c r="F167" s="1" t="n">
        <v>1</v>
      </c>
      <c r="G167" s="1" t="n">
        <v>4</v>
      </c>
      <c r="H167" s="1" t="n">
        <v>4</v>
      </c>
      <c r="I167" s="1" t="n">
        <v>4</v>
      </c>
      <c r="J167" s="1" t="n">
        <v>5</v>
      </c>
      <c r="K167" s="1" t="n">
        <v>4</v>
      </c>
      <c r="L167" s="1" t="n">
        <v>3</v>
      </c>
      <c r="M167" s="1" t="n">
        <v>2</v>
      </c>
      <c r="N167" s="1" t="n">
        <v>4</v>
      </c>
      <c r="O167" s="1" t="n">
        <v>2</v>
      </c>
      <c r="P167" s="1" t="n">
        <v>4</v>
      </c>
      <c r="Q167" s="1" t="n">
        <v>1</v>
      </c>
      <c r="R167" s="1" t="n">
        <v>4</v>
      </c>
      <c r="S167" s="1" t="n">
        <v>4</v>
      </c>
    </row>
    <row r="168">
      <c r="A168" t="inlineStr">
        <is>
          <t>Course Leader</t>
        </is>
      </c>
      <c r="B168" s="1" t="n">
        <v>2</v>
      </c>
      <c r="C168" s="1" t="n">
        <v>5</v>
      </c>
      <c r="D168" s="1" t="n">
        <v>3</v>
      </c>
      <c r="E168" s="1" t="n">
        <v>5</v>
      </c>
      <c r="F168" s="1" t="n">
        <v>4</v>
      </c>
      <c r="G168" s="1" t="n">
        <v>5</v>
      </c>
      <c r="H168" s="1" t="n">
        <v>5</v>
      </c>
      <c r="I168" s="1" t="n">
        <v>5</v>
      </c>
      <c r="J168" s="1" t="n">
        <v>3</v>
      </c>
      <c r="K168" s="1" t="n">
        <v>4</v>
      </c>
      <c r="L168" s="1" t="n">
        <v>5</v>
      </c>
      <c r="M168" s="1" t="n">
        <v>2</v>
      </c>
      <c r="N168" s="1" t="n">
        <v>5</v>
      </c>
      <c r="O168" s="1" t="n">
        <v>5</v>
      </c>
      <c r="P168" s="1" t="n">
        <v>5</v>
      </c>
      <c r="Q168" s="1" t="n">
        <v>3</v>
      </c>
      <c r="R168" s="1" t="n">
        <v>1</v>
      </c>
      <c r="S168" s="1" t="n">
        <v>3</v>
      </c>
    </row>
    <row r="169">
      <c r="A169" t="inlineStr">
        <is>
          <t>Student</t>
        </is>
      </c>
      <c r="B169" s="1" t="n">
        <v>3</v>
      </c>
      <c r="C169" s="1" t="n">
        <v>5</v>
      </c>
      <c r="D169" s="1" t="n">
        <v>3</v>
      </c>
      <c r="E169" s="1" t="n">
        <v>5</v>
      </c>
      <c r="F169" s="1" t="n">
        <v>5</v>
      </c>
      <c r="G169" s="1" t="n">
        <v>5</v>
      </c>
      <c r="H169" s="1" t="n">
        <v>5</v>
      </c>
      <c r="I169" s="1" t="n">
        <v>4</v>
      </c>
      <c r="J169" s="1" t="n">
        <v>4</v>
      </c>
      <c r="K169" s="1" t="n">
        <v>4</v>
      </c>
      <c r="L169" s="1" t="n">
        <v>5</v>
      </c>
      <c r="M169" s="1" t="n">
        <v>5</v>
      </c>
      <c r="N169" s="1" t="n">
        <v>5</v>
      </c>
      <c r="O169" s="1" t="n">
        <v>3</v>
      </c>
      <c r="P169" s="1" t="n">
        <v>1</v>
      </c>
      <c r="Q169" s="1" t="n">
        <v>4</v>
      </c>
      <c r="R169" s="1" t="n">
        <v>3</v>
      </c>
      <c r="S169" s="1" t="n">
        <v>3</v>
      </c>
    </row>
    <row r="170">
      <c r="A170" t="inlineStr">
        <is>
          <t>Admin Assistant</t>
        </is>
      </c>
      <c r="B170" s="1" t="n">
        <v>1</v>
      </c>
      <c r="C170" s="1" t="n">
        <v>2</v>
      </c>
      <c r="D170" s="1" t="n">
        <v>3</v>
      </c>
      <c r="E170" s="1" t="n">
        <v>3</v>
      </c>
      <c r="F170" s="1" t="n">
        <v>1</v>
      </c>
      <c r="G170" s="1" t="n">
        <v>2</v>
      </c>
      <c r="H170" s="1" t="n">
        <v>1</v>
      </c>
      <c r="I170" s="1" t="n">
        <v>2</v>
      </c>
      <c r="J170" s="1" t="n">
        <v>2</v>
      </c>
      <c r="K170" s="1" t="n">
        <v>1</v>
      </c>
      <c r="L170" s="1" t="n">
        <v>2</v>
      </c>
      <c r="M170" s="1" t="n">
        <v>2</v>
      </c>
      <c r="N170" s="1" t="n">
        <v>1</v>
      </c>
      <c r="O170" s="1" t="n">
        <v>2</v>
      </c>
      <c r="P170" s="1" t="n">
        <v>2</v>
      </c>
      <c r="Q170" s="1" t="n">
        <v>3</v>
      </c>
      <c r="R170" s="1" t="n">
        <v>3</v>
      </c>
      <c r="S170" s="1" t="n">
        <v>2</v>
      </c>
    </row>
    <row r="171">
      <c r="A171" t="inlineStr">
        <is>
          <t>Course Leader</t>
        </is>
      </c>
      <c r="B171" s="1" t="n">
        <v>2</v>
      </c>
      <c r="C171" s="1" t="n">
        <v>1</v>
      </c>
      <c r="D171" s="1" t="n">
        <v>3</v>
      </c>
      <c r="E171" s="1" t="n">
        <v>4</v>
      </c>
      <c r="F171" s="1" t="n">
        <v>2</v>
      </c>
      <c r="G171" s="1" t="n">
        <v>5</v>
      </c>
      <c r="H171" s="1" t="n">
        <v>5</v>
      </c>
      <c r="I171" s="1" t="n">
        <v>3</v>
      </c>
      <c r="J171" s="1" t="n">
        <v>3</v>
      </c>
      <c r="K171" s="1" t="n">
        <v>5</v>
      </c>
      <c r="L171" s="1" t="n">
        <v>3</v>
      </c>
      <c r="M171" s="1" t="n">
        <v>1</v>
      </c>
      <c r="N171" s="1" t="n">
        <v>4</v>
      </c>
      <c r="O171" s="1" t="n">
        <v>5</v>
      </c>
      <c r="P171" s="1" t="n">
        <v>5</v>
      </c>
      <c r="Q171" s="1" t="n">
        <v>3</v>
      </c>
      <c r="R171" s="1" t="n">
        <v>3</v>
      </c>
      <c r="S171" s="1" t="n">
        <v>4</v>
      </c>
    </row>
    <row r="172">
      <c r="A172" t="inlineStr">
        <is>
          <t>Course Leader</t>
        </is>
      </c>
      <c r="B172" s="1" t="n">
        <v>1</v>
      </c>
      <c r="C172" s="1" t="n">
        <v>3</v>
      </c>
      <c r="D172" s="1" t="n">
        <v>2</v>
      </c>
      <c r="E172" s="1" t="n">
        <v>3</v>
      </c>
      <c r="F172" s="1" t="n">
        <v>3</v>
      </c>
      <c r="G172" s="1" t="n">
        <v>5</v>
      </c>
      <c r="H172" s="1" t="n">
        <v>4</v>
      </c>
      <c r="I172" s="1" t="n">
        <v>4</v>
      </c>
      <c r="J172" s="1" t="n">
        <v>5</v>
      </c>
      <c r="K172" s="1" t="n">
        <v>3</v>
      </c>
      <c r="L172" s="1" t="n">
        <v>5</v>
      </c>
      <c r="M172" s="1" t="n">
        <v>4</v>
      </c>
      <c r="N172" s="1" t="n">
        <v>4</v>
      </c>
      <c r="O172" s="1" t="n">
        <v>3</v>
      </c>
      <c r="P172" s="1" t="n">
        <v>4</v>
      </c>
      <c r="Q172" s="1" t="n">
        <v>4</v>
      </c>
      <c r="R172" s="1" t="n">
        <v>5</v>
      </c>
      <c r="S172" s="1" t="n">
        <v>3</v>
      </c>
    </row>
    <row r="173">
      <c r="A173" t="inlineStr">
        <is>
          <t>Admin Assistant</t>
        </is>
      </c>
      <c r="B173" s="1" t="n">
        <v>1</v>
      </c>
      <c r="C173" s="1" t="n">
        <v>2</v>
      </c>
      <c r="D173" s="1" t="n">
        <v>3</v>
      </c>
      <c r="E173" s="1" t="n">
        <v>1</v>
      </c>
      <c r="F173" s="1" t="n">
        <v>1</v>
      </c>
      <c r="G173" s="1" t="n">
        <v>1</v>
      </c>
      <c r="H173" s="1" t="n">
        <v>1</v>
      </c>
      <c r="I173" s="1" t="n">
        <v>3</v>
      </c>
      <c r="J173" s="1" t="n">
        <v>1</v>
      </c>
      <c r="K173" s="1" t="n">
        <v>1</v>
      </c>
      <c r="L173" s="1" t="n">
        <v>3</v>
      </c>
      <c r="M173" s="1" t="n">
        <v>1</v>
      </c>
      <c r="N173" s="1" t="n">
        <v>3</v>
      </c>
      <c r="O173" s="1" t="n">
        <v>1</v>
      </c>
      <c r="P173" s="1" t="n">
        <v>1</v>
      </c>
      <c r="Q173" s="1" t="n">
        <v>3</v>
      </c>
      <c r="R173" s="1" t="n">
        <v>1</v>
      </c>
      <c r="S173" s="1" t="n">
        <v>3</v>
      </c>
    </row>
    <row r="174">
      <c r="A174" t="inlineStr">
        <is>
          <t>Course Leader</t>
        </is>
      </c>
      <c r="B174" s="1" t="n">
        <v>4</v>
      </c>
      <c r="C174" s="1" t="n">
        <v>3</v>
      </c>
      <c r="D174" s="1" t="n">
        <v>4</v>
      </c>
      <c r="E174" s="1" t="n">
        <v>1</v>
      </c>
      <c r="F174" s="1" t="n">
        <v>1</v>
      </c>
      <c r="G174" s="1" t="n">
        <v>5</v>
      </c>
      <c r="H174" s="1" t="n">
        <v>5</v>
      </c>
      <c r="I174" s="1" t="n">
        <v>4</v>
      </c>
      <c r="J174" s="1" t="n">
        <v>5</v>
      </c>
      <c r="K174" s="1" t="n">
        <v>5</v>
      </c>
      <c r="L174" s="1" t="n">
        <v>5</v>
      </c>
      <c r="M174" s="1" t="n">
        <v>5</v>
      </c>
      <c r="N174" s="1" t="n">
        <v>4</v>
      </c>
      <c r="O174" s="1" t="n">
        <v>5</v>
      </c>
      <c r="P174" s="1" t="n">
        <v>3</v>
      </c>
      <c r="Q174" s="1" t="n">
        <v>5</v>
      </c>
      <c r="R174" s="1" t="n">
        <v>4</v>
      </c>
      <c r="S174" s="1" t="n">
        <v>4</v>
      </c>
    </row>
    <row r="175">
      <c r="A175" t="inlineStr">
        <is>
          <t>Admin Assistant</t>
        </is>
      </c>
      <c r="B175" s="1" t="n">
        <v>2</v>
      </c>
      <c r="C175" s="1" t="n">
        <v>1</v>
      </c>
      <c r="D175" s="1" t="n">
        <v>3</v>
      </c>
      <c r="E175" s="1" t="n">
        <v>1</v>
      </c>
      <c r="F175" s="1" t="n">
        <v>1</v>
      </c>
      <c r="G175" s="1" t="n">
        <v>1</v>
      </c>
      <c r="H175" s="1" t="n">
        <v>1</v>
      </c>
      <c r="I175" s="1" t="n">
        <v>2</v>
      </c>
      <c r="J175" s="1" t="n">
        <v>3</v>
      </c>
      <c r="K175" s="1" t="n">
        <v>4</v>
      </c>
      <c r="L175" s="1" t="n">
        <v>1</v>
      </c>
      <c r="M175" s="1" t="n">
        <v>3</v>
      </c>
      <c r="N175" s="1" t="n">
        <v>1</v>
      </c>
      <c r="O175" s="1" t="n">
        <v>2</v>
      </c>
      <c r="P175" s="1" t="n">
        <v>3</v>
      </c>
      <c r="Q175" s="1" t="n">
        <v>3</v>
      </c>
      <c r="R175" s="1" t="n">
        <v>1</v>
      </c>
      <c r="S175" s="1" t="n">
        <v>4</v>
      </c>
    </row>
    <row r="176">
      <c r="A176" t="inlineStr">
        <is>
          <t>Admin Assistant</t>
        </is>
      </c>
      <c r="B176" s="1" t="n">
        <v>2</v>
      </c>
      <c r="C176" s="1" t="n">
        <v>1</v>
      </c>
      <c r="D176" s="1" t="n">
        <v>1</v>
      </c>
      <c r="E176" s="1" t="n">
        <v>2</v>
      </c>
      <c r="F176" s="1" t="n">
        <v>1</v>
      </c>
      <c r="G176" s="1" t="n">
        <v>2</v>
      </c>
      <c r="H176" s="1" t="n">
        <v>4</v>
      </c>
      <c r="I176" s="1" t="n">
        <v>3</v>
      </c>
      <c r="J176" s="1" t="n">
        <v>1</v>
      </c>
      <c r="K176" s="1" t="n">
        <v>3</v>
      </c>
      <c r="L176" s="1" t="n">
        <v>2</v>
      </c>
      <c r="M176" s="1" t="n">
        <v>3</v>
      </c>
      <c r="N176" s="1" t="n">
        <v>3</v>
      </c>
      <c r="O176" s="1" t="n">
        <v>1</v>
      </c>
      <c r="P176" s="1" t="n">
        <v>1</v>
      </c>
      <c r="Q176" s="1" t="n">
        <v>3</v>
      </c>
      <c r="R176" s="1" t="n">
        <v>2</v>
      </c>
      <c r="S176" s="1" t="n">
        <v>2</v>
      </c>
    </row>
    <row r="177">
      <c r="A177" t="inlineStr">
        <is>
          <t>Course Leader</t>
        </is>
      </c>
      <c r="B177" s="1" t="n">
        <v>4</v>
      </c>
      <c r="C177" s="1" t="n">
        <v>4</v>
      </c>
      <c r="D177" s="1" t="n">
        <v>3</v>
      </c>
      <c r="E177" s="1" t="n">
        <v>2</v>
      </c>
      <c r="F177" s="1" t="n">
        <v>4</v>
      </c>
      <c r="G177" s="1" t="n">
        <v>5</v>
      </c>
      <c r="H177" s="1" t="n">
        <v>4</v>
      </c>
      <c r="I177" s="1" t="n">
        <v>4</v>
      </c>
      <c r="J177" s="1" t="n">
        <v>5</v>
      </c>
      <c r="K177" s="1" t="n">
        <v>5</v>
      </c>
      <c r="L177" s="1" t="n">
        <v>5</v>
      </c>
      <c r="M177" s="1" t="n">
        <v>5</v>
      </c>
      <c r="N177" s="1" t="n">
        <v>3</v>
      </c>
      <c r="O177" s="1" t="n">
        <v>5</v>
      </c>
      <c r="P177" s="1" t="n">
        <v>3</v>
      </c>
      <c r="Q177" s="1" t="n">
        <v>3</v>
      </c>
      <c r="R177" s="1" t="n">
        <v>4</v>
      </c>
      <c r="S177" s="1" t="n">
        <v>3</v>
      </c>
    </row>
    <row r="178">
      <c r="A178" t="inlineStr">
        <is>
          <t>Demonstrator</t>
        </is>
      </c>
      <c r="B178" s="1" t="n">
        <v>2</v>
      </c>
      <c r="C178" s="1" t="n">
        <v>5</v>
      </c>
      <c r="D178" s="1" t="n">
        <v>3</v>
      </c>
      <c r="E178" s="1" t="n">
        <v>5</v>
      </c>
      <c r="F178" s="1" t="n">
        <v>4</v>
      </c>
      <c r="G178" s="1" t="n">
        <v>2</v>
      </c>
      <c r="H178" s="1" t="n">
        <v>3</v>
      </c>
      <c r="I178" s="1" t="n">
        <v>4</v>
      </c>
      <c r="J178" s="1" t="n">
        <v>5</v>
      </c>
      <c r="K178" s="1" t="n">
        <v>1</v>
      </c>
      <c r="L178" s="1" t="n">
        <v>4</v>
      </c>
      <c r="M178" s="1" t="n">
        <v>3</v>
      </c>
      <c r="N178" s="1" t="n">
        <v>3</v>
      </c>
      <c r="O178" s="1" t="n">
        <v>4</v>
      </c>
      <c r="P178" s="1" t="n">
        <v>2</v>
      </c>
      <c r="Q178" s="1" t="n">
        <v>2</v>
      </c>
      <c r="R178" s="1" t="n">
        <v>3</v>
      </c>
      <c r="S178" s="1" t="n">
        <v>2</v>
      </c>
    </row>
    <row r="179">
      <c r="A179" t="inlineStr">
        <is>
          <t>Demonstrator</t>
        </is>
      </c>
      <c r="B179" s="1" t="n">
        <v>4</v>
      </c>
      <c r="C179" s="1" t="n">
        <v>4</v>
      </c>
      <c r="D179" s="1" t="n">
        <v>3</v>
      </c>
      <c r="E179" s="1" t="n">
        <v>4</v>
      </c>
      <c r="F179" s="1" t="n">
        <v>2</v>
      </c>
      <c r="G179" s="1" t="n">
        <v>1</v>
      </c>
      <c r="H179" s="1" t="n">
        <v>2</v>
      </c>
      <c r="I179" s="1" t="n">
        <v>3</v>
      </c>
      <c r="J179" s="1" t="n">
        <v>4</v>
      </c>
      <c r="K179" s="1" t="n">
        <v>3</v>
      </c>
      <c r="L179" s="1" t="n">
        <v>3</v>
      </c>
      <c r="M179" s="1" t="n">
        <v>2</v>
      </c>
      <c r="N179" s="1" t="n">
        <v>3</v>
      </c>
      <c r="O179" s="1" t="n">
        <v>2</v>
      </c>
      <c r="P179" s="1" t="n">
        <v>3</v>
      </c>
      <c r="Q179" s="1" t="n">
        <v>2</v>
      </c>
      <c r="R179" s="1" t="n">
        <v>4</v>
      </c>
      <c r="S179" s="1" t="n">
        <v>3</v>
      </c>
    </row>
    <row r="180">
      <c r="A180" t="inlineStr">
        <is>
          <t>Admin Assistant</t>
        </is>
      </c>
      <c r="B180" s="1" t="n">
        <v>1</v>
      </c>
      <c r="C180" s="1" t="n">
        <v>1</v>
      </c>
      <c r="D180" s="1" t="n">
        <v>1</v>
      </c>
      <c r="E180" s="1" t="n">
        <v>3</v>
      </c>
      <c r="F180" s="1" t="n">
        <v>1</v>
      </c>
      <c r="G180" s="1" t="n">
        <v>4</v>
      </c>
      <c r="H180" s="1" t="n">
        <v>2</v>
      </c>
      <c r="I180" s="1" t="n">
        <v>1</v>
      </c>
      <c r="J180" s="1" t="n">
        <v>1</v>
      </c>
      <c r="K180" s="1" t="n">
        <v>2</v>
      </c>
      <c r="L180" s="1" t="n">
        <v>3</v>
      </c>
      <c r="M180" s="1" t="n">
        <v>2</v>
      </c>
      <c r="N180" s="1" t="n">
        <v>4</v>
      </c>
      <c r="O180" s="1" t="n">
        <v>4</v>
      </c>
      <c r="P180" s="1" t="n">
        <v>2</v>
      </c>
      <c r="Q180" s="1" t="n">
        <v>2</v>
      </c>
      <c r="R180" s="1" t="n">
        <v>1</v>
      </c>
      <c r="S180" s="1" t="n">
        <v>4</v>
      </c>
    </row>
    <row r="181">
      <c r="A181" t="inlineStr">
        <is>
          <t>Student</t>
        </is>
      </c>
      <c r="B181" s="1" t="n">
        <v>4</v>
      </c>
      <c r="C181" s="1" t="n">
        <v>5</v>
      </c>
      <c r="D181" s="1" t="n">
        <v>5</v>
      </c>
      <c r="E181" s="1" t="n">
        <v>5</v>
      </c>
      <c r="F181" s="1" t="n">
        <v>5</v>
      </c>
      <c r="G181" s="1" t="n">
        <v>5</v>
      </c>
      <c r="H181" s="1" t="n">
        <v>5</v>
      </c>
      <c r="I181" s="1" t="n">
        <v>4</v>
      </c>
      <c r="J181" s="1" t="n">
        <v>2</v>
      </c>
      <c r="K181" s="1" t="n">
        <v>1</v>
      </c>
      <c r="L181" s="1" t="n">
        <v>5</v>
      </c>
      <c r="M181" s="1" t="n">
        <v>2</v>
      </c>
      <c r="N181" s="1" t="n">
        <v>3</v>
      </c>
      <c r="O181" s="1" t="n">
        <v>3</v>
      </c>
      <c r="P181" s="1" t="n">
        <v>3</v>
      </c>
      <c r="Q181" s="1" t="n">
        <v>3</v>
      </c>
      <c r="R181" s="1" t="n">
        <v>4</v>
      </c>
      <c r="S181" s="1" t="n">
        <v>4</v>
      </c>
    </row>
    <row r="182">
      <c r="A182" t="inlineStr">
        <is>
          <t>Admin Assistant</t>
        </is>
      </c>
      <c r="B182" s="1" t="n">
        <v>1</v>
      </c>
      <c r="C182" s="1" t="n">
        <v>1</v>
      </c>
      <c r="D182" s="1" t="n">
        <v>1</v>
      </c>
      <c r="E182" s="1" t="n">
        <v>3</v>
      </c>
      <c r="F182" s="1" t="n">
        <v>3</v>
      </c>
      <c r="G182" s="1" t="n">
        <v>3</v>
      </c>
      <c r="H182" s="1" t="n">
        <v>4</v>
      </c>
      <c r="I182" s="1" t="n">
        <v>1</v>
      </c>
      <c r="J182" s="1" t="n">
        <v>3</v>
      </c>
      <c r="K182" s="1" t="n">
        <v>5</v>
      </c>
      <c r="L182" s="1" t="n">
        <v>3</v>
      </c>
      <c r="M182" s="1" t="n">
        <v>3</v>
      </c>
      <c r="N182" s="1" t="n">
        <v>1</v>
      </c>
      <c r="O182" s="1" t="n">
        <v>1</v>
      </c>
      <c r="P182" s="1" t="n">
        <v>1</v>
      </c>
      <c r="Q182" s="1" t="n">
        <v>4</v>
      </c>
      <c r="R182" s="1" t="n">
        <v>2</v>
      </c>
      <c r="S182" s="1" t="n">
        <v>4</v>
      </c>
    </row>
    <row r="183">
      <c r="A183" t="inlineStr">
        <is>
          <t>Admin Assistant</t>
        </is>
      </c>
      <c r="B183" s="1" t="n">
        <v>3</v>
      </c>
      <c r="C183" s="1" t="n">
        <v>1</v>
      </c>
      <c r="D183" s="1" t="n">
        <v>1</v>
      </c>
      <c r="E183" s="1" t="n">
        <v>1</v>
      </c>
      <c r="F183" s="1" t="n">
        <v>1</v>
      </c>
      <c r="G183" s="1" t="n">
        <v>2</v>
      </c>
      <c r="H183" s="1" t="n">
        <v>2</v>
      </c>
      <c r="I183" s="1" t="n">
        <v>1</v>
      </c>
      <c r="J183" s="1" t="n">
        <v>2</v>
      </c>
      <c r="K183" s="1" t="n">
        <v>1</v>
      </c>
      <c r="L183" s="1" t="n">
        <v>1</v>
      </c>
      <c r="M183" s="1" t="n">
        <v>3</v>
      </c>
      <c r="N183" s="1" t="n">
        <v>2</v>
      </c>
      <c r="O183" s="1" t="n">
        <v>3</v>
      </c>
      <c r="P183" s="1" t="n">
        <v>4</v>
      </c>
      <c r="Q183" s="1" t="n">
        <v>1</v>
      </c>
      <c r="R183" s="1" t="n">
        <v>2</v>
      </c>
      <c r="S183" s="1" t="n">
        <v>4</v>
      </c>
    </row>
    <row r="184">
      <c r="A184" t="inlineStr">
        <is>
          <t>Admin Assistant</t>
        </is>
      </c>
      <c r="B184" s="1" t="n">
        <v>2</v>
      </c>
      <c r="C184" s="1" t="n">
        <v>3</v>
      </c>
      <c r="D184" s="1" t="n">
        <v>1</v>
      </c>
      <c r="E184" s="1" t="n">
        <v>1</v>
      </c>
      <c r="F184" s="1" t="n">
        <v>2</v>
      </c>
      <c r="G184" s="1" t="n">
        <v>4</v>
      </c>
      <c r="H184" s="1" t="n">
        <v>3</v>
      </c>
      <c r="I184" s="1" t="n">
        <v>1</v>
      </c>
      <c r="J184" s="1" t="n">
        <v>3</v>
      </c>
      <c r="K184" s="1" t="n">
        <v>1</v>
      </c>
      <c r="L184" s="1" t="n">
        <v>4</v>
      </c>
      <c r="M184" s="1" t="n">
        <v>3</v>
      </c>
      <c r="N184" s="1" t="n">
        <v>2</v>
      </c>
      <c r="O184" s="1" t="n">
        <v>3</v>
      </c>
      <c r="P184" s="1" t="n">
        <v>1</v>
      </c>
      <c r="Q184" s="1" t="n">
        <v>1</v>
      </c>
      <c r="R184" s="1" t="n">
        <v>1</v>
      </c>
      <c r="S184" s="1" t="n">
        <v>2</v>
      </c>
    </row>
    <row r="185">
      <c r="A185" t="inlineStr">
        <is>
          <t>Demonstrator</t>
        </is>
      </c>
      <c r="B185" s="1" t="n">
        <v>4</v>
      </c>
      <c r="C185" s="1" t="n">
        <v>4</v>
      </c>
      <c r="D185" s="1" t="n">
        <v>5</v>
      </c>
      <c r="E185" s="1" t="n">
        <v>3</v>
      </c>
      <c r="F185" s="1" t="n">
        <v>2</v>
      </c>
      <c r="G185" s="1" t="n">
        <v>4</v>
      </c>
      <c r="H185" s="1" t="n">
        <v>4</v>
      </c>
      <c r="I185" s="1" t="n">
        <v>5</v>
      </c>
      <c r="J185" s="1" t="n">
        <v>3</v>
      </c>
      <c r="K185" s="1" t="n">
        <v>4</v>
      </c>
      <c r="L185" s="1" t="n">
        <v>3</v>
      </c>
      <c r="M185" s="1" t="n">
        <v>5</v>
      </c>
      <c r="N185" s="1" t="n">
        <v>4</v>
      </c>
      <c r="O185" s="1" t="n">
        <v>2</v>
      </c>
      <c r="P185" s="1" t="n">
        <v>3</v>
      </c>
      <c r="Q185" s="1" t="n">
        <v>4</v>
      </c>
      <c r="R185" s="1" t="n">
        <v>2</v>
      </c>
      <c r="S185" s="1" t="n">
        <v>4</v>
      </c>
    </row>
    <row r="186">
      <c r="A186" t="inlineStr">
        <is>
          <t>Demonstrator</t>
        </is>
      </c>
      <c r="B186" s="1" t="n">
        <v>5</v>
      </c>
      <c r="C186" s="1" t="n">
        <v>4</v>
      </c>
      <c r="D186" s="1" t="n">
        <v>5</v>
      </c>
      <c r="E186" s="1" t="n">
        <v>5</v>
      </c>
      <c r="F186" s="1" t="n">
        <v>2</v>
      </c>
      <c r="G186" s="1" t="n">
        <v>3</v>
      </c>
      <c r="H186" s="1" t="n">
        <v>1</v>
      </c>
      <c r="I186" s="1" t="n">
        <v>5</v>
      </c>
      <c r="J186" s="1" t="n">
        <v>2</v>
      </c>
      <c r="K186" s="1" t="n">
        <v>5</v>
      </c>
      <c r="L186" s="1" t="n">
        <v>3</v>
      </c>
      <c r="M186" s="1" t="n">
        <v>4</v>
      </c>
      <c r="N186" s="1" t="n">
        <v>2</v>
      </c>
      <c r="O186" s="1" t="n">
        <v>4</v>
      </c>
      <c r="P186" s="1" t="n">
        <v>3</v>
      </c>
      <c r="Q186" s="1" t="n">
        <v>1</v>
      </c>
      <c r="R186" s="1" t="n">
        <v>5</v>
      </c>
      <c r="S186" s="1" t="n">
        <v>3</v>
      </c>
    </row>
    <row r="187">
      <c r="A187" t="inlineStr">
        <is>
          <t>Demonstrator</t>
        </is>
      </c>
      <c r="B187" s="1" t="n">
        <v>3</v>
      </c>
      <c r="C187" s="1" t="n">
        <v>2</v>
      </c>
      <c r="D187" s="1" t="n">
        <v>5</v>
      </c>
      <c r="E187" s="1" t="n">
        <v>2</v>
      </c>
      <c r="F187" s="1" t="n">
        <v>3</v>
      </c>
      <c r="G187" s="1" t="n">
        <v>5</v>
      </c>
      <c r="H187" s="1" t="n">
        <v>4</v>
      </c>
      <c r="I187" s="1" t="n">
        <v>3</v>
      </c>
      <c r="J187" s="1" t="n">
        <v>3</v>
      </c>
      <c r="K187" s="1" t="n">
        <v>3</v>
      </c>
      <c r="L187" s="1" t="n">
        <v>5</v>
      </c>
      <c r="M187" s="1" t="n">
        <v>4</v>
      </c>
      <c r="N187" s="1" t="n">
        <v>4</v>
      </c>
      <c r="O187" s="1" t="n">
        <v>3</v>
      </c>
      <c r="P187" s="1" t="n">
        <v>5</v>
      </c>
      <c r="Q187" s="1" t="n">
        <v>2</v>
      </c>
      <c r="R187" s="1" t="n">
        <v>1</v>
      </c>
      <c r="S187" s="1" t="n">
        <v>3</v>
      </c>
    </row>
    <row r="188">
      <c r="A188" t="inlineStr">
        <is>
          <t>Admin Assistant</t>
        </is>
      </c>
      <c r="B188" s="1" t="n">
        <v>3</v>
      </c>
      <c r="C188" s="1" t="n">
        <v>1</v>
      </c>
      <c r="D188" s="1" t="n">
        <v>1</v>
      </c>
      <c r="E188" s="1" t="n">
        <v>2</v>
      </c>
      <c r="F188" s="1" t="n">
        <v>1</v>
      </c>
      <c r="G188" s="1" t="n">
        <v>2</v>
      </c>
      <c r="H188" s="1" t="n">
        <v>4</v>
      </c>
      <c r="I188" s="1" t="n">
        <v>3</v>
      </c>
      <c r="J188" s="1" t="n">
        <v>1</v>
      </c>
      <c r="K188" s="1" t="n">
        <v>1</v>
      </c>
      <c r="L188" s="1" t="n">
        <v>1</v>
      </c>
      <c r="M188" s="1" t="n">
        <v>2</v>
      </c>
      <c r="N188" s="1" t="n">
        <v>4</v>
      </c>
      <c r="O188" s="1" t="n">
        <v>3</v>
      </c>
      <c r="P188" s="1" t="n">
        <v>2</v>
      </c>
      <c r="Q188" s="1" t="n">
        <v>2</v>
      </c>
      <c r="R188" s="1" t="n">
        <v>1</v>
      </c>
      <c r="S188" s="1" t="n">
        <v>4</v>
      </c>
    </row>
    <row r="189">
      <c r="A189" t="inlineStr">
        <is>
          <t>Student</t>
        </is>
      </c>
      <c r="B189" s="1" t="n">
        <v>5</v>
      </c>
      <c r="C189" s="1" t="n">
        <v>3</v>
      </c>
      <c r="D189" s="1" t="n">
        <v>5</v>
      </c>
      <c r="E189" s="1" t="n">
        <v>5</v>
      </c>
      <c r="F189" s="1" t="n">
        <v>5</v>
      </c>
      <c r="G189" s="1" t="n">
        <v>3</v>
      </c>
      <c r="H189" s="1" t="n">
        <v>3</v>
      </c>
      <c r="I189" s="1" t="n">
        <v>5</v>
      </c>
      <c r="J189" s="1" t="n">
        <v>5</v>
      </c>
      <c r="K189" s="1" t="n">
        <v>5</v>
      </c>
      <c r="L189" s="1" t="n">
        <v>4</v>
      </c>
      <c r="M189" s="1" t="n">
        <v>4</v>
      </c>
      <c r="N189" s="1" t="n">
        <v>2</v>
      </c>
      <c r="O189" s="1" t="n">
        <v>4</v>
      </c>
      <c r="P189" s="1" t="n">
        <v>3</v>
      </c>
      <c r="Q189" s="1" t="n">
        <v>5</v>
      </c>
      <c r="R189" s="1" t="n">
        <v>4</v>
      </c>
      <c r="S189" s="1" t="n">
        <v>5</v>
      </c>
    </row>
    <row r="190">
      <c r="A190" t="inlineStr">
        <is>
          <t>Demonstrator</t>
        </is>
      </c>
      <c r="B190" s="1" t="n">
        <v>4</v>
      </c>
      <c r="C190" s="1" t="n">
        <v>4</v>
      </c>
      <c r="D190" s="1" t="n">
        <v>2</v>
      </c>
      <c r="E190" s="1" t="n">
        <v>5</v>
      </c>
      <c r="F190" s="1" t="n">
        <v>3</v>
      </c>
      <c r="G190" s="1" t="n">
        <v>3</v>
      </c>
      <c r="H190" s="1" t="n">
        <v>3</v>
      </c>
      <c r="I190" s="1" t="n">
        <v>4</v>
      </c>
      <c r="J190" s="1" t="n">
        <v>4</v>
      </c>
      <c r="K190" s="1" t="n">
        <v>2</v>
      </c>
      <c r="L190" s="1" t="n">
        <v>4</v>
      </c>
      <c r="M190" s="1" t="n">
        <v>1</v>
      </c>
      <c r="N190" s="1" t="n">
        <v>2</v>
      </c>
      <c r="O190" s="1" t="n">
        <v>2</v>
      </c>
      <c r="P190" s="1" t="n">
        <v>1</v>
      </c>
      <c r="Q190" s="1" t="n">
        <v>2</v>
      </c>
      <c r="R190" s="1" t="n">
        <v>2</v>
      </c>
      <c r="S190" s="1" t="n">
        <v>5</v>
      </c>
    </row>
    <row r="191">
      <c r="A191" t="inlineStr">
        <is>
          <t>Course Leader</t>
        </is>
      </c>
      <c r="B191" s="1" t="n">
        <v>2</v>
      </c>
      <c r="C191" s="1" t="n">
        <v>3</v>
      </c>
      <c r="D191" s="1" t="n">
        <v>3</v>
      </c>
      <c r="E191" s="1" t="n">
        <v>4</v>
      </c>
      <c r="F191" s="1" t="n">
        <v>2</v>
      </c>
      <c r="G191" s="1" t="n">
        <v>4</v>
      </c>
      <c r="H191" s="1" t="n">
        <v>5</v>
      </c>
      <c r="I191" s="1" t="n">
        <v>5</v>
      </c>
      <c r="J191" s="1" t="n">
        <v>2</v>
      </c>
      <c r="K191" s="1" t="n">
        <v>5</v>
      </c>
      <c r="L191" s="1" t="n">
        <v>5</v>
      </c>
      <c r="M191" s="1" t="n">
        <v>3</v>
      </c>
      <c r="N191" s="1" t="n">
        <v>5</v>
      </c>
      <c r="O191" s="1" t="n">
        <v>2</v>
      </c>
      <c r="P191" s="1" t="n">
        <v>5</v>
      </c>
      <c r="Q191" s="1" t="n">
        <v>5</v>
      </c>
      <c r="R191" s="1" t="n">
        <v>3</v>
      </c>
      <c r="S191" s="1" t="n">
        <v>4</v>
      </c>
    </row>
    <row r="192">
      <c r="A192" t="inlineStr">
        <is>
          <t>Course Leader</t>
        </is>
      </c>
      <c r="B192" s="1" t="n">
        <v>3</v>
      </c>
      <c r="C192" s="1" t="n">
        <v>1</v>
      </c>
      <c r="D192" s="1" t="n">
        <v>2</v>
      </c>
      <c r="E192" s="1" t="n">
        <v>3</v>
      </c>
      <c r="F192" s="1" t="n">
        <v>5</v>
      </c>
      <c r="G192" s="1" t="n">
        <v>5</v>
      </c>
      <c r="H192" s="1" t="n">
        <v>3</v>
      </c>
      <c r="I192" s="1" t="n">
        <v>3</v>
      </c>
      <c r="J192" s="1" t="n">
        <v>5</v>
      </c>
      <c r="K192" s="1" t="n">
        <v>5</v>
      </c>
      <c r="L192" s="1" t="n">
        <v>5</v>
      </c>
      <c r="M192" s="1" t="n">
        <v>3</v>
      </c>
      <c r="N192" s="1" t="n">
        <v>5</v>
      </c>
      <c r="O192" s="1" t="n">
        <v>4</v>
      </c>
      <c r="P192" s="1" t="n">
        <v>5</v>
      </c>
      <c r="Q192" s="1" t="n">
        <v>5</v>
      </c>
      <c r="R192" s="1" t="n">
        <v>4</v>
      </c>
      <c r="S192" s="1" t="n">
        <v>4</v>
      </c>
    </row>
    <row r="193">
      <c r="A193" t="inlineStr">
        <is>
          <t>Course Leader</t>
        </is>
      </c>
      <c r="B193" s="1" t="n">
        <v>2</v>
      </c>
      <c r="C193" s="1" t="n">
        <v>3</v>
      </c>
      <c r="D193" s="1" t="n">
        <v>2</v>
      </c>
      <c r="E193" s="1" t="n">
        <v>2</v>
      </c>
      <c r="F193" s="1" t="n">
        <v>4</v>
      </c>
      <c r="G193" s="1" t="n">
        <v>5</v>
      </c>
      <c r="H193" s="1" t="n">
        <v>5</v>
      </c>
      <c r="I193" s="1" t="n">
        <v>5</v>
      </c>
      <c r="J193" s="1" t="n">
        <v>3</v>
      </c>
      <c r="K193" s="1" t="n">
        <v>5</v>
      </c>
      <c r="L193" s="1" t="n">
        <v>5</v>
      </c>
      <c r="M193" s="1" t="n">
        <v>4</v>
      </c>
      <c r="N193" s="1" t="n">
        <v>3</v>
      </c>
      <c r="O193" s="1" t="n">
        <v>5</v>
      </c>
      <c r="P193" s="1" t="n">
        <v>5</v>
      </c>
      <c r="Q193" s="1" t="n">
        <v>5</v>
      </c>
      <c r="R193" s="1" t="n">
        <v>4</v>
      </c>
      <c r="S193" s="1" t="n">
        <v>2</v>
      </c>
    </row>
    <row r="194">
      <c r="A194" t="inlineStr">
        <is>
          <t>Admin Assistant</t>
        </is>
      </c>
      <c r="B194" s="1" t="n">
        <v>1</v>
      </c>
      <c r="C194" s="1" t="n">
        <v>1</v>
      </c>
      <c r="D194" s="1" t="n">
        <v>1</v>
      </c>
      <c r="E194" s="1" t="n">
        <v>2</v>
      </c>
      <c r="F194" s="1" t="n">
        <v>1</v>
      </c>
      <c r="G194" s="1" t="n">
        <v>3</v>
      </c>
      <c r="H194" s="1" t="n">
        <v>3</v>
      </c>
      <c r="I194" s="1" t="n">
        <v>3</v>
      </c>
      <c r="J194" s="1" t="n">
        <v>3</v>
      </c>
      <c r="K194" s="1" t="n">
        <v>3</v>
      </c>
      <c r="L194" s="1" t="n">
        <v>3</v>
      </c>
      <c r="M194" s="1" t="n">
        <v>2</v>
      </c>
      <c r="N194" s="1" t="n">
        <v>3</v>
      </c>
      <c r="O194" s="1" t="n">
        <v>3</v>
      </c>
      <c r="P194" s="1" t="n">
        <v>4</v>
      </c>
      <c r="Q194" s="1" t="n">
        <v>2</v>
      </c>
      <c r="R194" s="1" t="n">
        <v>3</v>
      </c>
      <c r="S194" s="1" t="n">
        <v>2</v>
      </c>
    </row>
    <row r="195">
      <c r="A195" t="inlineStr">
        <is>
          <t>Course Leader</t>
        </is>
      </c>
      <c r="B195" s="1" t="n">
        <v>1</v>
      </c>
      <c r="C195" s="1" t="n">
        <v>3</v>
      </c>
      <c r="D195" s="1" t="n">
        <v>2</v>
      </c>
      <c r="E195" s="1" t="n">
        <v>3</v>
      </c>
      <c r="F195" s="1" t="n">
        <v>3</v>
      </c>
      <c r="G195" s="1" t="n">
        <v>5</v>
      </c>
      <c r="H195" s="1" t="n">
        <v>5</v>
      </c>
      <c r="I195" s="1" t="n">
        <v>5</v>
      </c>
      <c r="J195" s="1" t="n">
        <v>5</v>
      </c>
      <c r="K195" s="1" t="n">
        <v>3</v>
      </c>
      <c r="L195" s="1" t="n">
        <v>5</v>
      </c>
      <c r="M195" s="1" t="n">
        <v>3</v>
      </c>
      <c r="N195" s="1" t="n">
        <v>5</v>
      </c>
      <c r="O195" s="1" t="n">
        <v>2</v>
      </c>
      <c r="P195" s="1" t="n">
        <v>4</v>
      </c>
      <c r="Q195" s="1" t="n">
        <v>3</v>
      </c>
      <c r="R195" s="1" t="n">
        <v>2</v>
      </c>
      <c r="S195" s="1" t="n">
        <v>5</v>
      </c>
    </row>
    <row r="196">
      <c r="A196" t="inlineStr">
        <is>
          <t>Admin Assistant</t>
        </is>
      </c>
      <c r="B196" s="1" t="n">
        <v>3</v>
      </c>
      <c r="C196" s="1" t="n">
        <v>1</v>
      </c>
      <c r="D196" s="1" t="n">
        <v>2</v>
      </c>
      <c r="E196" s="1" t="n">
        <v>1</v>
      </c>
      <c r="F196" s="1" t="n">
        <v>4</v>
      </c>
      <c r="G196" s="1" t="n">
        <v>3</v>
      </c>
      <c r="H196" s="1" t="n">
        <v>3</v>
      </c>
      <c r="I196" s="1" t="n">
        <v>3</v>
      </c>
      <c r="J196" s="1" t="n">
        <v>1</v>
      </c>
      <c r="K196" s="1" t="n">
        <v>2</v>
      </c>
      <c r="L196" s="1" t="n">
        <v>1</v>
      </c>
      <c r="M196" s="1" t="n">
        <v>1</v>
      </c>
      <c r="N196" s="1" t="n">
        <v>2</v>
      </c>
      <c r="O196" s="1" t="n">
        <v>3</v>
      </c>
      <c r="P196" s="1" t="n">
        <v>3</v>
      </c>
      <c r="Q196" s="1" t="n">
        <v>2</v>
      </c>
      <c r="R196" s="1" t="n">
        <v>2</v>
      </c>
      <c r="S196" s="1" t="n">
        <v>2</v>
      </c>
    </row>
    <row r="197">
      <c r="A197" t="inlineStr">
        <is>
          <t>Course Leader</t>
        </is>
      </c>
      <c r="B197" s="1" t="n">
        <v>3</v>
      </c>
      <c r="C197" s="1" t="n">
        <v>3</v>
      </c>
      <c r="D197" s="1" t="n">
        <v>5</v>
      </c>
      <c r="E197" s="1" t="n">
        <v>2</v>
      </c>
      <c r="F197" s="1" t="n">
        <v>3</v>
      </c>
      <c r="G197" s="1" t="n">
        <v>5</v>
      </c>
      <c r="H197" s="1" t="n">
        <v>5</v>
      </c>
      <c r="I197" s="1" t="n">
        <v>4</v>
      </c>
      <c r="J197" s="1" t="n">
        <v>5</v>
      </c>
      <c r="K197" s="1" t="n">
        <v>4</v>
      </c>
      <c r="L197" s="1" t="n">
        <v>4</v>
      </c>
      <c r="M197" s="1" t="n">
        <v>2</v>
      </c>
      <c r="N197" s="1" t="n">
        <v>5</v>
      </c>
      <c r="O197" s="1" t="n">
        <v>4</v>
      </c>
      <c r="P197" s="1" t="n">
        <v>2</v>
      </c>
      <c r="Q197" s="1" t="n">
        <v>2</v>
      </c>
      <c r="R197" s="1" t="n">
        <v>3</v>
      </c>
      <c r="S197" s="1" t="n">
        <v>3</v>
      </c>
    </row>
    <row r="198">
      <c r="A198" t="inlineStr">
        <is>
          <t>Student</t>
        </is>
      </c>
      <c r="B198" s="1" t="n">
        <v>5</v>
      </c>
      <c r="C198" s="1" t="n">
        <v>5</v>
      </c>
      <c r="D198" s="1" t="n">
        <v>5</v>
      </c>
      <c r="E198" s="1" t="n">
        <v>5</v>
      </c>
      <c r="F198" s="1" t="n">
        <v>5</v>
      </c>
      <c r="G198" s="1" t="n">
        <v>4</v>
      </c>
      <c r="H198" s="1" t="n">
        <v>3</v>
      </c>
      <c r="I198" s="1" t="n">
        <v>5</v>
      </c>
      <c r="J198" s="1" t="n">
        <v>5</v>
      </c>
      <c r="K198" s="1" t="n">
        <v>4</v>
      </c>
      <c r="L198" s="1" t="n">
        <v>5</v>
      </c>
      <c r="M198" s="1" t="n">
        <v>5</v>
      </c>
      <c r="N198" s="1" t="n">
        <v>3</v>
      </c>
      <c r="O198" s="1" t="n">
        <v>3</v>
      </c>
      <c r="P198" s="1" t="n">
        <v>5</v>
      </c>
      <c r="Q198" s="1" t="n">
        <v>3</v>
      </c>
      <c r="R198" s="1" t="n">
        <v>4</v>
      </c>
      <c r="S198" s="1" t="n">
        <v>2</v>
      </c>
    </row>
    <row r="199">
      <c r="A199" t="inlineStr">
        <is>
          <t>Admin Assistant</t>
        </is>
      </c>
      <c r="B199" s="1" t="n">
        <v>1</v>
      </c>
      <c r="C199" s="1" t="n">
        <v>1</v>
      </c>
      <c r="D199" s="1" t="n">
        <v>2</v>
      </c>
      <c r="E199" s="1" t="n">
        <v>1</v>
      </c>
      <c r="F199" s="1" t="n">
        <v>2</v>
      </c>
      <c r="G199" s="1" t="n">
        <v>2</v>
      </c>
      <c r="H199" s="1" t="n">
        <v>1</v>
      </c>
      <c r="I199" s="1" t="n">
        <v>1</v>
      </c>
      <c r="J199" s="1" t="n">
        <v>2</v>
      </c>
      <c r="K199" s="1" t="n">
        <v>1</v>
      </c>
      <c r="L199" s="1" t="n">
        <v>4</v>
      </c>
      <c r="M199" s="1" t="n">
        <v>1</v>
      </c>
      <c r="N199" s="1" t="n">
        <v>1</v>
      </c>
      <c r="O199" s="1" t="n">
        <v>5</v>
      </c>
      <c r="P199" s="1" t="n">
        <v>1</v>
      </c>
      <c r="Q199" s="1" t="n">
        <v>2</v>
      </c>
      <c r="R199" s="1" t="n">
        <v>3</v>
      </c>
      <c r="S199" s="1" t="n">
        <v>5</v>
      </c>
    </row>
    <row r="200">
      <c r="A200" t="inlineStr">
        <is>
          <t>Course Leader</t>
        </is>
      </c>
      <c r="B200" s="1" t="n">
        <v>2</v>
      </c>
      <c r="C200" s="1" t="n">
        <v>1</v>
      </c>
      <c r="D200" s="1" t="n">
        <v>5</v>
      </c>
      <c r="E200" s="1" t="n">
        <v>5</v>
      </c>
      <c r="F200" s="1" t="n">
        <v>3</v>
      </c>
      <c r="G200" s="1" t="n">
        <v>5</v>
      </c>
      <c r="H200" s="1" t="n">
        <v>5</v>
      </c>
      <c r="I200" s="1" t="n">
        <v>5</v>
      </c>
      <c r="J200" s="1" t="n">
        <v>5</v>
      </c>
      <c r="K200" s="1" t="n">
        <v>5</v>
      </c>
      <c r="L200" s="1" t="n">
        <v>5</v>
      </c>
      <c r="M200" s="1" t="n">
        <v>5</v>
      </c>
      <c r="N200" s="1" t="n">
        <v>5</v>
      </c>
      <c r="O200" s="1" t="n">
        <v>4</v>
      </c>
      <c r="P200" s="1" t="n">
        <v>5</v>
      </c>
      <c r="Q200" s="1" t="n">
        <v>3</v>
      </c>
      <c r="R200" s="1" t="n">
        <v>5</v>
      </c>
      <c r="S200" s="1" t="n">
        <v>3</v>
      </c>
    </row>
    <row r="201">
      <c r="A201" t="inlineStr">
        <is>
          <t>Demonstrator</t>
        </is>
      </c>
      <c r="B201" s="1" t="n">
        <v>4</v>
      </c>
      <c r="C201" s="1" t="n">
        <v>5</v>
      </c>
      <c r="D201" s="1" t="n">
        <v>4</v>
      </c>
      <c r="E201" s="1" t="n">
        <v>3</v>
      </c>
      <c r="F201" s="1" t="n">
        <v>4</v>
      </c>
      <c r="G201" s="1" t="n">
        <v>2</v>
      </c>
      <c r="H201" s="1" t="n">
        <v>4</v>
      </c>
      <c r="I201" s="1" t="n">
        <v>5</v>
      </c>
      <c r="J201" s="1" t="n">
        <v>1</v>
      </c>
      <c r="K201" s="1" t="n">
        <v>3</v>
      </c>
      <c r="L201" s="1" t="n">
        <v>4</v>
      </c>
      <c r="M201" s="1" t="n">
        <v>3</v>
      </c>
      <c r="N201" s="1" t="n">
        <v>2</v>
      </c>
      <c r="O201" s="1" t="n">
        <v>1</v>
      </c>
      <c r="P201" s="1" t="n">
        <v>3</v>
      </c>
      <c r="Q201" s="1" t="n">
        <v>1</v>
      </c>
      <c r="R201" s="1" t="n">
        <v>1</v>
      </c>
      <c r="S201" s="1" t="n">
        <v>4</v>
      </c>
    </row>
    <row r="202">
      <c r="A202" t="inlineStr">
        <is>
          <t>Admin Assistant</t>
        </is>
      </c>
      <c r="B202" s="1" t="n">
        <v>1</v>
      </c>
      <c r="C202" s="1" t="n">
        <v>1</v>
      </c>
      <c r="D202" s="1" t="n">
        <v>1</v>
      </c>
      <c r="E202" s="1" t="n">
        <v>3</v>
      </c>
      <c r="F202" s="1" t="n">
        <v>1</v>
      </c>
      <c r="G202" s="1" t="n">
        <v>3</v>
      </c>
      <c r="H202" s="1" t="n">
        <v>3</v>
      </c>
      <c r="I202" s="1" t="n">
        <v>4</v>
      </c>
      <c r="J202" s="1" t="n">
        <v>1</v>
      </c>
      <c r="K202" s="1" t="n">
        <v>3</v>
      </c>
      <c r="L202" s="1" t="n">
        <v>1</v>
      </c>
      <c r="M202" s="1" t="n">
        <v>2</v>
      </c>
      <c r="N202" s="1" t="n">
        <v>2</v>
      </c>
      <c r="O202" s="1" t="n">
        <v>2</v>
      </c>
      <c r="P202" s="1" t="n">
        <v>1</v>
      </c>
      <c r="Q202" s="1" t="n">
        <v>2</v>
      </c>
      <c r="R202" s="1" t="n">
        <v>4</v>
      </c>
      <c r="S202" s="1" t="n">
        <v>4</v>
      </c>
    </row>
    <row r="203">
      <c r="A203" t="inlineStr">
        <is>
          <t>Demonstrator</t>
        </is>
      </c>
      <c r="B203" s="1" t="n">
        <v>5</v>
      </c>
      <c r="C203" s="1" t="n">
        <v>2</v>
      </c>
      <c r="D203" s="1" t="n">
        <v>4</v>
      </c>
      <c r="E203" s="1" t="n">
        <v>3</v>
      </c>
      <c r="F203" s="1" t="n">
        <v>4</v>
      </c>
      <c r="G203" s="1" t="n">
        <v>2</v>
      </c>
      <c r="H203" s="1" t="n">
        <v>4</v>
      </c>
      <c r="I203" s="1" t="n">
        <v>4</v>
      </c>
      <c r="J203" s="1" t="n">
        <v>5</v>
      </c>
      <c r="K203" s="1" t="n">
        <v>5</v>
      </c>
      <c r="L203" s="1" t="n">
        <v>5</v>
      </c>
      <c r="M203" s="1" t="n">
        <v>2</v>
      </c>
      <c r="N203" s="1" t="n">
        <v>5</v>
      </c>
      <c r="O203" s="1" t="n">
        <v>3</v>
      </c>
      <c r="P203" s="1" t="n">
        <v>2</v>
      </c>
      <c r="Q203" s="1" t="n">
        <v>4</v>
      </c>
      <c r="R203" s="1" t="n">
        <v>4</v>
      </c>
      <c r="S203" s="1" t="n">
        <v>3</v>
      </c>
    </row>
    <row r="204">
      <c r="A204" t="inlineStr">
        <is>
          <t>Demonstrator</t>
        </is>
      </c>
      <c r="B204" s="1" t="n">
        <v>3</v>
      </c>
      <c r="C204" s="1" t="n">
        <v>3</v>
      </c>
      <c r="D204" s="1" t="n">
        <v>5</v>
      </c>
      <c r="E204" s="1" t="n">
        <v>5</v>
      </c>
      <c r="F204" s="1" t="n">
        <v>4</v>
      </c>
      <c r="G204" s="1" t="n">
        <v>3</v>
      </c>
      <c r="H204" s="1" t="n">
        <v>2</v>
      </c>
      <c r="I204" s="1" t="n">
        <v>5</v>
      </c>
      <c r="J204" s="1" t="n">
        <v>3</v>
      </c>
      <c r="K204" s="1" t="n">
        <v>3</v>
      </c>
      <c r="L204" s="1" t="n">
        <v>4</v>
      </c>
      <c r="M204" s="1" t="n">
        <v>4</v>
      </c>
      <c r="N204" s="1" t="n">
        <v>4</v>
      </c>
      <c r="O204" s="1" t="n">
        <v>3</v>
      </c>
      <c r="P204" s="1" t="n">
        <v>3</v>
      </c>
      <c r="Q204" s="1" t="n">
        <v>3</v>
      </c>
      <c r="R204" s="1" t="n">
        <v>3</v>
      </c>
      <c r="S204" s="1" t="n">
        <v>3</v>
      </c>
    </row>
    <row r="205">
      <c r="A205" t="inlineStr">
        <is>
          <t>Demonstrator</t>
        </is>
      </c>
      <c r="B205" s="1" t="n">
        <v>4</v>
      </c>
      <c r="C205" s="1" t="n">
        <v>4</v>
      </c>
      <c r="D205" s="1" t="n">
        <v>2</v>
      </c>
      <c r="E205" s="1" t="n">
        <v>4</v>
      </c>
      <c r="F205" s="1" t="n">
        <v>2</v>
      </c>
      <c r="G205" s="1" t="n">
        <v>4</v>
      </c>
      <c r="H205" s="1" t="n">
        <v>5</v>
      </c>
      <c r="I205" s="1" t="n">
        <v>3</v>
      </c>
      <c r="J205" s="1" t="n">
        <v>3</v>
      </c>
      <c r="K205" s="1" t="n">
        <v>4</v>
      </c>
      <c r="L205" s="1" t="n">
        <v>2</v>
      </c>
      <c r="M205" s="1" t="n">
        <v>3</v>
      </c>
      <c r="N205" s="1" t="n">
        <v>5</v>
      </c>
      <c r="O205" s="1" t="n">
        <v>3</v>
      </c>
      <c r="P205" s="1" t="n">
        <v>3</v>
      </c>
      <c r="Q205" s="1" t="n">
        <v>5</v>
      </c>
      <c r="R205" s="1" t="n">
        <v>4</v>
      </c>
      <c r="S205" s="1" t="n">
        <v>3</v>
      </c>
    </row>
    <row r="206">
      <c r="A206" t="inlineStr">
        <is>
          <t>Demonstrator</t>
        </is>
      </c>
      <c r="B206" s="1" t="n">
        <v>3</v>
      </c>
      <c r="C206" s="1" t="n">
        <v>3</v>
      </c>
      <c r="D206" s="1" t="n">
        <v>4</v>
      </c>
      <c r="E206" s="1" t="n">
        <v>4</v>
      </c>
      <c r="F206" s="1" t="n">
        <v>4</v>
      </c>
      <c r="G206" s="1" t="n">
        <v>3</v>
      </c>
      <c r="H206" s="1" t="n">
        <v>2</v>
      </c>
      <c r="I206" s="1" t="n">
        <v>4</v>
      </c>
      <c r="J206" s="1" t="n">
        <v>3</v>
      </c>
      <c r="K206" s="1" t="n">
        <v>3</v>
      </c>
      <c r="L206" s="1" t="n">
        <v>4</v>
      </c>
      <c r="M206" s="1" t="n">
        <v>2</v>
      </c>
      <c r="N206" s="1" t="n">
        <v>4</v>
      </c>
      <c r="O206" s="1" t="n">
        <v>3</v>
      </c>
      <c r="P206" s="1" t="n">
        <v>3</v>
      </c>
      <c r="Q206" s="1" t="n">
        <v>5</v>
      </c>
      <c r="R206" s="1" t="n">
        <v>3</v>
      </c>
      <c r="S206" s="1" t="n">
        <v>2</v>
      </c>
    </row>
    <row r="207">
      <c r="A207" t="inlineStr">
        <is>
          <t>Course Leader</t>
        </is>
      </c>
      <c r="B207" s="1" t="n">
        <v>2</v>
      </c>
      <c r="C207" s="1" t="n">
        <v>2</v>
      </c>
      <c r="D207" s="1" t="n">
        <v>2</v>
      </c>
      <c r="E207" s="1" t="n">
        <v>2</v>
      </c>
      <c r="F207" s="1" t="n">
        <v>3</v>
      </c>
      <c r="G207" s="1" t="n">
        <v>5</v>
      </c>
      <c r="H207" s="1" t="n">
        <v>5</v>
      </c>
      <c r="I207" s="1" t="n">
        <v>5</v>
      </c>
      <c r="J207" s="1" t="n">
        <v>5</v>
      </c>
      <c r="K207" s="1" t="n">
        <v>5</v>
      </c>
      <c r="L207" s="1" t="n">
        <v>5</v>
      </c>
      <c r="M207" s="1" t="n">
        <v>3</v>
      </c>
      <c r="N207" s="1" t="n">
        <v>5</v>
      </c>
      <c r="O207" s="1" t="n">
        <v>5</v>
      </c>
      <c r="P207" s="1" t="n">
        <v>4</v>
      </c>
      <c r="Q207" s="1" t="n">
        <v>4</v>
      </c>
      <c r="R207" s="1" t="n">
        <v>4</v>
      </c>
      <c r="S207" s="1" t="n">
        <v>4</v>
      </c>
    </row>
    <row r="208">
      <c r="A208" t="inlineStr">
        <is>
          <t>Course Leader</t>
        </is>
      </c>
      <c r="B208" s="1" t="n">
        <v>1</v>
      </c>
      <c r="C208" s="1" t="n">
        <v>3</v>
      </c>
      <c r="D208" s="1" t="n">
        <v>4</v>
      </c>
      <c r="E208" s="1" t="n">
        <v>2</v>
      </c>
      <c r="F208" s="1" t="n">
        <v>4</v>
      </c>
      <c r="G208" s="1" t="n">
        <v>4</v>
      </c>
      <c r="H208" s="1" t="n">
        <v>5</v>
      </c>
      <c r="I208" s="1" t="n">
        <v>5</v>
      </c>
      <c r="J208" s="1" t="n">
        <v>4</v>
      </c>
      <c r="K208" s="1" t="n">
        <v>5</v>
      </c>
      <c r="L208" s="1" t="n">
        <v>5</v>
      </c>
      <c r="M208" s="1" t="n">
        <v>5</v>
      </c>
      <c r="N208" s="1" t="n">
        <v>4</v>
      </c>
      <c r="O208" s="1" t="n">
        <v>2</v>
      </c>
      <c r="P208" s="1" t="n">
        <v>5</v>
      </c>
      <c r="Q208" s="1" t="n">
        <v>4</v>
      </c>
      <c r="R208" s="1" t="n">
        <v>5</v>
      </c>
      <c r="S208" s="1" t="n">
        <v>3</v>
      </c>
    </row>
    <row r="209">
      <c r="A209" t="inlineStr">
        <is>
          <t>Admin Assistant</t>
        </is>
      </c>
      <c r="B209" s="1" t="n">
        <v>3</v>
      </c>
      <c r="C209" s="1" t="n">
        <v>1</v>
      </c>
      <c r="D209" s="1" t="n">
        <v>2</v>
      </c>
      <c r="E209" s="1" t="n">
        <v>1</v>
      </c>
      <c r="F209" s="1" t="n">
        <v>1</v>
      </c>
      <c r="G209" s="1" t="n">
        <v>2</v>
      </c>
      <c r="H209" s="1" t="n">
        <v>1</v>
      </c>
      <c r="I209" s="1" t="n">
        <v>2</v>
      </c>
      <c r="J209" s="1" t="n">
        <v>4</v>
      </c>
      <c r="K209" s="1" t="n">
        <v>3</v>
      </c>
      <c r="L209" s="1" t="n">
        <v>3</v>
      </c>
      <c r="M209" s="1" t="n">
        <v>2</v>
      </c>
      <c r="N209" s="1" t="n">
        <v>1</v>
      </c>
      <c r="O209" s="1" t="n">
        <v>1</v>
      </c>
      <c r="P209" s="1" t="n">
        <v>1</v>
      </c>
      <c r="Q209" s="1" t="n">
        <v>3</v>
      </c>
      <c r="R209" s="1" t="n">
        <v>1</v>
      </c>
      <c r="S209" s="1" t="n">
        <v>4</v>
      </c>
    </row>
    <row r="210">
      <c r="A210" t="inlineStr">
        <is>
          <t>Admin Assistant</t>
        </is>
      </c>
      <c r="B210" s="1" t="n">
        <v>2</v>
      </c>
      <c r="C210" s="1" t="n">
        <v>1</v>
      </c>
      <c r="D210" s="1" t="n">
        <v>1</v>
      </c>
      <c r="E210" s="1" t="n">
        <v>1</v>
      </c>
      <c r="F210" s="1" t="n">
        <v>2</v>
      </c>
      <c r="G210" s="1" t="n">
        <v>1</v>
      </c>
      <c r="H210" s="1" t="n">
        <v>3</v>
      </c>
      <c r="I210" s="1" t="n">
        <v>2</v>
      </c>
      <c r="J210" s="1" t="n">
        <v>4</v>
      </c>
      <c r="K210" s="1" t="n">
        <v>3</v>
      </c>
      <c r="L210" s="1" t="n">
        <v>1</v>
      </c>
      <c r="M210" s="1" t="n">
        <v>2</v>
      </c>
      <c r="N210" s="1" t="n">
        <v>3</v>
      </c>
      <c r="O210" s="1" t="n">
        <v>5</v>
      </c>
      <c r="P210" s="1" t="n">
        <v>1</v>
      </c>
      <c r="Q210" s="1" t="n">
        <v>1</v>
      </c>
      <c r="R210" s="1" t="n">
        <v>1</v>
      </c>
      <c r="S210" s="1" t="n">
        <v>4</v>
      </c>
    </row>
    <row r="211">
      <c r="A211" t="inlineStr">
        <is>
          <t>Admin Assistant</t>
        </is>
      </c>
      <c r="B211" s="1" t="n">
        <v>1</v>
      </c>
      <c r="C211" s="1" t="n">
        <v>2</v>
      </c>
      <c r="D211" s="1" t="n">
        <v>1</v>
      </c>
      <c r="E211" s="1" t="n">
        <v>1</v>
      </c>
      <c r="F211" s="1" t="n">
        <v>1</v>
      </c>
      <c r="G211" s="1" t="n">
        <v>2</v>
      </c>
      <c r="H211" s="1" t="n">
        <v>1</v>
      </c>
      <c r="I211" s="1" t="n">
        <v>2</v>
      </c>
      <c r="J211" s="1" t="n">
        <v>3</v>
      </c>
      <c r="K211" s="1" t="n">
        <v>3</v>
      </c>
      <c r="L211" s="1" t="n">
        <v>3</v>
      </c>
      <c r="M211" s="1" t="n">
        <v>3</v>
      </c>
      <c r="N211" s="1" t="n">
        <v>1</v>
      </c>
      <c r="O211" s="1" t="n">
        <v>2</v>
      </c>
      <c r="P211" s="1" t="n">
        <v>1</v>
      </c>
      <c r="Q211" s="1" t="n">
        <v>3</v>
      </c>
      <c r="R211" s="1" t="n">
        <v>3</v>
      </c>
      <c r="S211" s="1" t="n">
        <v>3</v>
      </c>
    </row>
    <row r="212">
      <c r="A212" t="inlineStr">
        <is>
          <t>Course Leader</t>
        </is>
      </c>
      <c r="B212" s="1" t="n">
        <v>2</v>
      </c>
      <c r="C212" s="1" t="n">
        <v>4</v>
      </c>
      <c r="D212" s="1" t="n">
        <v>2</v>
      </c>
      <c r="E212" s="1" t="n">
        <v>3</v>
      </c>
      <c r="F212" s="1" t="n">
        <v>4</v>
      </c>
      <c r="G212" s="1" t="n">
        <v>4</v>
      </c>
      <c r="H212" s="1" t="n">
        <v>5</v>
      </c>
      <c r="I212" s="1" t="n">
        <v>5</v>
      </c>
      <c r="J212" s="1" t="n">
        <v>5</v>
      </c>
      <c r="K212" s="1" t="n">
        <v>5</v>
      </c>
      <c r="L212" s="1" t="n">
        <v>3</v>
      </c>
      <c r="M212" s="1" t="n">
        <v>1</v>
      </c>
      <c r="N212" s="1" t="n">
        <v>4</v>
      </c>
      <c r="O212" s="1" t="n">
        <v>5</v>
      </c>
      <c r="P212" s="1" t="n">
        <v>4</v>
      </c>
      <c r="Q212" s="1" t="n">
        <v>5</v>
      </c>
      <c r="R212" s="1" t="n">
        <v>3</v>
      </c>
      <c r="S212" s="1" t="n">
        <v>3</v>
      </c>
    </row>
    <row r="213">
      <c r="A213" t="inlineStr">
        <is>
          <t>Admin Assistant</t>
        </is>
      </c>
      <c r="B213" s="1" t="n">
        <v>1</v>
      </c>
      <c r="C213" s="1" t="n">
        <v>1</v>
      </c>
      <c r="D213" s="1" t="n">
        <v>2</v>
      </c>
      <c r="E213" s="1" t="n">
        <v>1</v>
      </c>
      <c r="F213" s="1" t="n">
        <v>1</v>
      </c>
      <c r="G213" s="1" t="n">
        <v>3</v>
      </c>
      <c r="H213" s="1" t="n">
        <v>4</v>
      </c>
      <c r="I213" s="1" t="n">
        <v>1</v>
      </c>
      <c r="J213" s="1" t="n">
        <v>3</v>
      </c>
      <c r="K213" s="1" t="n">
        <v>1</v>
      </c>
      <c r="L213" s="1" t="n">
        <v>1</v>
      </c>
      <c r="M213" s="1" t="n">
        <v>2</v>
      </c>
      <c r="N213" s="1" t="n">
        <v>1</v>
      </c>
      <c r="O213" s="1" t="n">
        <v>1</v>
      </c>
      <c r="P213" s="1" t="n">
        <v>1</v>
      </c>
      <c r="Q213" s="1" t="n">
        <v>1</v>
      </c>
      <c r="R213" s="1" t="n">
        <v>1</v>
      </c>
      <c r="S213" s="1" t="n">
        <v>3</v>
      </c>
    </row>
    <row r="214">
      <c r="A214" t="inlineStr">
        <is>
          <t>Demonstrator</t>
        </is>
      </c>
      <c r="B214" s="1" t="n">
        <v>4</v>
      </c>
      <c r="C214" s="1" t="n">
        <v>4</v>
      </c>
      <c r="D214" s="1" t="n">
        <v>3</v>
      </c>
      <c r="E214" s="1" t="n">
        <v>2</v>
      </c>
      <c r="F214" s="1" t="n">
        <v>5</v>
      </c>
      <c r="G214" s="1" t="n">
        <v>3</v>
      </c>
      <c r="H214" s="1" t="n">
        <v>4</v>
      </c>
      <c r="I214" s="1" t="n">
        <v>3</v>
      </c>
      <c r="J214" s="1" t="n">
        <v>4</v>
      </c>
      <c r="K214" s="1" t="n">
        <v>5</v>
      </c>
      <c r="L214" s="1" t="n">
        <v>5</v>
      </c>
      <c r="M214" s="1" t="n">
        <v>4</v>
      </c>
      <c r="N214" s="1" t="n">
        <v>4</v>
      </c>
      <c r="O214" s="1" t="n">
        <v>2</v>
      </c>
      <c r="P214" s="1" t="n">
        <v>2</v>
      </c>
      <c r="Q214" s="1" t="n">
        <v>2</v>
      </c>
      <c r="R214" s="1" t="n">
        <v>3</v>
      </c>
      <c r="S214" s="1" t="n">
        <v>3</v>
      </c>
    </row>
    <row r="215">
      <c r="A215" t="inlineStr">
        <is>
          <t>Course Leader</t>
        </is>
      </c>
      <c r="B215" s="1" t="n">
        <v>3</v>
      </c>
      <c r="C215" s="1" t="n">
        <v>3</v>
      </c>
      <c r="D215" s="1" t="n">
        <v>3</v>
      </c>
      <c r="E215" s="1" t="n">
        <v>1</v>
      </c>
      <c r="F215" s="1" t="n">
        <v>2</v>
      </c>
      <c r="G215" s="1" t="n">
        <v>4</v>
      </c>
      <c r="H215" s="1" t="n">
        <v>4</v>
      </c>
      <c r="I215" s="1" t="n">
        <v>5</v>
      </c>
      <c r="J215" s="1" t="n">
        <v>4</v>
      </c>
      <c r="K215" s="1" t="n">
        <v>3</v>
      </c>
      <c r="L215" s="1" t="n">
        <v>5</v>
      </c>
      <c r="M215" s="1" t="n">
        <v>5</v>
      </c>
      <c r="N215" s="1" t="n">
        <v>4</v>
      </c>
      <c r="O215" s="1" t="n">
        <v>4</v>
      </c>
      <c r="P215" s="1" t="n">
        <v>2</v>
      </c>
      <c r="Q215" s="1" t="n">
        <v>4</v>
      </c>
      <c r="R215" s="1" t="n">
        <v>4</v>
      </c>
      <c r="S215" s="1" t="n">
        <v>1</v>
      </c>
    </row>
    <row r="216">
      <c r="A216" t="inlineStr">
        <is>
          <t>Admin Assistant</t>
        </is>
      </c>
      <c r="B216" s="1" t="n">
        <v>2</v>
      </c>
      <c r="C216" s="1" t="n">
        <v>1</v>
      </c>
      <c r="D216" s="1" t="n">
        <v>1</v>
      </c>
      <c r="E216" s="1" t="n">
        <v>1</v>
      </c>
      <c r="F216" s="1" t="n">
        <v>1</v>
      </c>
      <c r="G216" s="1" t="n">
        <v>3</v>
      </c>
      <c r="H216" s="1" t="n">
        <v>3</v>
      </c>
      <c r="I216" s="1" t="n">
        <v>2</v>
      </c>
      <c r="J216" s="1" t="n">
        <v>2</v>
      </c>
      <c r="K216" s="1" t="n">
        <v>2</v>
      </c>
      <c r="L216" s="1" t="n">
        <v>1</v>
      </c>
      <c r="M216" s="1" t="n">
        <v>1</v>
      </c>
      <c r="N216" s="1" t="n">
        <v>2</v>
      </c>
      <c r="O216" s="1" t="n">
        <v>3</v>
      </c>
      <c r="P216" s="1" t="n">
        <v>2</v>
      </c>
      <c r="Q216" s="1" t="n">
        <v>1</v>
      </c>
      <c r="R216" s="1" t="n">
        <v>4</v>
      </c>
      <c r="S216" s="1" t="n">
        <v>2</v>
      </c>
    </row>
    <row r="217">
      <c r="A217" t="inlineStr">
        <is>
          <t>Demonstrator</t>
        </is>
      </c>
      <c r="B217" s="1" t="n">
        <v>4</v>
      </c>
      <c r="C217" s="1" t="n">
        <v>4</v>
      </c>
      <c r="D217" s="1" t="n">
        <v>5</v>
      </c>
      <c r="E217" s="1" t="n">
        <v>3</v>
      </c>
      <c r="F217" s="1" t="n">
        <v>3</v>
      </c>
      <c r="G217" s="1" t="n">
        <v>4</v>
      </c>
      <c r="H217" s="1" t="n">
        <v>2</v>
      </c>
      <c r="I217" s="1" t="n">
        <v>3</v>
      </c>
      <c r="J217" s="1" t="n">
        <v>5</v>
      </c>
      <c r="K217" s="1" t="n">
        <v>2</v>
      </c>
      <c r="L217" s="1" t="n">
        <v>5</v>
      </c>
      <c r="M217" s="1" t="n">
        <v>3</v>
      </c>
      <c r="N217" s="1" t="n">
        <v>5</v>
      </c>
      <c r="O217" s="1" t="n">
        <v>3</v>
      </c>
      <c r="P217" s="1" t="n">
        <v>2</v>
      </c>
      <c r="Q217" s="1" t="n">
        <v>3</v>
      </c>
      <c r="R217" s="1" t="n">
        <v>1</v>
      </c>
      <c r="S217" s="1" t="n">
        <v>3</v>
      </c>
    </row>
    <row r="218">
      <c r="A218" t="inlineStr">
        <is>
          <t>Admin Assistant</t>
        </is>
      </c>
      <c r="B218" s="1" t="n">
        <v>1</v>
      </c>
      <c r="C218" s="1" t="n">
        <v>1</v>
      </c>
      <c r="D218" s="1" t="n">
        <v>1</v>
      </c>
      <c r="E218" s="1" t="n">
        <v>2</v>
      </c>
      <c r="F218" s="1" t="n">
        <v>1</v>
      </c>
      <c r="G218" s="1" t="n">
        <v>4</v>
      </c>
      <c r="H218" s="1" t="n">
        <v>1</v>
      </c>
      <c r="I218" s="1" t="n">
        <v>1</v>
      </c>
      <c r="J218" s="1" t="n">
        <v>3</v>
      </c>
      <c r="K218" s="1" t="n">
        <v>1</v>
      </c>
      <c r="L218" s="1" t="n">
        <v>1</v>
      </c>
      <c r="M218" s="1" t="n">
        <v>2</v>
      </c>
      <c r="N218" s="1" t="n">
        <v>2</v>
      </c>
      <c r="O218" s="1" t="n">
        <v>1</v>
      </c>
      <c r="P218" s="1" t="n">
        <v>1</v>
      </c>
      <c r="Q218" s="1" t="n">
        <v>4</v>
      </c>
      <c r="R218" s="1" t="n">
        <v>3</v>
      </c>
      <c r="S218" s="1" t="n">
        <v>4</v>
      </c>
    </row>
    <row r="219">
      <c r="A219" t="inlineStr">
        <is>
          <t>Student</t>
        </is>
      </c>
      <c r="B219" s="1" t="n">
        <v>5</v>
      </c>
      <c r="C219" s="1" t="n">
        <v>4</v>
      </c>
      <c r="D219" s="1" t="n">
        <v>5</v>
      </c>
      <c r="E219" s="1" t="n">
        <v>3</v>
      </c>
      <c r="F219" s="1" t="n">
        <v>3</v>
      </c>
      <c r="G219" s="1" t="n">
        <v>5</v>
      </c>
      <c r="H219" s="1" t="n">
        <v>5</v>
      </c>
      <c r="I219" s="1" t="n">
        <v>4</v>
      </c>
      <c r="J219" s="1" t="n">
        <v>3</v>
      </c>
      <c r="K219" s="1" t="n">
        <v>3</v>
      </c>
      <c r="L219" s="1" t="n">
        <v>5</v>
      </c>
      <c r="M219" s="1" t="n">
        <v>5</v>
      </c>
      <c r="N219" s="1" t="n">
        <v>3</v>
      </c>
      <c r="O219" s="1" t="n">
        <v>2</v>
      </c>
      <c r="P219" s="1" t="n">
        <v>3</v>
      </c>
      <c r="Q219" s="1" t="n">
        <v>4</v>
      </c>
      <c r="R219" s="1" t="n">
        <v>1</v>
      </c>
      <c r="S219" s="1" t="n">
        <v>3</v>
      </c>
    </row>
    <row r="220">
      <c r="A220" t="inlineStr">
        <is>
          <t>Admin Assistant</t>
        </is>
      </c>
      <c r="B220" s="1" t="n">
        <v>1</v>
      </c>
      <c r="C220" s="1" t="n">
        <v>2</v>
      </c>
      <c r="D220" s="1" t="n">
        <v>1</v>
      </c>
      <c r="E220" s="1" t="n">
        <v>2</v>
      </c>
      <c r="F220" s="1" t="n">
        <v>1</v>
      </c>
      <c r="G220" s="1" t="n">
        <v>1</v>
      </c>
      <c r="H220" s="1" t="n">
        <v>3</v>
      </c>
      <c r="I220" s="1" t="n">
        <v>2</v>
      </c>
      <c r="J220" s="1" t="n">
        <v>4</v>
      </c>
      <c r="K220" s="1" t="n">
        <v>3</v>
      </c>
      <c r="L220" s="1" t="n">
        <v>1</v>
      </c>
      <c r="M220" s="1" t="n">
        <v>3</v>
      </c>
      <c r="N220" s="1" t="n">
        <v>1</v>
      </c>
      <c r="O220" s="1" t="n">
        <v>3</v>
      </c>
      <c r="P220" s="1" t="n">
        <v>3</v>
      </c>
      <c r="Q220" s="1" t="n">
        <v>1</v>
      </c>
      <c r="R220" s="1" t="n">
        <v>5</v>
      </c>
      <c r="S220" s="1" t="n">
        <v>3</v>
      </c>
    </row>
    <row r="221">
      <c r="A221" t="inlineStr">
        <is>
          <t>Student</t>
        </is>
      </c>
      <c r="B221" s="1" t="n">
        <v>5</v>
      </c>
      <c r="C221" s="1" t="n">
        <v>4</v>
      </c>
      <c r="D221" s="1" t="n">
        <v>5</v>
      </c>
      <c r="E221" s="1" t="n">
        <v>4</v>
      </c>
      <c r="F221" s="1" t="n">
        <v>5</v>
      </c>
      <c r="G221" s="1" t="n">
        <v>5</v>
      </c>
      <c r="H221" s="1" t="n">
        <v>4</v>
      </c>
      <c r="I221" s="1" t="n">
        <v>4</v>
      </c>
      <c r="J221" s="1" t="n">
        <v>4</v>
      </c>
      <c r="K221" s="1" t="n">
        <v>4</v>
      </c>
      <c r="L221" s="1" t="n">
        <v>4</v>
      </c>
      <c r="M221" s="1" t="n">
        <v>5</v>
      </c>
      <c r="N221" s="1" t="n">
        <v>4</v>
      </c>
      <c r="O221" s="1" t="n">
        <v>5</v>
      </c>
      <c r="P221" s="1" t="n">
        <v>5</v>
      </c>
      <c r="Q221" s="1" t="n">
        <v>5</v>
      </c>
      <c r="R221" s="1" t="n">
        <v>3</v>
      </c>
      <c r="S221" s="1" t="n">
        <v>1</v>
      </c>
    </row>
    <row r="222">
      <c r="A222" t="inlineStr">
        <is>
          <t>Admin Assistant</t>
        </is>
      </c>
      <c r="B222" s="1" t="n">
        <v>1</v>
      </c>
      <c r="C222" s="1" t="n">
        <v>1</v>
      </c>
      <c r="D222" s="1" t="n">
        <v>2</v>
      </c>
      <c r="E222" s="1" t="n">
        <v>1</v>
      </c>
      <c r="F222" s="1" t="n">
        <v>1</v>
      </c>
      <c r="G222" s="1" t="n">
        <v>3</v>
      </c>
      <c r="H222" s="1" t="n">
        <v>4</v>
      </c>
      <c r="I222" s="1" t="n">
        <v>3</v>
      </c>
      <c r="J222" s="1" t="n">
        <v>4</v>
      </c>
      <c r="K222" s="1" t="n">
        <v>2</v>
      </c>
      <c r="L222" s="1" t="n">
        <v>1</v>
      </c>
      <c r="M222" s="1" t="n">
        <v>3</v>
      </c>
      <c r="N222" s="1" t="n">
        <v>4</v>
      </c>
      <c r="O222" s="1" t="n">
        <v>1</v>
      </c>
      <c r="P222" s="1" t="n">
        <v>1</v>
      </c>
      <c r="Q222" s="1" t="n">
        <v>1</v>
      </c>
      <c r="R222" s="1" t="n">
        <v>3</v>
      </c>
      <c r="S222" s="1" t="n">
        <v>4</v>
      </c>
    </row>
    <row r="223">
      <c r="A223" t="inlineStr">
        <is>
          <t>Admin Assistant</t>
        </is>
      </c>
      <c r="B223" s="1" t="n">
        <v>1</v>
      </c>
      <c r="C223" s="1" t="n">
        <v>1</v>
      </c>
      <c r="D223" s="1" t="n">
        <v>1</v>
      </c>
      <c r="E223" s="1" t="n">
        <v>3</v>
      </c>
      <c r="F223" s="1" t="n">
        <v>1</v>
      </c>
      <c r="G223" s="1" t="n">
        <v>1</v>
      </c>
      <c r="H223" s="1" t="n">
        <v>1</v>
      </c>
      <c r="I223" s="1" t="n">
        <v>2</v>
      </c>
      <c r="J223" s="1" t="n">
        <v>4</v>
      </c>
      <c r="K223" s="1" t="n">
        <v>2</v>
      </c>
      <c r="L223" s="1" t="n">
        <v>4</v>
      </c>
      <c r="M223" s="1" t="n">
        <v>4</v>
      </c>
      <c r="N223" s="1" t="n">
        <v>1</v>
      </c>
      <c r="O223" s="1" t="n">
        <v>2</v>
      </c>
      <c r="P223" s="1" t="n">
        <v>1</v>
      </c>
      <c r="Q223" s="1" t="n">
        <v>2</v>
      </c>
      <c r="R223" s="1" t="n">
        <v>3</v>
      </c>
      <c r="S223" s="1" t="n">
        <v>3</v>
      </c>
    </row>
    <row r="224">
      <c r="A224" t="inlineStr">
        <is>
          <t>Course Leader</t>
        </is>
      </c>
      <c r="B224" s="1" t="n">
        <v>1</v>
      </c>
      <c r="C224" s="1" t="n">
        <v>5</v>
      </c>
      <c r="D224" s="1" t="n">
        <v>4</v>
      </c>
      <c r="E224" s="1" t="n">
        <v>5</v>
      </c>
      <c r="F224" s="1" t="n">
        <v>3</v>
      </c>
      <c r="G224" s="1" t="n">
        <v>4</v>
      </c>
      <c r="H224" s="1" t="n">
        <v>5</v>
      </c>
      <c r="I224" s="1" t="n">
        <v>2</v>
      </c>
      <c r="J224" s="1" t="n">
        <v>5</v>
      </c>
      <c r="K224" s="1" t="n">
        <v>5</v>
      </c>
      <c r="L224" s="1" t="n">
        <v>4</v>
      </c>
      <c r="M224" s="1" t="n">
        <v>2</v>
      </c>
      <c r="N224" s="1" t="n">
        <v>4</v>
      </c>
      <c r="O224" s="1" t="n">
        <v>5</v>
      </c>
      <c r="P224" s="1" t="n">
        <v>3</v>
      </c>
      <c r="Q224" s="1" t="n">
        <v>3</v>
      </c>
      <c r="R224" s="1" t="n">
        <v>5</v>
      </c>
      <c r="S224" s="1" t="n">
        <v>4</v>
      </c>
    </row>
    <row r="225">
      <c r="A225" t="inlineStr">
        <is>
          <t>Course Leader</t>
        </is>
      </c>
      <c r="B225" s="1" t="n">
        <v>3</v>
      </c>
      <c r="C225" s="1" t="n">
        <v>1</v>
      </c>
      <c r="D225" s="1" t="n">
        <v>5</v>
      </c>
      <c r="E225" s="1" t="n">
        <v>4</v>
      </c>
      <c r="F225" s="1" t="n">
        <v>5</v>
      </c>
      <c r="G225" s="1" t="n">
        <v>3</v>
      </c>
      <c r="H225" s="1" t="n">
        <v>5</v>
      </c>
      <c r="I225" s="1" t="n">
        <v>4</v>
      </c>
      <c r="J225" s="1" t="n">
        <v>5</v>
      </c>
      <c r="K225" s="1" t="n">
        <v>4</v>
      </c>
      <c r="L225" s="1" t="n">
        <v>5</v>
      </c>
      <c r="M225" s="1" t="n">
        <v>4</v>
      </c>
      <c r="N225" s="1" t="n">
        <v>1</v>
      </c>
      <c r="O225" s="1" t="n">
        <v>3</v>
      </c>
      <c r="P225" s="1" t="n">
        <v>1</v>
      </c>
      <c r="Q225" s="1" t="n">
        <v>4</v>
      </c>
      <c r="R225" s="1" t="n">
        <v>2</v>
      </c>
      <c r="S225" s="1" t="n">
        <v>3</v>
      </c>
    </row>
    <row r="226">
      <c r="A226" t="inlineStr">
        <is>
          <t>Student</t>
        </is>
      </c>
      <c r="B226" s="1" t="n">
        <v>4</v>
      </c>
      <c r="C226" s="1" t="n">
        <v>5</v>
      </c>
      <c r="D226" s="1" t="n">
        <v>5</v>
      </c>
      <c r="E226" s="1" t="n">
        <v>4</v>
      </c>
      <c r="F226" s="1" t="n">
        <v>5</v>
      </c>
      <c r="G226" s="1" t="n">
        <v>5</v>
      </c>
      <c r="H226" s="1" t="n">
        <v>4</v>
      </c>
      <c r="I226" s="1" t="n">
        <v>3</v>
      </c>
      <c r="J226" s="1" t="n">
        <v>2</v>
      </c>
      <c r="K226" s="1" t="n">
        <v>5</v>
      </c>
      <c r="L226" s="1" t="n">
        <v>2</v>
      </c>
      <c r="M226" s="1" t="n">
        <v>4</v>
      </c>
      <c r="N226" s="1" t="n">
        <v>3</v>
      </c>
      <c r="O226" s="1" t="n">
        <v>5</v>
      </c>
      <c r="P226" s="1" t="n">
        <v>5</v>
      </c>
      <c r="Q226" s="1" t="n">
        <v>3</v>
      </c>
      <c r="R226" s="1" t="n">
        <v>2</v>
      </c>
      <c r="S226" s="1" t="n">
        <v>3</v>
      </c>
    </row>
    <row r="227">
      <c r="A227" t="inlineStr">
        <is>
          <t>Course Leader</t>
        </is>
      </c>
      <c r="B227" s="1" t="n">
        <v>3</v>
      </c>
      <c r="C227" s="1" t="n">
        <v>1</v>
      </c>
      <c r="D227" s="1" t="n">
        <v>2</v>
      </c>
      <c r="E227" s="1" t="n">
        <v>3</v>
      </c>
      <c r="F227" s="1" t="n">
        <v>2</v>
      </c>
      <c r="G227" s="1" t="n">
        <v>5</v>
      </c>
      <c r="H227" s="1" t="n">
        <v>5</v>
      </c>
      <c r="I227" s="1" t="n">
        <v>5</v>
      </c>
      <c r="J227" s="1" t="n">
        <v>3</v>
      </c>
      <c r="K227" s="1" t="n">
        <v>5</v>
      </c>
      <c r="L227" s="1" t="n">
        <v>3</v>
      </c>
      <c r="M227" s="1" t="n">
        <v>3</v>
      </c>
      <c r="N227" s="1" t="n">
        <v>4</v>
      </c>
      <c r="O227" s="1" t="n">
        <v>5</v>
      </c>
      <c r="P227" s="1" t="n">
        <v>5</v>
      </c>
      <c r="Q227" s="1" t="n">
        <v>4</v>
      </c>
      <c r="R227" s="1" t="n">
        <v>5</v>
      </c>
      <c r="S227" s="1" t="n">
        <v>2</v>
      </c>
    </row>
    <row r="228">
      <c r="A228" t="inlineStr">
        <is>
          <t>Demonstrator</t>
        </is>
      </c>
      <c r="B228" s="1" t="n">
        <v>4</v>
      </c>
      <c r="C228" s="1" t="n">
        <v>2</v>
      </c>
      <c r="D228" s="1" t="n">
        <v>2</v>
      </c>
      <c r="E228" s="1" t="n">
        <v>4</v>
      </c>
      <c r="F228" s="1" t="n">
        <v>5</v>
      </c>
      <c r="G228" s="1" t="n">
        <v>3</v>
      </c>
      <c r="H228" s="1" t="n">
        <v>4</v>
      </c>
      <c r="I228" s="1" t="n">
        <v>3</v>
      </c>
      <c r="J228" s="1" t="n">
        <v>3</v>
      </c>
      <c r="K228" s="1" t="n">
        <v>4</v>
      </c>
      <c r="L228" s="1" t="n">
        <v>1</v>
      </c>
      <c r="M228" s="1" t="n">
        <v>3</v>
      </c>
      <c r="N228" s="1" t="n">
        <v>5</v>
      </c>
      <c r="O228" s="1" t="n">
        <v>2</v>
      </c>
      <c r="P228" s="1" t="n">
        <v>5</v>
      </c>
      <c r="Q228" s="1" t="n">
        <v>5</v>
      </c>
      <c r="R228" s="1" t="n">
        <v>3</v>
      </c>
      <c r="S228" s="1" t="n">
        <v>3</v>
      </c>
    </row>
    <row r="229">
      <c r="A229" t="inlineStr">
        <is>
          <t>Demonstrator</t>
        </is>
      </c>
      <c r="B229" s="1" t="n">
        <v>3</v>
      </c>
      <c r="C229" s="1" t="n">
        <v>3</v>
      </c>
      <c r="D229" s="1" t="n">
        <v>5</v>
      </c>
      <c r="E229" s="1" t="n">
        <v>4</v>
      </c>
      <c r="F229" s="1" t="n">
        <v>3</v>
      </c>
      <c r="G229" s="1" t="n">
        <v>3</v>
      </c>
      <c r="H229" s="1" t="n">
        <v>4</v>
      </c>
      <c r="I229" s="1" t="n">
        <v>3</v>
      </c>
      <c r="J229" s="1" t="n">
        <v>4</v>
      </c>
      <c r="K229" s="1" t="n">
        <v>4</v>
      </c>
      <c r="L229" s="1" t="n">
        <v>4</v>
      </c>
      <c r="M229" s="1" t="n">
        <v>4</v>
      </c>
      <c r="N229" s="1" t="n">
        <v>1</v>
      </c>
      <c r="O229" s="1" t="n">
        <v>3</v>
      </c>
      <c r="P229" s="1" t="n">
        <v>2</v>
      </c>
      <c r="Q229" s="1" t="n">
        <v>1</v>
      </c>
      <c r="R229" s="1" t="n">
        <v>3</v>
      </c>
      <c r="S229" s="1" t="n">
        <v>3</v>
      </c>
    </row>
    <row r="230">
      <c r="A230" t="inlineStr">
        <is>
          <t>Student</t>
        </is>
      </c>
      <c r="B230" s="1" t="n">
        <v>4</v>
      </c>
      <c r="C230" s="1" t="n">
        <v>5</v>
      </c>
      <c r="D230" s="1" t="n">
        <v>5</v>
      </c>
      <c r="E230" s="1" t="n">
        <v>3</v>
      </c>
      <c r="F230" s="1" t="n">
        <v>3</v>
      </c>
      <c r="G230" s="1" t="n">
        <v>5</v>
      </c>
      <c r="H230" s="1" t="n">
        <v>3</v>
      </c>
      <c r="I230" s="1" t="n">
        <v>3</v>
      </c>
      <c r="J230" s="1" t="n">
        <v>3</v>
      </c>
      <c r="K230" s="1" t="n">
        <v>1</v>
      </c>
      <c r="L230" s="1" t="n">
        <v>4</v>
      </c>
      <c r="M230" s="1" t="n">
        <v>5</v>
      </c>
      <c r="N230" s="1" t="n">
        <v>5</v>
      </c>
      <c r="O230" s="1" t="n">
        <v>2</v>
      </c>
      <c r="P230" s="1" t="n">
        <v>5</v>
      </c>
      <c r="Q230" s="1" t="n">
        <v>2</v>
      </c>
      <c r="R230" s="1" t="n">
        <v>5</v>
      </c>
      <c r="S230" s="1" t="n">
        <v>3</v>
      </c>
    </row>
    <row r="231">
      <c r="A231" t="inlineStr">
        <is>
          <t>Demonstrator</t>
        </is>
      </c>
      <c r="B231" s="1" t="n">
        <v>5</v>
      </c>
      <c r="C231" s="1" t="n">
        <v>5</v>
      </c>
      <c r="D231" s="1" t="n">
        <v>4</v>
      </c>
      <c r="E231" s="1" t="n">
        <v>4</v>
      </c>
      <c r="F231" s="1" t="n">
        <v>2</v>
      </c>
      <c r="G231" s="1" t="n">
        <v>5</v>
      </c>
      <c r="H231" s="1" t="n">
        <v>4</v>
      </c>
      <c r="I231" s="1" t="n">
        <v>3</v>
      </c>
      <c r="J231" s="1" t="n">
        <v>4</v>
      </c>
      <c r="K231" s="1" t="n">
        <v>2</v>
      </c>
      <c r="L231" s="1" t="n">
        <v>5</v>
      </c>
      <c r="M231" s="1" t="n">
        <v>3</v>
      </c>
      <c r="N231" s="1" t="n">
        <v>2</v>
      </c>
      <c r="O231" s="1" t="n">
        <v>4</v>
      </c>
      <c r="P231" s="1" t="n">
        <v>1</v>
      </c>
      <c r="Q231" s="1" t="n">
        <v>3</v>
      </c>
      <c r="R231" s="1" t="n">
        <v>4</v>
      </c>
      <c r="S231" s="1" t="n">
        <v>4</v>
      </c>
    </row>
    <row r="232">
      <c r="A232" t="inlineStr">
        <is>
          <t>Demonstrator</t>
        </is>
      </c>
      <c r="B232" s="1" t="n">
        <v>3</v>
      </c>
      <c r="C232" s="1" t="n">
        <v>4</v>
      </c>
      <c r="D232" s="1" t="n">
        <v>4</v>
      </c>
      <c r="E232" s="1" t="n">
        <v>5</v>
      </c>
      <c r="F232" s="1" t="n">
        <v>4</v>
      </c>
      <c r="G232" s="1" t="n">
        <v>3</v>
      </c>
      <c r="H232" s="1" t="n">
        <v>4</v>
      </c>
      <c r="I232" s="1" t="n">
        <v>2</v>
      </c>
      <c r="J232" s="1" t="n">
        <v>5</v>
      </c>
      <c r="K232" s="1" t="n">
        <v>2</v>
      </c>
      <c r="L232" s="1" t="n">
        <v>5</v>
      </c>
      <c r="M232" s="1" t="n">
        <v>4</v>
      </c>
      <c r="N232" s="1" t="n">
        <v>2</v>
      </c>
      <c r="O232" s="1" t="n">
        <v>1</v>
      </c>
      <c r="P232" s="1" t="n">
        <v>4</v>
      </c>
      <c r="Q232" s="1" t="n">
        <v>2</v>
      </c>
      <c r="R232" s="1" t="n">
        <v>3</v>
      </c>
      <c r="S232" s="1" t="n">
        <v>3</v>
      </c>
    </row>
    <row r="233">
      <c r="A233" t="inlineStr">
        <is>
          <t>Admin Assistant</t>
        </is>
      </c>
      <c r="B233" s="1" t="n">
        <v>1</v>
      </c>
      <c r="C233" s="1" t="n">
        <v>2</v>
      </c>
      <c r="D233" s="1" t="n">
        <v>1</v>
      </c>
      <c r="E233" s="1" t="n">
        <v>1</v>
      </c>
      <c r="F233" s="1" t="n">
        <v>1</v>
      </c>
      <c r="G233" s="1" t="n">
        <v>5</v>
      </c>
      <c r="H233" s="1" t="n">
        <v>1</v>
      </c>
      <c r="I233" s="1" t="n">
        <v>4</v>
      </c>
      <c r="J233" s="1" t="n">
        <v>1</v>
      </c>
      <c r="K233" s="1" t="n">
        <v>3</v>
      </c>
      <c r="L233" s="1" t="n">
        <v>2</v>
      </c>
      <c r="M233" s="1" t="n">
        <v>4</v>
      </c>
      <c r="N233" s="1" t="n">
        <v>2</v>
      </c>
      <c r="O233" s="1" t="n">
        <v>1</v>
      </c>
      <c r="P233" s="1" t="n">
        <v>1</v>
      </c>
      <c r="Q233" s="1" t="n">
        <v>3</v>
      </c>
      <c r="R233" s="1" t="n">
        <v>4</v>
      </c>
      <c r="S233" s="1" t="n">
        <v>3</v>
      </c>
    </row>
    <row r="234">
      <c r="A234" t="inlineStr">
        <is>
          <t>Course Leader</t>
        </is>
      </c>
      <c r="B234" s="1" t="n">
        <v>3</v>
      </c>
      <c r="C234" s="1" t="n">
        <v>4</v>
      </c>
      <c r="D234" s="1" t="n">
        <v>3</v>
      </c>
      <c r="E234" s="1" t="n">
        <v>4</v>
      </c>
      <c r="F234" s="1" t="n">
        <v>2</v>
      </c>
      <c r="G234" s="1" t="n">
        <v>4</v>
      </c>
      <c r="H234" s="1" t="n">
        <v>5</v>
      </c>
      <c r="I234" s="1" t="n">
        <v>5</v>
      </c>
      <c r="J234" s="1" t="n">
        <v>4</v>
      </c>
      <c r="K234" s="1" t="n">
        <v>4</v>
      </c>
      <c r="L234" s="1" t="n">
        <v>5</v>
      </c>
      <c r="M234" s="1" t="n">
        <v>5</v>
      </c>
      <c r="N234" s="1" t="n">
        <v>3</v>
      </c>
      <c r="O234" s="1" t="n">
        <v>4</v>
      </c>
      <c r="P234" s="1" t="n">
        <v>5</v>
      </c>
      <c r="Q234" s="1" t="n">
        <v>4</v>
      </c>
      <c r="R234" s="1" t="n">
        <v>5</v>
      </c>
      <c r="S234" s="1" t="n">
        <v>3</v>
      </c>
    </row>
    <row r="235">
      <c r="A235" t="inlineStr">
        <is>
          <t>Demonstrator</t>
        </is>
      </c>
      <c r="B235" s="1" t="n">
        <v>2</v>
      </c>
      <c r="C235" s="1" t="n">
        <v>4</v>
      </c>
      <c r="D235" s="1" t="n">
        <v>3</v>
      </c>
      <c r="E235" s="1" t="n">
        <v>4</v>
      </c>
      <c r="F235" s="1" t="n">
        <v>3</v>
      </c>
      <c r="G235" s="1" t="n">
        <v>2</v>
      </c>
      <c r="H235" s="1" t="n">
        <v>4</v>
      </c>
      <c r="I235" s="1" t="n">
        <v>4</v>
      </c>
      <c r="J235" s="1" t="n">
        <v>4</v>
      </c>
      <c r="K235" s="1" t="n">
        <v>3</v>
      </c>
      <c r="L235" s="1" t="n">
        <v>5</v>
      </c>
      <c r="M235" s="1" t="n">
        <v>2</v>
      </c>
      <c r="N235" s="1" t="n">
        <v>1</v>
      </c>
      <c r="O235" s="1" t="n">
        <v>4</v>
      </c>
      <c r="P235" s="1" t="n">
        <v>2</v>
      </c>
      <c r="Q235" s="1" t="n">
        <v>3</v>
      </c>
      <c r="R235" s="1" t="n">
        <v>2</v>
      </c>
      <c r="S235" s="1" t="n">
        <v>3</v>
      </c>
    </row>
    <row r="236">
      <c r="A236" t="inlineStr">
        <is>
          <t>Demonstrator</t>
        </is>
      </c>
      <c r="B236" s="1" t="n">
        <v>4</v>
      </c>
      <c r="C236" s="1" t="n">
        <v>4</v>
      </c>
      <c r="D236" s="1" t="n">
        <v>5</v>
      </c>
      <c r="E236" s="1" t="n">
        <v>3</v>
      </c>
      <c r="F236" s="1" t="n">
        <v>3</v>
      </c>
      <c r="G236" s="1" t="n">
        <v>2</v>
      </c>
      <c r="H236" s="1" t="n">
        <v>3</v>
      </c>
      <c r="I236" s="1" t="n">
        <v>3</v>
      </c>
      <c r="J236" s="1" t="n">
        <v>4</v>
      </c>
      <c r="K236" s="1" t="n">
        <v>4</v>
      </c>
      <c r="L236" s="1" t="n">
        <v>5</v>
      </c>
      <c r="M236" s="1" t="n">
        <v>1</v>
      </c>
      <c r="N236" s="1" t="n">
        <v>4</v>
      </c>
      <c r="O236" s="1" t="n">
        <v>4</v>
      </c>
      <c r="P236" s="1" t="n">
        <v>3</v>
      </c>
      <c r="Q236" s="1" t="n">
        <v>3</v>
      </c>
      <c r="R236" s="1" t="n">
        <v>4</v>
      </c>
      <c r="S236" s="1" t="n">
        <v>1</v>
      </c>
    </row>
    <row r="237">
      <c r="A237" t="inlineStr">
        <is>
          <t>Course Leader</t>
        </is>
      </c>
      <c r="B237" s="1" t="n">
        <v>1</v>
      </c>
      <c r="C237" s="1" t="n">
        <v>3</v>
      </c>
      <c r="D237" s="1" t="n">
        <v>3</v>
      </c>
      <c r="E237" s="1" t="n">
        <v>1</v>
      </c>
      <c r="F237" s="1" t="n">
        <v>1</v>
      </c>
      <c r="G237" s="1" t="n">
        <v>5</v>
      </c>
      <c r="H237" s="1" t="n">
        <v>5</v>
      </c>
      <c r="I237" s="1" t="n">
        <v>5</v>
      </c>
      <c r="J237" s="1" t="n">
        <v>4</v>
      </c>
      <c r="K237" s="1" t="n">
        <v>3</v>
      </c>
      <c r="L237" s="1" t="n">
        <v>5</v>
      </c>
      <c r="M237" s="1" t="n">
        <v>4</v>
      </c>
      <c r="N237" s="1" t="n">
        <v>4</v>
      </c>
      <c r="O237" s="1" t="n">
        <v>3</v>
      </c>
      <c r="P237" s="1" t="n">
        <v>3</v>
      </c>
      <c r="Q237" s="1" t="n">
        <v>3</v>
      </c>
      <c r="R237" s="1" t="n">
        <v>3</v>
      </c>
      <c r="S237" s="1" t="n">
        <v>2</v>
      </c>
    </row>
    <row r="238">
      <c r="A238" t="inlineStr">
        <is>
          <t>Demonstrator</t>
        </is>
      </c>
      <c r="B238" s="1" t="n">
        <v>5</v>
      </c>
      <c r="C238" s="1" t="n">
        <v>2</v>
      </c>
      <c r="D238" s="1" t="n">
        <v>3</v>
      </c>
      <c r="E238" s="1" t="n">
        <v>4</v>
      </c>
      <c r="F238" s="1" t="n">
        <v>5</v>
      </c>
      <c r="G238" s="1" t="n">
        <v>4</v>
      </c>
      <c r="H238" s="1" t="n">
        <v>3</v>
      </c>
      <c r="I238" s="1" t="n">
        <v>1</v>
      </c>
      <c r="J238" s="1" t="n">
        <v>2</v>
      </c>
      <c r="K238" s="1" t="n">
        <v>4</v>
      </c>
      <c r="L238" s="1" t="n">
        <v>3</v>
      </c>
      <c r="M238" s="1" t="n">
        <v>4</v>
      </c>
      <c r="N238" s="1" t="n">
        <v>3</v>
      </c>
      <c r="O238" s="1" t="n">
        <v>5</v>
      </c>
      <c r="P238" s="1" t="n">
        <v>4</v>
      </c>
      <c r="Q238" s="1" t="n">
        <v>4</v>
      </c>
      <c r="R238" s="1" t="n">
        <v>4</v>
      </c>
      <c r="S238" s="1" t="n">
        <v>3</v>
      </c>
    </row>
    <row r="239">
      <c r="A239" t="inlineStr">
        <is>
          <t>Demonstrator</t>
        </is>
      </c>
      <c r="B239" s="1" t="n">
        <v>3</v>
      </c>
      <c r="C239" s="1" t="n">
        <v>4</v>
      </c>
      <c r="D239" s="1" t="n">
        <v>2</v>
      </c>
      <c r="E239" s="1" t="n">
        <v>4</v>
      </c>
      <c r="F239" s="1" t="n">
        <v>2</v>
      </c>
      <c r="G239" s="1" t="n">
        <v>3</v>
      </c>
      <c r="H239" s="1" t="n">
        <v>5</v>
      </c>
      <c r="I239" s="1" t="n">
        <v>4</v>
      </c>
      <c r="J239" s="1" t="n">
        <v>4</v>
      </c>
      <c r="K239" s="1" t="n">
        <v>4</v>
      </c>
      <c r="L239" s="1" t="n">
        <v>2</v>
      </c>
      <c r="M239" s="1" t="n">
        <v>4</v>
      </c>
      <c r="N239" s="1" t="n">
        <v>2</v>
      </c>
      <c r="O239" s="1" t="n">
        <v>3</v>
      </c>
      <c r="P239" s="1" t="n">
        <v>3</v>
      </c>
      <c r="Q239" s="1" t="n">
        <v>1</v>
      </c>
      <c r="R239" s="1" t="n">
        <v>2</v>
      </c>
      <c r="S239" s="1" t="n">
        <v>5</v>
      </c>
    </row>
    <row r="240">
      <c r="A240" t="inlineStr">
        <is>
          <t>Course Leader</t>
        </is>
      </c>
      <c r="B240" s="1" t="n">
        <v>3</v>
      </c>
      <c r="C240" s="1" t="n">
        <v>2</v>
      </c>
      <c r="D240" s="1" t="n">
        <v>4</v>
      </c>
      <c r="E240" s="1" t="n">
        <v>2</v>
      </c>
      <c r="F240" s="1" t="n">
        <v>4</v>
      </c>
      <c r="G240" s="1" t="n">
        <v>5</v>
      </c>
      <c r="H240" s="1" t="n">
        <v>4</v>
      </c>
      <c r="I240" s="1" t="n">
        <v>5</v>
      </c>
      <c r="J240" s="1" t="n">
        <v>3</v>
      </c>
      <c r="K240" s="1" t="n">
        <v>5</v>
      </c>
      <c r="L240" s="1" t="n">
        <v>4</v>
      </c>
      <c r="M240" s="1" t="n">
        <v>4</v>
      </c>
      <c r="N240" s="1" t="n">
        <v>4</v>
      </c>
      <c r="O240" s="1" t="n">
        <v>4</v>
      </c>
      <c r="P240" s="1" t="n">
        <v>4</v>
      </c>
      <c r="Q240" s="1" t="n">
        <v>5</v>
      </c>
      <c r="R240" s="1" t="n">
        <v>4</v>
      </c>
      <c r="S240" s="1" t="n">
        <v>3</v>
      </c>
    </row>
    <row r="241">
      <c r="A241" t="inlineStr">
        <is>
          <t>Admin Assistant</t>
        </is>
      </c>
      <c r="B241" s="1" t="n">
        <v>2</v>
      </c>
      <c r="C241" s="1" t="n">
        <v>1</v>
      </c>
      <c r="D241" s="1" t="n">
        <v>1</v>
      </c>
      <c r="E241" s="1" t="n">
        <v>3</v>
      </c>
      <c r="F241" s="1" t="n">
        <v>1</v>
      </c>
      <c r="G241" s="1" t="n">
        <v>2</v>
      </c>
      <c r="H241" s="1" t="n">
        <v>2</v>
      </c>
      <c r="I241" s="1" t="n">
        <v>2</v>
      </c>
      <c r="J241" s="1" t="n">
        <v>1</v>
      </c>
      <c r="K241" s="1" t="n">
        <v>2</v>
      </c>
      <c r="L241" s="1" t="n">
        <v>1</v>
      </c>
      <c r="M241" s="1" t="n">
        <v>2</v>
      </c>
      <c r="N241" s="1" t="n">
        <v>1</v>
      </c>
      <c r="O241" s="1" t="n">
        <v>2</v>
      </c>
      <c r="P241" s="1" t="n">
        <v>5</v>
      </c>
      <c r="Q241" s="1" t="n">
        <v>1</v>
      </c>
      <c r="R241" s="1" t="n">
        <v>4</v>
      </c>
      <c r="S241" s="1" t="n">
        <v>4</v>
      </c>
    </row>
    <row r="242">
      <c r="A242" t="inlineStr">
        <is>
          <t>Demonstrator</t>
        </is>
      </c>
      <c r="B242" s="1" t="n">
        <v>2</v>
      </c>
      <c r="C242" s="1" t="n">
        <v>4</v>
      </c>
      <c r="D242" s="1" t="n">
        <v>5</v>
      </c>
      <c r="E242" s="1" t="n">
        <v>3</v>
      </c>
      <c r="F242" s="1" t="n">
        <v>5</v>
      </c>
      <c r="G242" s="1" t="n">
        <v>5</v>
      </c>
      <c r="H242" s="1" t="n">
        <v>5</v>
      </c>
      <c r="I242" s="1" t="n">
        <v>3</v>
      </c>
      <c r="J242" s="1" t="n">
        <v>3</v>
      </c>
      <c r="K242" s="1" t="n">
        <v>3</v>
      </c>
      <c r="L242" s="1" t="n">
        <v>4</v>
      </c>
      <c r="M242" s="1" t="n">
        <v>2</v>
      </c>
      <c r="N242" s="1" t="n">
        <v>3</v>
      </c>
      <c r="O242" s="1" t="n">
        <v>2</v>
      </c>
      <c r="P242" s="1" t="n">
        <v>3</v>
      </c>
      <c r="Q242" s="1" t="n">
        <v>2</v>
      </c>
      <c r="R242" s="1" t="n">
        <v>3</v>
      </c>
      <c r="S242" s="1" t="n">
        <v>2</v>
      </c>
    </row>
    <row r="243">
      <c r="A243" t="inlineStr">
        <is>
          <t>Course Leader</t>
        </is>
      </c>
      <c r="B243" s="1" t="n">
        <v>3</v>
      </c>
      <c r="C243" s="1" t="n">
        <v>4</v>
      </c>
      <c r="D243" s="1" t="n">
        <v>2</v>
      </c>
      <c r="E243" s="1" t="n">
        <v>2</v>
      </c>
      <c r="F243" s="1" t="n">
        <v>2</v>
      </c>
      <c r="G243" s="1" t="n">
        <v>5</v>
      </c>
      <c r="H243" s="1" t="n">
        <v>5</v>
      </c>
      <c r="I243" s="1" t="n">
        <v>4</v>
      </c>
      <c r="J243" s="1" t="n">
        <v>5</v>
      </c>
      <c r="K243" s="1" t="n">
        <v>4</v>
      </c>
      <c r="L243" s="1" t="n">
        <v>5</v>
      </c>
      <c r="M243" s="1" t="n">
        <v>3</v>
      </c>
      <c r="N243" s="1" t="n">
        <v>3</v>
      </c>
      <c r="O243" s="1" t="n">
        <v>5</v>
      </c>
      <c r="P243" s="1" t="n">
        <v>2</v>
      </c>
      <c r="Q243" s="1" t="n">
        <v>4</v>
      </c>
      <c r="R243" s="1" t="n">
        <v>4</v>
      </c>
      <c r="S243" s="1" t="n">
        <v>3</v>
      </c>
    </row>
    <row r="244">
      <c r="A244" t="inlineStr">
        <is>
          <t>Demonstrator</t>
        </is>
      </c>
      <c r="B244" s="1" t="n">
        <v>4</v>
      </c>
      <c r="C244" s="1" t="n">
        <v>5</v>
      </c>
      <c r="D244" s="1" t="n">
        <v>5</v>
      </c>
      <c r="E244" s="1" t="n">
        <v>3</v>
      </c>
      <c r="F244" s="1" t="n">
        <v>3</v>
      </c>
      <c r="G244" s="1" t="n">
        <v>5</v>
      </c>
      <c r="H244" s="1" t="n">
        <v>2</v>
      </c>
      <c r="I244" s="1" t="n">
        <v>4</v>
      </c>
      <c r="J244" s="1" t="n">
        <v>5</v>
      </c>
      <c r="K244" s="1" t="n">
        <v>3</v>
      </c>
      <c r="L244" s="1" t="n">
        <v>4</v>
      </c>
      <c r="M244" s="1" t="n">
        <v>2</v>
      </c>
      <c r="N244" s="1" t="n">
        <v>4</v>
      </c>
      <c r="O244" s="1" t="n">
        <v>3</v>
      </c>
      <c r="P244" s="1" t="n">
        <v>4</v>
      </c>
      <c r="Q244" s="1" t="n">
        <v>1</v>
      </c>
      <c r="R244" s="1" t="n">
        <v>1</v>
      </c>
      <c r="S244" s="1" t="n">
        <v>4</v>
      </c>
    </row>
    <row r="245">
      <c r="A245" t="inlineStr">
        <is>
          <t>Demonstrator</t>
        </is>
      </c>
      <c r="B245" s="1" t="n">
        <v>3</v>
      </c>
      <c r="C245" s="1" t="n">
        <v>3</v>
      </c>
      <c r="D245" s="1" t="n">
        <v>5</v>
      </c>
      <c r="E245" s="1" t="n">
        <v>4</v>
      </c>
      <c r="F245" s="1" t="n">
        <v>5</v>
      </c>
      <c r="G245" s="1" t="n">
        <v>5</v>
      </c>
      <c r="H245" s="1" t="n">
        <v>3</v>
      </c>
      <c r="I245" s="1" t="n">
        <v>3</v>
      </c>
      <c r="J245" s="1" t="n">
        <v>4</v>
      </c>
      <c r="K245" s="1" t="n">
        <v>2</v>
      </c>
      <c r="L245" s="1" t="n">
        <v>2</v>
      </c>
      <c r="M245" s="1" t="n">
        <v>3</v>
      </c>
      <c r="N245" s="1" t="n">
        <v>2</v>
      </c>
      <c r="O245" s="1" t="n">
        <v>4</v>
      </c>
      <c r="P245" s="1" t="n">
        <v>3</v>
      </c>
      <c r="Q245" s="1" t="n">
        <v>2</v>
      </c>
      <c r="R245" s="1" t="n">
        <v>2</v>
      </c>
      <c r="S245" s="1" t="n">
        <v>4</v>
      </c>
    </row>
    <row r="246">
      <c r="A246" t="inlineStr">
        <is>
          <t>Admin Assistant</t>
        </is>
      </c>
      <c r="B246" s="1" t="n">
        <v>2</v>
      </c>
      <c r="C246" s="1" t="n">
        <v>1</v>
      </c>
      <c r="D246" s="1" t="n">
        <v>3</v>
      </c>
      <c r="E246" s="1" t="n">
        <v>1</v>
      </c>
      <c r="F246" s="1" t="n">
        <v>2</v>
      </c>
      <c r="G246" s="1" t="n">
        <v>2</v>
      </c>
      <c r="H246" s="1" t="n">
        <v>3</v>
      </c>
      <c r="I246" s="1" t="n">
        <v>2</v>
      </c>
      <c r="J246" s="1" t="n">
        <v>1</v>
      </c>
      <c r="K246" s="1" t="n">
        <v>3</v>
      </c>
      <c r="L246" s="1" t="n">
        <v>1</v>
      </c>
      <c r="M246" s="1" t="n">
        <v>3</v>
      </c>
      <c r="N246" s="1" t="n">
        <v>2</v>
      </c>
      <c r="O246" s="1" t="n">
        <v>3</v>
      </c>
      <c r="P246" s="1" t="n">
        <v>1</v>
      </c>
      <c r="Q246" s="1" t="n">
        <v>1</v>
      </c>
      <c r="R246" s="1" t="n">
        <v>1</v>
      </c>
      <c r="S246" s="1" t="n">
        <v>3</v>
      </c>
    </row>
    <row r="247">
      <c r="A247" t="inlineStr">
        <is>
          <t>Student</t>
        </is>
      </c>
      <c r="B247" s="1" t="n">
        <v>5</v>
      </c>
      <c r="C247" s="1" t="n">
        <v>5</v>
      </c>
      <c r="D247" s="1" t="n">
        <v>3</v>
      </c>
      <c r="E247" s="1" t="n">
        <v>5</v>
      </c>
      <c r="F247" s="1" t="n">
        <v>5</v>
      </c>
      <c r="G247" s="1" t="n">
        <v>3</v>
      </c>
      <c r="H247" s="1" t="n">
        <v>5</v>
      </c>
      <c r="I247" s="1" t="n">
        <v>3</v>
      </c>
      <c r="J247" s="1" t="n">
        <v>3</v>
      </c>
      <c r="K247" s="1" t="n">
        <v>5</v>
      </c>
      <c r="L247" s="1" t="n">
        <v>3</v>
      </c>
      <c r="M247" s="1" t="n">
        <v>5</v>
      </c>
      <c r="N247" s="1" t="n">
        <v>4</v>
      </c>
      <c r="O247" s="1" t="n">
        <v>4</v>
      </c>
      <c r="P247" s="1" t="n">
        <v>5</v>
      </c>
      <c r="Q247" s="1" t="n">
        <v>5</v>
      </c>
      <c r="R247" s="1" t="n">
        <v>5</v>
      </c>
      <c r="S247" s="1" t="n">
        <v>4</v>
      </c>
    </row>
    <row r="248">
      <c r="A248" t="inlineStr">
        <is>
          <t>Student</t>
        </is>
      </c>
      <c r="B248" s="1" t="n">
        <v>5</v>
      </c>
      <c r="C248" s="1" t="n">
        <v>5</v>
      </c>
      <c r="D248" s="1" t="n">
        <v>5</v>
      </c>
      <c r="E248" s="1" t="n">
        <v>3</v>
      </c>
      <c r="F248" s="1" t="n">
        <v>5</v>
      </c>
      <c r="G248" s="1" t="n">
        <v>2</v>
      </c>
      <c r="H248" s="1" t="n">
        <v>5</v>
      </c>
      <c r="I248" s="1" t="n">
        <v>5</v>
      </c>
      <c r="J248" s="1" t="n">
        <v>4</v>
      </c>
      <c r="K248" s="1" t="n">
        <v>5</v>
      </c>
      <c r="L248" s="1" t="n">
        <v>3</v>
      </c>
      <c r="M248" s="1" t="n">
        <v>4</v>
      </c>
      <c r="N248" s="1" t="n">
        <v>4</v>
      </c>
      <c r="O248" s="1" t="n">
        <v>5</v>
      </c>
      <c r="P248" s="1" t="n">
        <v>4</v>
      </c>
      <c r="Q248" s="1" t="n">
        <v>4</v>
      </c>
      <c r="R248" s="1" t="n">
        <v>4</v>
      </c>
      <c r="S248" s="1" t="n">
        <v>4</v>
      </c>
    </row>
    <row r="249">
      <c r="A249" t="inlineStr">
        <is>
          <t>Course Leader</t>
        </is>
      </c>
      <c r="B249" s="1" t="n">
        <v>3</v>
      </c>
      <c r="C249" s="1" t="n">
        <v>3</v>
      </c>
      <c r="D249" s="1" t="n">
        <v>3</v>
      </c>
      <c r="E249" s="1" t="n">
        <v>1</v>
      </c>
      <c r="F249" s="1" t="n">
        <v>3</v>
      </c>
      <c r="G249" s="1" t="n">
        <v>5</v>
      </c>
      <c r="H249" s="1" t="n">
        <v>4</v>
      </c>
      <c r="I249" s="1" t="n">
        <v>4</v>
      </c>
      <c r="J249" s="1" t="n">
        <v>5</v>
      </c>
      <c r="K249" s="1" t="n">
        <v>3</v>
      </c>
      <c r="L249" s="1" t="n">
        <v>5</v>
      </c>
      <c r="M249" s="1" t="n">
        <v>4</v>
      </c>
      <c r="N249" s="1" t="n">
        <v>5</v>
      </c>
      <c r="O249" s="1" t="n">
        <v>5</v>
      </c>
      <c r="P249" s="1" t="n">
        <v>4</v>
      </c>
      <c r="Q249" s="1" t="n">
        <v>4</v>
      </c>
      <c r="R249" s="1" t="n">
        <v>5</v>
      </c>
      <c r="S249" s="1" t="n">
        <v>2</v>
      </c>
    </row>
    <row r="250">
      <c r="A250" t="inlineStr">
        <is>
          <t>Student</t>
        </is>
      </c>
      <c r="B250" s="1" t="n">
        <v>5</v>
      </c>
      <c r="C250" s="1" t="n">
        <v>5</v>
      </c>
      <c r="D250" s="1" t="n">
        <v>2</v>
      </c>
      <c r="E250" s="1" t="n">
        <v>3</v>
      </c>
      <c r="F250" s="1" t="n">
        <v>4</v>
      </c>
      <c r="G250" s="1" t="n">
        <v>2</v>
      </c>
      <c r="H250" s="1" t="n">
        <v>4</v>
      </c>
      <c r="I250" s="1" t="n">
        <v>4</v>
      </c>
      <c r="J250" s="1" t="n">
        <v>4</v>
      </c>
      <c r="K250" s="1" t="n">
        <v>5</v>
      </c>
      <c r="L250" s="1" t="n">
        <v>4</v>
      </c>
      <c r="M250" s="1" t="n">
        <v>5</v>
      </c>
      <c r="N250" s="1" t="n">
        <v>2</v>
      </c>
      <c r="O250" s="1" t="n">
        <v>4</v>
      </c>
      <c r="P250" s="1" t="n">
        <v>5</v>
      </c>
      <c r="Q250" s="1" t="n">
        <v>5</v>
      </c>
      <c r="R250" s="1" t="n">
        <v>2</v>
      </c>
      <c r="S250" s="1" t="n">
        <v>2</v>
      </c>
    </row>
    <row r="251">
      <c r="A251" t="inlineStr">
        <is>
          <t>Course Leader</t>
        </is>
      </c>
      <c r="B251" s="1" t="n">
        <v>2</v>
      </c>
      <c r="C251" s="1" t="n">
        <v>2</v>
      </c>
      <c r="D251" s="1" t="n">
        <v>3</v>
      </c>
      <c r="E251" s="1" t="n">
        <v>4</v>
      </c>
      <c r="F251" s="1" t="n">
        <v>4</v>
      </c>
      <c r="G251" s="1" t="n">
        <v>5</v>
      </c>
      <c r="H251" s="1" t="n">
        <v>5</v>
      </c>
      <c r="I251" s="1" t="n">
        <v>5</v>
      </c>
      <c r="J251" s="1" t="n">
        <v>5</v>
      </c>
      <c r="K251" s="1" t="n">
        <v>5</v>
      </c>
      <c r="L251" s="1" t="n">
        <v>3</v>
      </c>
      <c r="M251" s="1" t="n">
        <v>3</v>
      </c>
      <c r="N251" s="1" t="n">
        <v>1</v>
      </c>
      <c r="O251" s="1" t="n">
        <v>4</v>
      </c>
      <c r="P251" s="1" t="n">
        <v>5</v>
      </c>
      <c r="Q251" s="1" t="n">
        <v>5</v>
      </c>
      <c r="R251" s="1" t="n">
        <v>5</v>
      </c>
      <c r="S251" s="1" t="n">
        <v>4</v>
      </c>
    </row>
    <row r="252">
      <c r="A252" t="inlineStr">
        <is>
          <t>Student</t>
        </is>
      </c>
      <c r="B252" s="1" t="n">
        <v>4</v>
      </c>
      <c r="C252" s="1" t="n">
        <v>5</v>
      </c>
      <c r="D252" s="1" t="n">
        <v>5</v>
      </c>
      <c r="E252" s="1" t="n">
        <v>5</v>
      </c>
      <c r="F252" s="1" t="n">
        <v>4</v>
      </c>
      <c r="G252" s="1" t="n">
        <v>4</v>
      </c>
      <c r="H252" s="1" t="n">
        <v>3</v>
      </c>
      <c r="I252" s="1" t="n">
        <v>4</v>
      </c>
      <c r="J252" s="1" t="n">
        <v>5</v>
      </c>
      <c r="K252" s="1" t="n">
        <v>4</v>
      </c>
      <c r="L252" s="1" t="n">
        <v>5</v>
      </c>
      <c r="M252" s="1" t="n">
        <v>4</v>
      </c>
      <c r="N252" s="1" t="n">
        <v>3</v>
      </c>
      <c r="O252" s="1" t="n">
        <v>5</v>
      </c>
      <c r="P252" s="1" t="n">
        <v>4</v>
      </c>
      <c r="Q252" s="1" t="n">
        <v>5</v>
      </c>
      <c r="R252" s="1" t="n">
        <v>2</v>
      </c>
      <c r="S252" s="1" t="n">
        <v>3</v>
      </c>
    </row>
    <row r="253">
      <c r="A253" t="inlineStr">
        <is>
          <t>Admin Assistant</t>
        </is>
      </c>
      <c r="B253" s="1" t="n">
        <v>1</v>
      </c>
      <c r="C253" s="1" t="n">
        <v>1</v>
      </c>
      <c r="D253" s="1" t="n">
        <v>1</v>
      </c>
      <c r="E253" s="1" t="n">
        <v>1</v>
      </c>
      <c r="F253" s="1" t="n">
        <v>1</v>
      </c>
      <c r="G253" s="1" t="n">
        <v>1</v>
      </c>
      <c r="H253" s="1" t="n">
        <v>2</v>
      </c>
      <c r="I253" s="1" t="n">
        <v>1</v>
      </c>
      <c r="J253" s="1" t="n">
        <v>3</v>
      </c>
      <c r="K253" s="1" t="n">
        <v>1</v>
      </c>
      <c r="L253" s="1" t="n">
        <v>1</v>
      </c>
      <c r="M253" s="1" t="n">
        <v>2</v>
      </c>
      <c r="N253" s="1" t="n">
        <v>4</v>
      </c>
      <c r="O253" s="1" t="n">
        <v>4</v>
      </c>
      <c r="P253" s="1" t="n">
        <v>2</v>
      </c>
      <c r="Q253" s="1" t="n">
        <v>2</v>
      </c>
      <c r="R253" s="1" t="n">
        <v>1</v>
      </c>
      <c r="S253" s="1" t="n">
        <v>2</v>
      </c>
    </row>
    <row r="254">
      <c r="A254" t="inlineStr">
        <is>
          <t>Course Leader</t>
        </is>
      </c>
      <c r="B254" s="1" t="n">
        <v>3</v>
      </c>
      <c r="C254" s="1" t="n">
        <v>2</v>
      </c>
      <c r="D254" s="1" t="n">
        <v>2</v>
      </c>
      <c r="E254" s="1" t="n">
        <v>2</v>
      </c>
      <c r="F254" s="1" t="n">
        <v>2</v>
      </c>
      <c r="G254" s="1" t="n">
        <v>5</v>
      </c>
      <c r="H254" s="1" t="n">
        <v>5</v>
      </c>
      <c r="I254" s="1" t="n">
        <v>5</v>
      </c>
      <c r="J254" s="1" t="n">
        <v>5</v>
      </c>
      <c r="K254" s="1" t="n">
        <v>4</v>
      </c>
      <c r="L254" s="1" t="n">
        <v>4</v>
      </c>
      <c r="M254" s="1" t="n">
        <v>4</v>
      </c>
      <c r="N254" s="1" t="n">
        <v>4</v>
      </c>
      <c r="O254" s="1" t="n">
        <v>3</v>
      </c>
      <c r="P254" s="1" t="n">
        <v>4</v>
      </c>
      <c r="Q254" s="1" t="n">
        <v>3</v>
      </c>
      <c r="R254" s="1" t="n">
        <v>5</v>
      </c>
      <c r="S254" s="1" t="n">
        <v>3</v>
      </c>
    </row>
    <row r="255">
      <c r="A255" t="inlineStr">
        <is>
          <t>Student</t>
        </is>
      </c>
      <c r="B255" s="1" t="n">
        <v>5</v>
      </c>
      <c r="C255" s="1" t="n">
        <v>5</v>
      </c>
      <c r="D255" s="1" t="n">
        <v>4</v>
      </c>
      <c r="E255" s="1" t="n">
        <v>5</v>
      </c>
      <c r="F255" s="1" t="n">
        <v>4</v>
      </c>
      <c r="G255" s="1" t="n">
        <v>5</v>
      </c>
      <c r="H255" s="1" t="n">
        <v>5</v>
      </c>
      <c r="I255" s="1" t="n">
        <v>5</v>
      </c>
      <c r="J255" s="1" t="n">
        <v>3</v>
      </c>
      <c r="K255" s="1" t="n">
        <v>5</v>
      </c>
      <c r="L255" s="1" t="n">
        <v>3</v>
      </c>
      <c r="M255" s="1" t="n">
        <v>4</v>
      </c>
      <c r="N255" s="1" t="n">
        <v>4</v>
      </c>
      <c r="O255" s="1" t="n">
        <v>5</v>
      </c>
      <c r="P255" s="1" t="n">
        <v>5</v>
      </c>
      <c r="Q255" s="1" t="n">
        <v>4</v>
      </c>
      <c r="R255" s="1" t="n">
        <v>5</v>
      </c>
      <c r="S255" s="1" t="n">
        <v>2</v>
      </c>
    </row>
    <row r="256">
      <c r="A256" t="inlineStr">
        <is>
          <t>Admin Assistant</t>
        </is>
      </c>
      <c r="B256" s="1" t="n">
        <v>1</v>
      </c>
      <c r="C256" s="1" t="n">
        <v>1</v>
      </c>
      <c r="D256" s="1" t="n">
        <v>2</v>
      </c>
      <c r="E256" s="1" t="n">
        <v>2</v>
      </c>
      <c r="F256" s="1" t="n">
        <v>1</v>
      </c>
      <c r="G256" s="1" t="n">
        <v>5</v>
      </c>
      <c r="H256" s="1" t="n">
        <v>1</v>
      </c>
      <c r="I256" s="1" t="n">
        <v>2</v>
      </c>
      <c r="J256" s="1" t="n">
        <v>3</v>
      </c>
      <c r="K256" s="1" t="n">
        <v>2</v>
      </c>
      <c r="L256" s="1" t="n">
        <v>2</v>
      </c>
      <c r="M256" s="1" t="n">
        <v>3</v>
      </c>
      <c r="N256" s="1" t="n">
        <v>3</v>
      </c>
      <c r="O256" s="1" t="n">
        <v>1</v>
      </c>
      <c r="P256" s="1" t="n">
        <v>4</v>
      </c>
      <c r="Q256" s="1" t="n">
        <v>4</v>
      </c>
      <c r="R256" s="1" t="n">
        <v>3</v>
      </c>
      <c r="S256" s="1" t="n">
        <v>2</v>
      </c>
    </row>
    <row r="257">
      <c r="A257" t="inlineStr">
        <is>
          <t>Student</t>
        </is>
      </c>
      <c r="B257" s="1" t="n">
        <v>5</v>
      </c>
      <c r="C257" s="1" t="n">
        <v>5</v>
      </c>
      <c r="D257" s="1" t="n">
        <v>4</v>
      </c>
      <c r="E257" s="1" t="n">
        <v>5</v>
      </c>
      <c r="F257" s="1" t="n">
        <v>3</v>
      </c>
      <c r="G257" s="1" t="n">
        <v>5</v>
      </c>
      <c r="H257" s="1" t="n">
        <v>4</v>
      </c>
      <c r="I257" s="1" t="n">
        <v>5</v>
      </c>
      <c r="J257" s="1" t="n">
        <v>4</v>
      </c>
      <c r="K257" s="1" t="n">
        <v>4</v>
      </c>
      <c r="L257" s="1" t="n">
        <v>5</v>
      </c>
      <c r="M257" s="1" t="n">
        <v>4</v>
      </c>
      <c r="N257" s="1" t="n">
        <v>5</v>
      </c>
      <c r="O257" s="1" t="n">
        <v>3</v>
      </c>
      <c r="P257" s="1" t="n">
        <v>4</v>
      </c>
      <c r="Q257" s="1" t="n">
        <v>5</v>
      </c>
      <c r="R257" s="1" t="n">
        <v>2</v>
      </c>
      <c r="S257" s="1" t="n">
        <v>3</v>
      </c>
    </row>
    <row r="258">
      <c r="A258" t="inlineStr">
        <is>
          <t>Demonstrator</t>
        </is>
      </c>
      <c r="B258" s="1" t="n">
        <v>4</v>
      </c>
      <c r="C258" s="1" t="n">
        <v>2</v>
      </c>
      <c r="D258" s="1" t="n">
        <v>2</v>
      </c>
      <c r="E258" s="1" t="n">
        <v>4</v>
      </c>
      <c r="F258" s="1" t="n">
        <v>3</v>
      </c>
      <c r="G258" s="1" t="n">
        <v>5</v>
      </c>
      <c r="H258" s="1" t="n">
        <v>2</v>
      </c>
      <c r="I258" s="1" t="n">
        <v>4</v>
      </c>
      <c r="J258" s="1" t="n">
        <v>3</v>
      </c>
      <c r="K258" s="1" t="n">
        <v>2</v>
      </c>
      <c r="L258" s="1" t="n">
        <v>3</v>
      </c>
      <c r="M258" s="1" t="n">
        <v>4</v>
      </c>
      <c r="N258" s="1" t="n">
        <v>3</v>
      </c>
      <c r="O258" s="1" t="n">
        <v>5</v>
      </c>
      <c r="P258" s="1" t="n">
        <v>4</v>
      </c>
      <c r="Q258" s="1" t="n">
        <v>4</v>
      </c>
      <c r="R258" s="1" t="n">
        <v>4</v>
      </c>
      <c r="S258" s="1" t="n">
        <v>2</v>
      </c>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row>
    <row r="100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row>
    <row r="1003">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row>
    <row r="1004">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row>
  </sheetData>
  <mergeCells count="3">
    <mergeCell ref="B2:S2"/>
    <mergeCell ref="A2:A3"/>
    <mergeCell ref="A1:S1"/>
  </mergeCells>
  <dataValidations count="1">
    <dataValidation sqref="B4 B5:B1004 C4:S1004" showDropDown="0" showInputMessage="1" showErrorMessage="1" allowBlank="1" errorTitle="Invalid Response" error="You must enter a number between 1 and 5, or leave the cell blank. Do not enter symbols or text._x000a_" promptTitle="Valid Entry Required" prompt="Please enter a value between 1 and 5. Leave blank if unanswered._x000a_" type="whole">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FD4D4D-26B1-DD46-A39D-51CA74012B05}">
          <x14:formula1>
            <xm:f>Stakeholders!$A$3:$A$50</xm:f>
          </x14:formula1>
          <xm:sqref>A4:A258</xm:sqref>
        </x14:dataValidation>
      </x14:dataValidations>
    </ext>
  </extLst>
</worksheet>
</file>

<file path=xl/worksheets/sheet4.xml><?xml version="1.0" encoding="utf-8"?>
<worksheet xmlns="http://schemas.openxmlformats.org/spreadsheetml/2006/main">
  <sheetPr codeName="Sheet4">
    <outlinePr summaryBelow="1" summaryRight="1"/>
    <pageSetUpPr/>
  </sheetPr>
  <dimension ref="A1:AM1004"/>
  <sheetViews>
    <sheetView topLeftCell="V1" workbookViewId="0">
      <selection activeCell="AB4" sqref="AB4"/>
    </sheetView>
  </sheetViews>
  <sheetFormatPr baseColWidth="10" defaultColWidth="8.83203125" defaultRowHeight="15"/>
  <cols>
    <col width="14.5" bestFit="1" customWidth="1" min="1" max="1"/>
    <col width="7.6640625" bestFit="1" customWidth="1" min="21" max="22"/>
    <col width="9" bestFit="1" customWidth="1" min="23" max="23"/>
    <col width="10.33203125" bestFit="1" customWidth="1" min="24" max="25"/>
    <col width="7.6640625" bestFit="1" customWidth="1" min="28" max="28"/>
    <col width="10.33203125" bestFit="1" customWidth="1" min="31" max="32"/>
    <col width="14.5" bestFit="1" customWidth="1" min="35" max="35"/>
    <col width="10.33203125" bestFit="1" customWidth="1" min="39" max="39"/>
  </cols>
  <sheetData>
    <row r="1" ht="129" customHeight="1" thickBot="1" thickTop="1">
      <c r="A1" s="88" t="inlineStr">
        <is>
          <t xml:space="preserve">Transformed Data
This sheet reshapes raw response data into a structured format for analysis.
Used as the source for aggregated calculations and charts across the workbook or you can use it for your own statistical analysis.
Do not edit manually — this sheet updates automatically based on the data and mapping sheets.
</t>
        </is>
      </c>
      <c r="B1" s="72" t="n"/>
      <c r="C1" s="72" t="n"/>
      <c r="D1" s="72" t="n"/>
      <c r="E1" s="72" t="n"/>
      <c r="F1" s="72" t="n"/>
      <c r="G1" s="72" t="n"/>
      <c r="H1" s="72" t="n"/>
      <c r="I1" s="72" t="n"/>
      <c r="J1" s="72" t="n"/>
      <c r="K1" s="72" t="n"/>
      <c r="L1" s="72" t="n"/>
      <c r="M1" s="72" t="n"/>
      <c r="N1" s="72" t="n"/>
      <c r="O1" s="72" t="n"/>
      <c r="P1" s="72" t="n"/>
      <c r="Q1" s="72" t="n"/>
      <c r="R1" s="72" t="n"/>
      <c r="S1" s="73" t="n"/>
      <c r="U1" s="46" t="n"/>
    </row>
    <row r="2" ht="16" customHeight="1" thickTop="1">
      <c r="A2" s="40" t="inlineStr">
        <is>
          <t>Stakeholder Type</t>
        </is>
      </c>
      <c r="B2" s="45" t="inlineStr">
        <is>
          <t>Items</t>
        </is>
      </c>
      <c r="C2" s="83" t="n"/>
      <c r="D2" s="83" t="n"/>
      <c r="E2" s="83" t="n"/>
      <c r="F2" s="83" t="n"/>
      <c r="G2" s="83" t="n"/>
      <c r="H2" s="83" t="n"/>
      <c r="I2" s="83" t="n"/>
      <c r="J2" s="83" t="n"/>
      <c r="K2" s="83" t="n"/>
      <c r="L2" s="83" t="n"/>
      <c r="M2" s="83" t="n"/>
      <c r="N2" s="83" t="n"/>
      <c r="O2" s="83" t="n"/>
      <c r="P2" s="83" t="n"/>
      <c r="Q2" s="83" t="n"/>
      <c r="R2" s="83" t="n"/>
      <c r="S2" s="92" t="n"/>
      <c r="V2" s="47" t="inlineStr">
        <is>
          <t>Factor Means Per Person</t>
        </is>
      </c>
      <c r="W2" s="93" t="n"/>
      <c r="X2" s="93" t="n"/>
      <c r="Y2" s="94" t="n"/>
      <c r="AB2" s="47" t="inlineStr">
        <is>
          <t>System XEQ Score</t>
        </is>
      </c>
      <c r="AC2" s="93" t="n"/>
      <c r="AD2" s="93" t="n"/>
      <c r="AE2" s="93" t="n"/>
      <c r="AF2" s="94" t="n"/>
      <c r="AI2" s="95" t="inlineStr">
        <is>
          <t>Stakeholder Type</t>
        </is>
      </c>
      <c r="AJ2" s="47" t="inlineStr">
        <is>
          <t>Stakeholder Scores</t>
        </is>
      </c>
      <c r="AK2" s="93" t="n"/>
      <c r="AL2" s="93" t="n"/>
      <c r="AM2" s="94" t="n"/>
    </row>
    <row r="3">
      <c r="A3" s="91" t="n"/>
      <c r="B3" s="2" t="n">
        <v>1</v>
      </c>
      <c r="C3" s="2" t="n">
        <v>2</v>
      </c>
      <c r="D3" s="2" t="n">
        <v>3</v>
      </c>
      <c r="E3" s="2" t="n">
        <v>4</v>
      </c>
      <c r="F3" s="2" t="n">
        <v>5</v>
      </c>
      <c r="G3" s="2" t="n">
        <v>6</v>
      </c>
      <c r="H3" s="2" t="n">
        <v>7</v>
      </c>
      <c r="I3" s="2" t="n">
        <v>8</v>
      </c>
      <c r="J3" s="2" t="n">
        <v>9</v>
      </c>
      <c r="K3" s="2" t="n">
        <v>10</v>
      </c>
      <c r="L3" s="2" t="n">
        <v>11</v>
      </c>
      <c r="M3" s="2" t="n">
        <v>12</v>
      </c>
      <c r="N3" s="2" t="n">
        <v>13</v>
      </c>
      <c r="O3" s="2" t="n">
        <v>14</v>
      </c>
      <c r="P3" s="2" t="n">
        <v>15</v>
      </c>
      <c r="Q3" s="2" t="n">
        <v>16</v>
      </c>
      <c r="R3" s="2" t="n">
        <v>17</v>
      </c>
      <c r="S3" s="2" t="n">
        <v>18</v>
      </c>
      <c r="V3" s="2" t="inlineStr">
        <is>
          <t>Utility</t>
        </is>
      </c>
      <c r="W3" s="2" t="inlineStr">
        <is>
          <t>Satisfaction</t>
        </is>
      </c>
      <c r="X3" s="2" t="inlineStr">
        <is>
          <t>Effectiveness</t>
        </is>
      </c>
      <c r="Y3" s="2" t="n"/>
      <c r="AB3" s="7" t="inlineStr">
        <is>
          <t>Utility</t>
        </is>
      </c>
      <c r="AC3" s="7" t="inlineStr">
        <is>
          <t>Satisfaction</t>
        </is>
      </c>
      <c r="AD3" s="7" t="inlineStr">
        <is>
          <t>Effectiveness</t>
        </is>
      </c>
      <c r="AE3" s="7" t="n"/>
      <c r="AF3" s="4" t="inlineStr">
        <is>
          <t>System</t>
        </is>
      </c>
      <c r="AI3" s="91" t="n"/>
      <c r="AJ3" s="2" t="inlineStr">
        <is>
          <t>Utility</t>
        </is>
      </c>
      <c r="AK3" s="2" t="inlineStr">
        <is>
          <t>Satisfaction</t>
        </is>
      </c>
      <c r="AL3" s="2" t="inlineStr">
        <is>
          <t>Effectiveness</t>
        </is>
      </c>
      <c r="AM3" s="2" t="n"/>
    </row>
    <row r="4">
      <c r="A4" s="1">
        <f>IF(Data!A4&gt;0,Data!A4,"")</f>
        <v/>
      </c>
      <c r="B4" s="1">
        <f>IF(Data!B4&gt;0,Data!B4,"")</f>
        <v/>
      </c>
      <c r="C4" s="1">
        <f>IF(Data!C4&gt;0,Data!C4,"")</f>
        <v/>
      </c>
      <c r="D4" s="1">
        <f>IF(Data!D4&gt;0,Data!D4,"")</f>
        <v/>
      </c>
      <c r="E4" s="1">
        <f>IF(Data!E4&gt;0,Data!E4,"")</f>
        <v/>
      </c>
      <c r="F4" s="1">
        <f>IF(Data!F4&gt;0,Data!F4,"")</f>
        <v/>
      </c>
      <c r="G4" s="1">
        <f>IF(Data!G4&gt;0,Data!G4,"")</f>
        <v/>
      </c>
      <c r="H4" s="1">
        <f>IF(Data!H4&gt;0,Data!H4,"")</f>
        <v/>
      </c>
      <c r="I4" s="1">
        <f>IF(Data!I4&gt;0,Data!I4,"")</f>
        <v/>
      </c>
      <c r="J4" s="1">
        <f>IF(Data!J4&gt;0,Data!J4,"")</f>
        <v/>
      </c>
      <c r="K4" s="1">
        <f>IF(Data!K4&gt;0,Data!K4,"")</f>
        <v/>
      </c>
      <c r="L4" s="1">
        <f>IF(Data!L4&gt;0,Data!L4,"")</f>
        <v/>
      </c>
      <c r="M4" s="1">
        <f>IF(Data!M4&gt;0,Data!M4,"")</f>
        <v/>
      </c>
      <c r="N4" s="1">
        <f>IF(Data!N4&gt;0,Data!N4,"")</f>
        <v/>
      </c>
      <c r="O4" s="1">
        <f>IF(Data!O4&gt;0,Data!O4,"")</f>
        <v/>
      </c>
      <c r="P4" s="1">
        <f>IF(Data!P4&gt;0,Data!P4,"")</f>
        <v/>
      </c>
      <c r="Q4" s="1">
        <f>IF(Data!Q4&gt;0,Data!Q4,"")</f>
        <v/>
      </c>
      <c r="R4" s="1">
        <f>IF(Data!R4&gt;0,Data!R4,"")</f>
        <v/>
      </c>
      <c r="S4" s="1">
        <f>IF(Data!S4&gt;0,Data!S4,"")</f>
        <v/>
      </c>
      <c r="V4" s="3">
        <f>IF(COUNT(D4,J4,K4,L4,M4,O4)&gt;0,AVERAGE(D4,J4,K4,L4,M4,O4),"")</f>
        <v/>
      </c>
      <c r="W4" s="3">
        <f>IF(COUNT(C4,F4,G4,N4,Q4)&gt;0,AVERAGE(C4,F4,G4,N4,Q4),"")</f>
        <v/>
      </c>
      <c r="X4" s="3">
        <f>IF(COUNT(B4,E4,H4,I4,P4,R4,S4)&gt;0,AVERAGE(B4,E4,H4,I4,P4,R4,S4),"")</f>
        <v/>
      </c>
      <c r="Y4" s="3" t="n"/>
      <c r="AB4" s="3">
        <f>AVERAGE(V4:V1004)</f>
        <v/>
      </c>
      <c r="AC4" s="3">
        <f>AVERAGE(W4:W1004)</f>
        <v/>
      </c>
      <c r="AD4" s="3">
        <f>AVERAGE(X4:X1004)</f>
        <v/>
      </c>
      <c r="AE4" s="3" t="n"/>
      <c r="AF4" s="11">
        <f>AVERAGE(AB4:AD4)</f>
        <v/>
      </c>
      <c r="AI4" s="1">
        <f t="array" ref="AI4:AI7">_xlfn._xlws.FILTER(StakeholderList, StakeholderList&lt;&gt;"")</f>
        <v/>
      </c>
      <c r="AJ4" s="3">
        <f>IFERROR(AVERAGEIF($A$4:$A$1004,AI4,$V$4:$V$1004),"")</f>
        <v/>
      </c>
      <c r="AK4" s="3">
        <f>IFERROR(AVERAGEIF($A$4:$A$1004,AI4,$W$4:$W$1004),"")</f>
        <v/>
      </c>
      <c r="AL4" s="3">
        <f>IFERROR(AVERAGEIF($A$4:$A$1004,AI4,$X$4:$X$1004),"")</f>
        <v/>
      </c>
      <c r="AM4" s="3" t="n"/>
    </row>
    <row r="5">
      <c r="A5" s="1">
        <f>IF(Data!A5&gt;0,Data!A5,"")</f>
        <v/>
      </c>
      <c r="B5" s="1">
        <f>IF(Data!B5&gt;0,Data!B5,"")</f>
        <v/>
      </c>
      <c r="C5" s="1">
        <f>IF(Data!C5&gt;0,Data!C5,"")</f>
        <v/>
      </c>
      <c r="D5" s="1">
        <f>IF(Data!D5&gt;0,Data!D5,"")</f>
        <v/>
      </c>
      <c r="E5" s="1">
        <f>IF(Data!E5&gt;0,Data!E5,"")</f>
        <v/>
      </c>
      <c r="F5" s="1">
        <f>IF(Data!F5&gt;0,Data!F5,"")</f>
        <v/>
      </c>
      <c r="G5" s="1">
        <f>IF(Data!G5&gt;0,Data!G5,"")</f>
        <v/>
      </c>
      <c r="H5" s="1">
        <f>IF(Data!H5&gt;0,Data!H5,"")</f>
        <v/>
      </c>
      <c r="I5" s="1">
        <f>IF(Data!I5&gt;0,Data!I5,"")</f>
        <v/>
      </c>
      <c r="J5" s="1">
        <f>IF(Data!J5&gt;0,Data!J5,"")</f>
        <v/>
      </c>
      <c r="K5" s="1">
        <f>IF(Data!K5&gt;0,Data!K5,"")</f>
        <v/>
      </c>
      <c r="L5" s="1">
        <f>IF(Data!L5&gt;0,Data!L5,"")</f>
        <v/>
      </c>
      <c r="M5" s="1">
        <f>IF(Data!M5&gt;0,Data!M5,"")</f>
        <v/>
      </c>
      <c r="N5" s="1">
        <f>IF(Data!N5&gt;0,Data!N5,"")</f>
        <v/>
      </c>
      <c r="O5" s="1">
        <f>IF(Data!O5&gt;0,Data!O5,"")</f>
        <v/>
      </c>
      <c r="P5" s="1">
        <f>IF(Data!P5&gt;0,Data!P5,"")</f>
        <v/>
      </c>
      <c r="Q5" s="1">
        <f>IF(Data!Q5&gt;0,Data!Q5,"")</f>
        <v/>
      </c>
      <c r="R5" s="1">
        <f>IF(Data!R5&gt;0,Data!R5,"")</f>
        <v/>
      </c>
      <c r="S5" s="1">
        <f>IF(Data!S5&gt;0,Data!S5,"")</f>
        <v/>
      </c>
      <c r="V5" s="3">
        <f>IF(COUNT(D5,J5,K5,L5,M5,O5)&gt;0,AVERAGE(D5,J5,K5,L5,M5,O5),"")</f>
        <v/>
      </c>
      <c r="W5" s="3">
        <f>IF(COUNT(C5,F5,G5,N5,Q5)&gt;0,AVERAGE(C5,F5,G5,N5,Q5),"")</f>
        <v/>
      </c>
      <c r="X5" s="3">
        <f>IF(COUNT(B5,E5,H5,I5,P5,R5,S5)&gt;0,AVERAGE(B5,E5,H5,I5,P5,R5,S5),"")</f>
        <v/>
      </c>
      <c r="Y5" s="3" t="n"/>
      <c r="AI5" s="1" t="inlineStr">
        <is>
          <t>Student</t>
        </is>
      </c>
      <c r="AJ5" s="3">
        <f>IFERROR(AVERAGEIF($A$4:$A$1004,AI5,$V$4:$V$1004),"")</f>
        <v/>
      </c>
      <c r="AK5" s="3">
        <f>IFERROR(AVERAGEIF($A$4:$A$1004,AI5,$W$4:$W$1004),"")</f>
        <v/>
      </c>
      <c r="AL5" s="3">
        <f>IFERROR(AVERAGEIF($A$4:$A$1004,AI5,$X$4:$X$1004),"")</f>
        <v/>
      </c>
      <c r="AM5" s="3" t="n"/>
    </row>
    <row r="6">
      <c r="A6" s="1">
        <f>IF(Data!A6&gt;0,Data!A6,"")</f>
        <v/>
      </c>
      <c r="B6" s="1">
        <f>IF(Data!B6&gt;0,Data!B6,"")</f>
        <v/>
      </c>
      <c r="C6" s="1">
        <f>IF(Data!C6&gt;0,Data!C6,"")</f>
        <v/>
      </c>
      <c r="D6" s="1">
        <f>IF(Data!D6&gt;0,Data!D6,"")</f>
        <v/>
      </c>
      <c r="E6" s="1">
        <f>IF(Data!E6&gt;0,Data!E6,"")</f>
        <v/>
      </c>
      <c r="F6" s="1">
        <f>IF(Data!F6&gt;0,Data!F6,"")</f>
        <v/>
      </c>
      <c r="G6" s="1">
        <f>IF(Data!G6&gt;0,Data!G6,"")</f>
        <v/>
      </c>
      <c r="H6" s="1">
        <f>IF(Data!H6&gt;0,Data!H6,"")</f>
        <v/>
      </c>
      <c r="I6" s="1">
        <f>IF(Data!I6&gt;0,Data!I6,"")</f>
        <v/>
      </c>
      <c r="J6" s="1">
        <f>IF(Data!J6&gt;0,Data!J6,"")</f>
        <v/>
      </c>
      <c r="K6" s="1">
        <f>IF(Data!K6&gt;0,Data!K6,"")</f>
        <v/>
      </c>
      <c r="L6" s="1">
        <f>IF(Data!L6&gt;0,Data!L6,"")</f>
        <v/>
      </c>
      <c r="M6" s="1">
        <f>IF(Data!M6&gt;0,Data!M6,"")</f>
        <v/>
      </c>
      <c r="N6" s="1">
        <f>IF(Data!N6&gt;0,Data!N6,"")</f>
        <v/>
      </c>
      <c r="O6" s="1">
        <f>IF(Data!O6&gt;0,Data!O6,"")</f>
        <v/>
      </c>
      <c r="P6" s="1">
        <f>IF(Data!P6&gt;0,Data!P6,"")</f>
        <v/>
      </c>
      <c r="Q6" s="1">
        <f>IF(Data!Q6&gt;0,Data!Q6,"")</f>
        <v/>
      </c>
      <c r="R6" s="1">
        <f>IF(Data!R6&gt;0,Data!R6,"")</f>
        <v/>
      </c>
      <c r="S6" s="1">
        <f>IF(Data!S6&gt;0,Data!S6,"")</f>
        <v/>
      </c>
      <c r="V6" s="3">
        <f>IF(COUNT(D6,J6,K6,L6,M6,O6)&gt;0,AVERAGE(D6,J6,K6,L6,M6,O6),"")</f>
        <v/>
      </c>
      <c r="W6" s="3">
        <f>IF(COUNT(C6,F6,G6,N6,Q6)&gt;0,AVERAGE(C6,F6,G6,N6,Q6),"")</f>
        <v/>
      </c>
      <c r="X6" s="3">
        <f>IF(COUNT(B6,E6,H6,I6,P6,R6,S6)&gt;0,AVERAGE(B6,E6,H6,I6,P6,R6,S6),"")</f>
        <v/>
      </c>
      <c r="Y6" s="3" t="n"/>
      <c r="AI6" s="1" t="inlineStr">
        <is>
          <t>Admin Assistant</t>
        </is>
      </c>
      <c r="AJ6" s="3">
        <f>IFERROR(AVERAGEIF($A$4:$A$1004,AI6,$V$4:$V$1004),"")</f>
        <v/>
      </c>
      <c r="AK6" s="3">
        <f>IFERROR(AVERAGEIF($A$4:$A$1004,AI6,$W$4:$W$1004),"")</f>
        <v/>
      </c>
      <c r="AL6" s="3">
        <f>IFERROR(AVERAGEIF($A$4:$A$1004,AI6,$X$4:$X$1004),"")</f>
        <v/>
      </c>
      <c r="AM6" s="3" t="n"/>
    </row>
    <row r="7">
      <c r="A7" s="1">
        <f>IF(Data!A7&gt;0,Data!A7,"")</f>
        <v/>
      </c>
      <c r="B7" s="1">
        <f>IF(Data!B7&gt;0,Data!B7,"")</f>
        <v/>
      </c>
      <c r="C7" s="1">
        <f>IF(Data!C7&gt;0,Data!C7,"")</f>
        <v/>
      </c>
      <c r="D7" s="1">
        <f>IF(Data!D7&gt;0,Data!D7,"")</f>
        <v/>
      </c>
      <c r="E7" s="1">
        <f>IF(Data!E7&gt;0,Data!E7,"")</f>
        <v/>
      </c>
      <c r="F7" s="1">
        <f>IF(Data!F7&gt;0,Data!F7,"")</f>
        <v/>
      </c>
      <c r="G7" s="1">
        <f>IF(Data!G7&gt;0,Data!G7,"")</f>
        <v/>
      </c>
      <c r="H7" s="1">
        <f>IF(Data!H7&gt;0,Data!H7,"")</f>
        <v/>
      </c>
      <c r="I7" s="1">
        <f>IF(Data!I7&gt;0,Data!I7,"")</f>
        <v/>
      </c>
      <c r="J7" s="1">
        <f>IF(Data!J7&gt;0,Data!J7,"")</f>
        <v/>
      </c>
      <c r="K7" s="1">
        <f>IF(Data!K7&gt;0,Data!K7,"")</f>
        <v/>
      </c>
      <c r="L7" s="1">
        <f>IF(Data!L7&gt;0,Data!L7,"")</f>
        <v/>
      </c>
      <c r="M7" s="1">
        <f>IF(Data!M7&gt;0,Data!M7,"")</f>
        <v/>
      </c>
      <c r="N7" s="1">
        <f>IF(Data!N7&gt;0,Data!N7,"")</f>
        <v/>
      </c>
      <c r="O7" s="1">
        <f>IF(Data!O7&gt;0,Data!O7,"")</f>
        <v/>
      </c>
      <c r="P7" s="1">
        <f>IF(Data!P7&gt;0,Data!P7,"")</f>
        <v/>
      </c>
      <c r="Q7" s="1">
        <f>IF(Data!Q7&gt;0,Data!Q7,"")</f>
        <v/>
      </c>
      <c r="R7" s="1">
        <f>IF(Data!R7&gt;0,Data!R7,"")</f>
        <v/>
      </c>
      <c r="S7" s="1">
        <f>IF(Data!S7&gt;0,Data!S7,"")</f>
        <v/>
      </c>
      <c r="V7" s="3">
        <f>IF(COUNT(D7,J7,K7,L7,M7,O7)&gt;0,AVERAGE(D7,J7,K7,L7,M7,O7),"")</f>
        <v/>
      </c>
      <c r="W7" s="3">
        <f>IF(COUNT(C7,F7,G7,N7,Q7)&gt;0,AVERAGE(C7,F7,G7,N7,Q7),"")</f>
        <v/>
      </c>
      <c r="X7" s="3">
        <f>IF(COUNT(B7,E7,H7,I7,P7,R7,S7)&gt;0,AVERAGE(B7,E7,H7,I7,P7,R7,S7),"")</f>
        <v/>
      </c>
      <c r="Y7" s="3" t="n"/>
      <c r="AI7" s="1" t="inlineStr">
        <is>
          <t>Demonstrator</t>
        </is>
      </c>
      <c r="AJ7" s="3">
        <f>IFERROR(AVERAGEIF($A$4:$A$1004,AI7,$V$4:$V$1004),"")</f>
        <v/>
      </c>
      <c r="AK7" s="3">
        <f>IFERROR(AVERAGEIF($A$4:$A$1004,AI7,$W$4:$W$1004),"")</f>
        <v/>
      </c>
      <c r="AL7" s="3">
        <f>IFERROR(AVERAGEIF($A$4:$A$1004,AI7,$X$4:$X$1004),"")</f>
        <v/>
      </c>
      <c r="AM7" s="3" t="n"/>
    </row>
    <row r="8">
      <c r="A8" s="1">
        <f>IF(Data!A8&gt;0,Data!A8,"")</f>
        <v/>
      </c>
      <c r="B8" s="1">
        <f>IF(Data!B8&gt;0,Data!B8,"")</f>
        <v/>
      </c>
      <c r="C8" s="1">
        <f>IF(Data!C8&gt;0,Data!C8,"")</f>
        <v/>
      </c>
      <c r="D8" s="1">
        <f>IF(Data!D8&gt;0,Data!D8,"")</f>
        <v/>
      </c>
      <c r="E8" s="1">
        <f>IF(Data!E8&gt;0,Data!E8,"")</f>
        <v/>
      </c>
      <c r="F8" s="1">
        <f>IF(Data!F8&gt;0,Data!F8,"")</f>
        <v/>
      </c>
      <c r="G8" s="1">
        <f>IF(Data!G8&gt;0,Data!G8,"")</f>
        <v/>
      </c>
      <c r="H8" s="1">
        <f>IF(Data!H8&gt;0,Data!H8,"")</f>
        <v/>
      </c>
      <c r="I8" s="1">
        <f>IF(Data!I8&gt;0,Data!I8,"")</f>
        <v/>
      </c>
      <c r="J8" s="1">
        <f>IF(Data!J8&gt;0,Data!J8,"")</f>
        <v/>
      </c>
      <c r="K8" s="1">
        <f>IF(Data!K8&gt;0,Data!K8,"")</f>
        <v/>
      </c>
      <c r="L8" s="1">
        <f>IF(Data!L8&gt;0,Data!L8,"")</f>
        <v/>
      </c>
      <c r="M8" s="1">
        <f>IF(Data!M8&gt;0,Data!M8,"")</f>
        <v/>
      </c>
      <c r="N8" s="1">
        <f>IF(Data!N8&gt;0,Data!N8,"")</f>
        <v/>
      </c>
      <c r="O8" s="1">
        <f>IF(Data!O8&gt;0,Data!O8,"")</f>
        <v/>
      </c>
      <c r="P8" s="1">
        <f>IF(Data!P8&gt;0,Data!P8,"")</f>
        <v/>
      </c>
      <c r="Q8" s="1">
        <f>IF(Data!Q8&gt;0,Data!Q8,"")</f>
        <v/>
      </c>
      <c r="R8" s="1">
        <f>IF(Data!R8&gt;0,Data!R8,"")</f>
        <v/>
      </c>
      <c r="S8" s="1">
        <f>IF(Data!S8&gt;0,Data!S8,"")</f>
        <v/>
      </c>
      <c r="V8" s="3">
        <f>IF(COUNT(D8,J8,K8,L8,M8,O8)&gt;0,AVERAGE(D8,J8,K8,L8,M8,O8),"")</f>
        <v/>
      </c>
      <c r="W8" s="3">
        <f>IF(COUNT(C8,F8,G8,N8,Q8)&gt;0,AVERAGE(C8,F8,G8,N8,Q8),"")</f>
        <v/>
      </c>
      <c r="X8" s="3">
        <f>IF(COUNT(B8,E8,H8,I8,P8,R8,S8)&gt;0,AVERAGE(B8,E8,H8,I8,P8,R8,S8),"")</f>
        <v/>
      </c>
      <c r="Y8" s="3" t="n"/>
      <c r="AI8" s="1" t="n"/>
      <c r="AJ8" s="3">
        <f>IFERROR(AVERAGEIF($A$4:$A$1004,AI8,$V$4:$V$1004),"")</f>
        <v/>
      </c>
      <c r="AK8" s="3">
        <f>IFERROR(AVERAGEIF($A$4:$A$1004,AI8,$W$4:$W$1004),"")</f>
        <v/>
      </c>
      <c r="AL8" s="3">
        <f>IFERROR(AVERAGEIF($A$4:$A$1004,AI8,$X$4:$X$1004),"")</f>
        <v/>
      </c>
      <c r="AM8" s="3" t="n"/>
    </row>
    <row r="9">
      <c r="A9" s="1">
        <f>IF(Data!A9&gt;0,Data!A9,"")</f>
        <v/>
      </c>
      <c r="B9" s="1">
        <f>IF(Data!B9&gt;0,Data!B9,"")</f>
        <v/>
      </c>
      <c r="C9" s="1">
        <f>IF(Data!C9&gt;0,Data!C9,"")</f>
        <v/>
      </c>
      <c r="D9" s="1">
        <f>IF(Data!D9&gt;0,Data!D9,"")</f>
        <v/>
      </c>
      <c r="E9" s="1">
        <f>IF(Data!E9&gt;0,Data!E9,"")</f>
        <v/>
      </c>
      <c r="F9" s="1">
        <f>IF(Data!F9&gt;0,Data!F9,"")</f>
        <v/>
      </c>
      <c r="G9" s="1">
        <f>IF(Data!G9&gt;0,Data!G9,"")</f>
        <v/>
      </c>
      <c r="H9" s="1">
        <f>IF(Data!H9&gt;0,Data!H9,"")</f>
        <v/>
      </c>
      <c r="I9" s="1">
        <f>IF(Data!I9&gt;0,Data!I9,"")</f>
        <v/>
      </c>
      <c r="J9" s="1">
        <f>IF(Data!J9&gt;0,Data!J9,"")</f>
        <v/>
      </c>
      <c r="K9" s="1">
        <f>IF(Data!K9&gt;0,Data!K9,"")</f>
        <v/>
      </c>
      <c r="L9" s="1">
        <f>IF(Data!L9&gt;0,Data!L9,"")</f>
        <v/>
      </c>
      <c r="M9" s="1">
        <f>IF(Data!M9&gt;0,Data!M9,"")</f>
        <v/>
      </c>
      <c r="N9" s="1">
        <f>IF(Data!N9&gt;0,Data!N9,"")</f>
        <v/>
      </c>
      <c r="O9" s="1">
        <f>IF(Data!O9&gt;0,Data!O9,"")</f>
        <v/>
      </c>
      <c r="P9" s="1">
        <f>IF(Data!P9&gt;0,Data!P9,"")</f>
        <v/>
      </c>
      <c r="Q9" s="1">
        <f>IF(Data!Q9&gt;0,Data!Q9,"")</f>
        <v/>
      </c>
      <c r="R9" s="1">
        <f>IF(Data!R9&gt;0,Data!R9,"")</f>
        <v/>
      </c>
      <c r="S9" s="1">
        <f>IF(Data!S9&gt;0,Data!S9,"")</f>
        <v/>
      </c>
      <c r="V9" s="3">
        <f>IF(COUNT(D9,J9,K9,L9,M9,O9)&gt;0,AVERAGE(D9,J9,K9,L9,M9,O9),"")</f>
        <v/>
      </c>
      <c r="W9" s="3">
        <f>IF(COUNT(C9,F9,G9,N9,Q9)&gt;0,AVERAGE(C9,F9,G9,N9,Q9),"")</f>
        <v/>
      </c>
      <c r="X9" s="3">
        <f>IF(COUNT(B9,E9,H9,I9,P9,R9,S9)&gt;0,AVERAGE(B9,E9,H9,I9,P9,R9,S9),"")</f>
        <v/>
      </c>
      <c r="Y9" s="3" t="n"/>
      <c r="AI9" s="1" t="n"/>
      <c r="AJ9" s="3">
        <f>IFERROR(AVERAGEIF($A$4:$A$1004,AI9,$V$4:$V$1004),"")</f>
        <v/>
      </c>
      <c r="AK9" s="3">
        <f>IFERROR(AVERAGEIF($A$4:$A$1004,AI9,$W$4:$W$1004),"")</f>
        <v/>
      </c>
      <c r="AL9" s="3">
        <f>IFERROR(AVERAGEIF($A$4:$A$1004,AI9,$X$4:$X$1004),"")</f>
        <v/>
      </c>
      <c r="AM9" s="3" t="n"/>
    </row>
    <row r="10">
      <c r="A10" s="1">
        <f>IF(Data!A10&gt;0,Data!A10,"")</f>
        <v/>
      </c>
      <c r="B10" s="1">
        <f>IF(Data!B10&gt;0,Data!B10,"")</f>
        <v/>
      </c>
      <c r="C10" s="1">
        <f>IF(Data!C10&gt;0,Data!C10,"")</f>
        <v/>
      </c>
      <c r="D10" s="1">
        <f>IF(Data!D10&gt;0,Data!D10,"")</f>
        <v/>
      </c>
      <c r="E10" s="1">
        <f>IF(Data!E10&gt;0,Data!E10,"")</f>
        <v/>
      </c>
      <c r="F10" s="1">
        <f>IF(Data!F10&gt;0,Data!F10,"")</f>
        <v/>
      </c>
      <c r="G10" s="1">
        <f>IF(Data!G10&gt;0,Data!G10,"")</f>
        <v/>
      </c>
      <c r="H10" s="1">
        <f>IF(Data!H10&gt;0,Data!H10,"")</f>
        <v/>
      </c>
      <c r="I10" s="1">
        <f>IF(Data!I10&gt;0,Data!I10,"")</f>
        <v/>
      </c>
      <c r="J10" s="1">
        <f>IF(Data!J10&gt;0,Data!J10,"")</f>
        <v/>
      </c>
      <c r="K10" s="1">
        <f>IF(Data!K10&gt;0,Data!K10,"")</f>
        <v/>
      </c>
      <c r="L10" s="1">
        <f>IF(Data!L10&gt;0,Data!L10,"")</f>
        <v/>
      </c>
      <c r="M10" s="1">
        <f>IF(Data!M10&gt;0,Data!M10,"")</f>
        <v/>
      </c>
      <c r="N10" s="1">
        <f>IF(Data!N10&gt;0,Data!N10,"")</f>
        <v/>
      </c>
      <c r="O10" s="1">
        <f>IF(Data!O10&gt;0,Data!O10,"")</f>
        <v/>
      </c>
      <c r="P10" s="1">
        <f>IF(Data!P10&gt;0,Data!P10,"")</f>
        <v/>
      </c>
      <c r="Q10" s="1">
        <f>IF(Data!Q10&gt;0,Data!Q10,"")</f>
        <v/>
      </c>
      <c r="R10" s="1">
        <f>IF(Data!R10&gt;0,Data!R10,"")</f>
        <v/>
      </c>
      <c r="S10" s="1">
        <f>IF(Data!S10&gt;0,Data!S10,"")</f>
        <v/>
      </c>
      <c r="V10" s="3">
        <f>IF(COUNT(D10,J10,K10,L10,M10,O10)&gt;0,AVERAGE(D10,J10,K10,L10,M10,O10),"")</f>
        <v/>
      </c>
      <c r="W10" s="3">
        <f>IF(COUNT(C10,F10,G10,N10,Q10)&gt;0,AVERAGE(C10,F10,G10,N10,Q10),"")</f>
        <v/>
      </c>
      <c r="X10" s="3">
        <f>IF(COUNT(B10,E10,H10,I10,P10,R10,S10)&gt;0,AVERAGE(B10,E10,H10,I10,P10,R10,S10),"")</f>
        <v/>
      </c>
      <c r="Y10" s="3" t="n"/>
      <c r="AI10" s="1" t="n"/>
      <c r="AJ10" s="3">
        <f>IFERROR(AVERAGEIF($A$4:$A$1004,AI10,$V$4:$V$1004),"")</f>
        <v/>
      </c>
      <c r="AK10" s="3">
        <f>IFERROR(AVERAGEIF($A$4:$A$1004,AI10,$W$4:$W$1004),"")</f>
        <v/>
      </c>
      <c r="AL10" s="3">
        <f>IFERROR(AVERAGEIF($A$4:$A$1004,AI10,$X$4:$X$1004),"")</f>
        <v/>
      </c>
      <c r="AM10" s="3" t="n"/>
    </row>
    <row r="11">
      <c r="A11" s="1">
        <f>IF(Data!A11&gt;0,Data!A11,"")</f>
        <v/>
      </c>
      <c r="B11" s="1">
        <f>IF(Data!B11&gt;0,Data!B11,"")</f>
        <v/>
      </c>
      <c r="C11" s="1">
        <f>IF(Data!C11&gt;0,Data!C11,"")</f>
        <v/>
      </c>
      <c r="D11" s="1">
        <f>IF(Data!D11&gt;0,Data!D11,"")</f>
        <v/>
      </c>
      <c r="E11" s="1">
        <f>IF(Data!E11&gt;0,Data!E11,"")</f>
        <v/>
      </c>
      <c r="F11" s="1">
        <f>IF(Data!F11&gt;0,Data!F11,"")</f>
        <v/>
      </c>
      <c r="G11" s="1">
        <f>IF(Data!G11&gt;0,Data!G11,"")</f>
        <v/>
      </c>
      <c r="H11" s="1">
        <f>IF(Data!H11&gt;0,Data!H11,"")</f>
        <v/>
      </c>
      <c r="I11" s="1">
        <f>IF(Data!I11&gt;0,Data!I11,"")</f>
        <v/>
      </c>
      <c r="J11" s="1">
        <f>IF(Data!J11&gt;0,Data!J11,"")</f>
        <v/>
      </c>
      <c r="K11" s="1">
        <f>IF(Data!K11&gt;0,Data!K11,"")</f>
        <v/>
      </c>
      <c r="L11" s="1">
        <f>IF(Data!L11&gt;0,Data!L11,"")</f>
        <v/>
      </c>
      <c r="M11" s="1">
        <f>IF(Data!M11&gt;0,Data!M11,"")</f>
        <v/>
      </c>
      <c r="N11" s="1">
        <f>IF(Data!N11&gt;0,Data!N11,"")</f>
        <v/>
      </c>
      <c r="O11" s="1">
        <f>IF(Data!O11&gt;0,Data!O11,"")</f>
        <v/>
      </c>
      <c r="P11" s="1">
        <f>IF(Data!P11&gt;0,Data!P11,"")</f>
        <v/>
      </c>
      <c r="Q11" s="1">
        <f>IF(Data!Q11&gt;0,Data!Q11,"")</f>
        <v/>
      </c>
      <c r="R11" s="1">
        <f>IF(Data!R11&gt;0,Data!R11,"")</f>
        <v/>
      </c>
      <c r="S11" s="1">
        <f>IF(Data!S11&gt;0,Data!S11,"")</f>
        <v/>
      </c>
      <c r="V11" s="3">
        <f>IF(COUNT(D11,J11,K11,L11,M11,O11)&gt;0,AVERAGE(D11,J11,K11,L11,M11,O11),"")</f>
        <v/>
      </c>
      <c r="W11" s="3">
        <f>IF(COUNT(C11,F11,G11,N11,Q11)&gt;0,AVERAGE(C11,F11,G11,N11,Q11),"")</f>
        <v/>
      </c>
      <c r="X11" s="3">
        <f>IF(COUNT(B11,E11,H11,I11,P11,R11,S11)&gt;0,AVERAGE(B11,E11,H11,I11,P11,R11,S11),"")</f>
        <v/>
      </c>
      <c r="Y11" s="3" t="n"/>
      <c r="AI11" s="1" t="n"/>
      <c r="AJ11" s="3">
        <f>IFERROR(AVERAGEIF($A$4:$A$1004,AI11,$V$4:$V$1004),"")</f>
        <v/>
      </c>
      <c r="AK11" s="3">
        <f>IFERROR(AVERAGEIF($A$4:$A$1004,AI11,$W$4:$W$1004),"")</f>
        <v/>
      </c>
      <c r="AL11" s="3">
        <f>IFERROR(AVERAGEIF($A$4:$A$1004,AI11,$X$4:$X$1004),"")</f>
        <v/>
      </c>
      <c r="AM11" s="3" t="n"/>
    </row>
    <row r="12">
      <c r="A12" s="1">
        <f>IF(Data!A12&gt;0,Data!A12,"")</f>
        <v/>
      </c>
      <c r="B12" s="1">
        <f>IF(Data!B12&gt;0,Data!B12,"")</f>
        <v/>
      </c>
      <c r="C12" s="1">
        <f>IF(Data!C12&gt;0,Data!C12,"")</f>
        <v/>
      </c>
      <c r="D12" s="1">
        <f>IF(Data!D12&gt;0,Data!D12,"")</f>
        <v/>
      </c>
      <c r="E12" s="1">
        <f>IF(Data!E12&gt;0,Data!E12,"")</f>
        <v/>
      </c>
      <c r="F12" s="1">
        <f>IF(Data!F12&gt;0,Data!F12,"")</f>
        <v/>
      </c>
      <c r="G12" s="1">
        <f>IF(Data!G12&gt;0,Data!G12,"")</f>
        <v/>
      </c>
      <c r="H12" s="1">
        <f>IF(Data!H12&gt;0,Data!H12,"")</f>
        <v/>
      </c>
      <c r="I12" s="1">
        <f>IF(Data!I12&gt;0,Data!I12,"")</f>
        <v/>
      </c>
      <c r="J12" s="1">
        <f>IF(Data!J12&gt;0,Data!J12,"")</f>
        <v/>
      </c>
      <c r="K12" s="1">
        <f>IF(Data!K12&gt;0,Data!K12,"")</f>
        <v/>
      </c>
      <c r="L12" s="1">
        <f>IF(Data!L12&gt;0,Data!L12,"")</f>
        <v/>
      </c>
      <c r="M12" s="1">
        <f>IF(Data!M12&gt;0,Data!M12,"")</f>
        <v/>
      </c>
      <c r="N12" s="1">
        <f>IF(Data!N12&gt;0,Data!N12,"")</f>
        <v/>
      </c>
      <c r="O12" s="1">
        <f>IF(Data!O12&gt;0,Data!O12,"")</f>
        <v/>
      </c>
      <c r="P12" s="1">
        <f>IF(Data!P12&gt;0,Data!P12,"")</f>
        <v/>
      </c>
      <c r="Q12" s="1">
        <f>IF(Data!Q12&gt;0,Data!Q12,"")</f>
        <v/>
      </c>
      <c r="R12" s="1">
        <f>IF(Data!R12&gt;0,Data!R12,"")</f>
        <v/>
      </c>
      <c r="S12" s="1">
        <f>IF(Data!S12&gt;0,Data!S12,"")</f>
        <v/>
      </c>
      <c r="V12" s="3">
        <f>IF(COUNT(D12,J12,K12,L12,M12,O12)&gt;0,AVERAGE(D12,J12,K12,L12,M12,O12),"")</f>
        <v/>
      </c>
      <c r="W12" s="3">
        <f>IF(COUNT(C12,F12,G12,N12,Q12)&gt;0,AVERAGE(C12,F12,G12,N12,Q12),"")</f>
        <v/>
      </c>
      <c r="X12" s="3">
        <f>IF(COUNT(B12,E12,H12,I12,P12,R12,S12)&gt;0,AVERAGE(B12,E12,H12,I12,P12,R12,S12),"")</f>
        <v/>
      </c>
      <c r="Y12" s="3" t="n"/>
      <c r="AI12" s="1" t="n"/>
      <c r="AJ12" s="3">
        <f>IFERROR(AVERAGEIF($A$4:$A$1004,AI12,$V$4:$V$1004),"")</f>
        <v/>
      </c>
      <c r="AK12" s="3">
        <f>IFERROR(AVERAGEIF($A$4:$A$1004,AI12,$W$4:$W$1004),"")</f>
        <v/>
      </c>
      <c r="AL12" s="3">
        <f>IFERROR(AVERAGEIF($A$4:$A$1004,AI12,$X$4:$X$1004),"")</f>
        <v/>
      </c>
      <c r="AM12" s="3" t="n"/>
    </row>
    <row r="13">
      <c r="A13" s="1">
        <f>IF(Data!A13&gt;0,Data!A13,"")</f>
        <v/>
      </c>
      <c r="B13" s="1">
        <f>IF(Data!B13&gt;0,Data!B13,"")</f>
        <v/>
      </c>
      <c r="C13" s="1">
        <f>IF(Data!C13&gt;0,Data!C13,"")</f>
        <v/>
      </c>
      <c r="D13" s="1">
        <f>IF(Data!D13&gt;0,Data!D13,"")</f>
        <v/>
      </c>
      <c r="E13" s="1">
        <f>IF(Data!E13&gt;0,Data!E13,"")</f>
        <v/>
      </c>
      <c r="F13" s="1">
        <f>IF(Data!F13&gt;0,Data!F13,"")</f>
        <v/>
      </c>
      <c r="G13" s="1">
        <f>IF(Data!G13&gt;0,Data!G13,"")</f>
        <v/>
      </c>
      <c r="H13" s="1">
        <f>IF(Data!H13&gt;0,Data!H13,"")</f>
        <v/>
      </c>
      <c r="I13" s="1">
        <f>IF(Data!I13&gt;0,Data!I13,"")</f>
        <v/>
      </c>
      <c r="J13" s="1">
        <f>IF(Data!J13&gt;0,Data!J13,"")</f>
        <v/>
      </c>
      <c r="K13" s="1">
        <f>IF(Data!K13&gt;0,Data!K13,"")</f>
        <v/>
      </c>
      <c r="L13" s="1">
        <f>IF(Data!L13&gt;0,Data!L13,"")</f>
        <v/>
      </c>
      <c r="M13" s="1">
        <f>IF(Data!M13&gt;0,Data!M13,"")</f>
        <v/>
      </c>
      <c r="N13" s="1">
        <f>IF(Data!N13&gt;0,Data!N13,"")</f>
        <v/>
      </c>
      <c r="O13" s="1">
        <f>IF(Data!O13&gt;0,Data!O13,"")</f>
        <v/>
      </c>
      <c r="P13" s="1">
        <f>IF(Data!P13&gt;0,Data!P13,"")</f>
        <v/>
      </c>
      <c r="Q13" s="1">
        <f>IF(Data!Q13&gt;0,Data!Q13,"")</f>
        <v/>
      </c>
      <c r="R13" s="1">
        <f>IF(Data!R13&gt;0,Data!R13,"")</f>
        <v/>
      </c>
      <c r="S13" s="1">
        <f>IF(Data!S13&gt;0,Data!S13,"")</f>
        <v/>
      </c>
      <c r="V13" s="3">
        <f>IF(COUNT(D13,J13,K13,L13,M13,O13)&gt;0,AVERAGE(D13,J13,K13,L13,M13,O13),"")</f>
        <v/>
      </c>
      <c r="W13" s="3">
        <f>IF(COUNT(C13,F13,G13,N13,Q13)&gt;0,AVERAGE(C13,F13,G13,N13,Q13),"")</f>
        <v/>
      </c>
      <c r="X13" s="3">
        <f>IF(COUNT(B13,E13,H13,I13,P13,R13,S13)&gt;0,AVERAGE(B13,E13,H13,I13,P13,R13,S13),"")</f>
        <v/>
      </c>
      <c r="Y13" s="3" t="n"/>
      <c r="AI13" s="1" t="n"/>
      <c r="AJ13" s="3">
        <f>IFERROR(AVERAGEIF($A$4:$A$1004,AI13,$V$4:$V$1004),"")</f>
        <v/>
      </c>
      <c r="AK13" s="3">
        <f>IFERROR(AVERAGEIF($A$4:$A$1004,AI13,$W$4:$W$1004),"")</f>
        <v/>
      </c>
      <c r="AL13" s="3">
        <f>IFERROR(AVERAGEIF($A$4:$A$1004,AI13,$X$4:$X$1004),"")</f>
        <v/>
      </c>
      <c r="AM13" s="3" t="n"/>
    </row>
    <row r="14">
      <c r="A14" s="1">
        <f>IF(Data!A14&gt;0,Data!A14,"")</f>
        <v/>
      </c>
      <c r="B14" s="1">
        <f>IF(Data!B14&gt;0,Data!B14,"")</f>
        <v/>
      </c>
      <c r="C14" s="1">
        <f>IF(Data!C14&gt;0,Data!C14,"")</f>
        <v/>
      </c>
      <c r="D14" s="1">
        <f>IF(Data!D14&gt;0,Data!D14,"")</f>
        <v/>
      </c>
      <c r="E14" s="1">
        <f>IF(Data!E14&gt;0,Data!E14,"")</f>
        <v/>
      </c>
      <c r="F14" s="1">
        <f>IF(Data!F14&gt;0,Data!F14,"")</f>
        <v/>
      </c>
      <c r="G14" s="1">
        <f>IF(Data!G14&gt;0,Data!G14,"")</f>
        <v/>
      </c>
      <c r="H14" s="1">
        <f>IF(Data!H14&gt;0,Data!H14,"")</f>
        <v/>
      </c>
      <c r="I14" s="1">
        <f>IF(Data!I14&gt;0,Data!I14,"")</f>
        <v/>
      </c>
      <c r="J14" s="1">
        <f>IF(Data!J14&gt;0,Data!J14,"")</f>
        <v/>
      </c>
      <c r="K14" s="1">
        <f>IF(Data!K14&gt;0,Data!K14,"")</f>
        <v/>
      </c>
      <c r="L14" s="1">
        <f>IF(Data!L14&gt;0,Data!L14,"")</f>
        <v/>
      </c>
      <c r="M14" s="1">
        <f>IF(Data!M14&gt;0,Data!M14,"")</f>
        <v/>
      </c>
      <c r="N14" s="1">
        <f>IF(Data!N14&gt;0,Data!N14,"")</f>
        <v/>
      </c>
      <c r="O14" s="1">
        <f>IF(Data!O14&gt;0,Data!O14,"")</f>
        <v/>
      </c>
      <c r="P14" s="1">
        <f>IF(Data!P14&gt;0,Data!P14,"")</f>
        <v/>
      </c>
      <c r="Q14" s="1">
        <f>IF(Data!Q14&gt;0,Data!Q14,"")</f>
        <v/>
      </c>
      <c r="R14" s="1">
        <f>IF(Data!R14&gt;0,Data!R14,"")</f>
        <v/>
      </c>
      <c r="S14" s="1">
        <f>IF(Data!S14&gt;0,Data!S14,"")</f>
        <v/>
      </c>
      <c r="V14" s="3">
        <f>IF(COUNT(D14,J14,K14,L14,M14,O14)&gt;0,AVERAGE(D14,J14,K14,L14,M14,O14),"")</f>
        <v/>
      </c>
      <c r="W14" s="3">
        <f>IF(COUNT(C14,F14,G14,N14,Q14)&gt;0,AVERAGE(C14,F14,G14,N14,Q14),"")</f>
        <v/>
      </c>
      <c r="X14" s="3">
        <f>IF(COUNT(B14,E14,H14,I14,P14,R14,S14)&gt;0,AVERAGE(B14,E14,H14,I14,P14,R14,S14),"")</f>
        <v/>
      </c>
      <c r="Y14" s="3" t="n"/>
      <c r="AI14" s="1" t="n"/>
      <c r="AJ14" s="3">
        <f>IFERROR(AVERAGEIF($A$4:$A$1004,AI14,$V$4:$V$1004),"")</f>
        <v/>
      </c>
      <c r="AK14" s="3">
        <f>IFERROR(AVERAGEIF($A$4:$A$1004,AI14,$W$4:$W$1004),"")</f>
        <v/>
      </c>
      <c r="AL14" s="3">
        <f>IFERROR(AVERAGEIF($A$4:$A$1004,AI14,$X$4:$X$1004),"")</f>
        <v/>
      </c>
      <c r="AM14" s="3" t="n"/>
    </row>
    <row r="15">
      <c r="A15" s="1">
        <f>IF(Data!A15&gt;0,Data!A15,"")</f>
        <v/>
      </c>
      <c r="B15" s="1">
        <f>IF(Data!B15&gt;0,Data!B15,"")</f>
        <v/>
      </c>
      <c r="C15" s="1">
        <f>IF(Data!C15&gt;0,Data!C15,"")</f>
        <v/>
      </c>
      <c r="D15" s="1">
        <f>IF(Data!D15&gt;0,Data!D15,"")</f>
        <v/>
      </c>
      <c r="E15" s="1">
        <f>IF(Data!E15&gt;0,Data!E15,"")</f>
        <v/>
      </c>
      <c r="F15" s="1">
        <f>IF(Data!F15&gt;0,Data!F15,"")</f>
        <v/>
      </c>
      <c r="G15" s="1">
        <f>IF(Data!G15&gt;0,Data!G15,"")</f>
        <v/>
      </c>
      <c r="H15" s="1">
        <f>IF(Data!H15&gt;0,Data!H15,"")</f>
        <v/>
      </c>
      <c r="I15" s="1">
        <f>IF(Data!I15&gt;0,Data!I15,"")</f>
        <v/>
      </c>
      <c r="J15" s="1">
        <f>IF(Data!J15&gt;0,Data!J15,"")</f>
        <v/>
      </c>
      <c r="K15" s="1">
        <f>IF(Data!K15&gt;0,Data!K15,"")</f>
        <v/>
      </c>
      <c r="L15" s="1">
        <f>IF(Data!L15&gt;0,Data!L15,"")</f>
        <v/>
      </c>
      <c r="M15" s="1">
        <f>IF(Data!M15&gt;0,Data!M15,"")</f>
        <v/>
      </c>
      <c r="N15" s="1">
        <f>IF(Data!N15&gt;0,Data!N15,"")</f>
        <v/>
      </c>
      <c r="O15" s="1">
        <f>IF(Data!O15&gt;0,Data!O15,"")</f>
        <v/>
      </c>
      <c r="P15" s="1">
        <f>IF(Data!P15&gt;0,Data!P15,"")</f>
        <v/>
      </c>
      <c r="Q15" s="1">
        <f>IF(Data!Q15&gt;0,Data!Q15,"")</f>
        <v/>
      </c>
      <c r="R15" s="1">
        <f>IF(Data!R15&gt;0,Data!R15,"")</f>
        <v/>
      </c>
      <c r="S15" s="1">
        <f>IF(Data!S15&gt;0,Data!S15,"")</f>
        <v/>
      </c>
      <c r="V15" s="3">
        <f>IF(COUNT(D15,J15,K15,L15,M15,O15)&gt;0,AVERAGE(D15,J15,K15,L15,M15,O15),"")</f>
        <v/>
      </c>
      <c r="W15" s="3">
        <f>IF(COUNT(C15,F15,G15,N15,Q15)&gt;0,AVERAGE(C15,F15,G15,N15,Q15),"")</f>
        <v/>
      </c>
      <c r="X15" s="3">
        <f>IF(COUNT(B15,E15,H15,I15,P15,R15,S15)&gt;0,AVERAGE(B15,E15,H15,I15,P15,R15,S15),"")</f>
        <v/>
      </c>
      <c r="Y15" s="3" t="n"/>
      <c r="AI15" s="1" t="n"/>
      <c r="AJ15" s="3">
        <f>IFERROR(AVERAGEIF($A$4:$A$1004,AI15,$V$4:$V$1004),"")</f>
        <v/>
      </c>
      <c r="AK15" s="3">
        <f>IFERROR(AVERAGEIF($A$4:$A$1004,AI15,$W$4:$W$1004),"")</f>
        <v/>
      </c>
      <c r="AL15" s="3">
        <f>IFERROR(AVERAGEIF($A$4:$A$1004,AI15,$X$4:$X$1004),"")</f>
        <v/>
      </c>
      <c r="AM15" s="3" t="n"/>
    </row>
    <row r="16">
      <c r="A16" s="1">
        <f>IF(Data!A16&gt;0,Data!A16,"")</f>
        <v/>
      </c>
      <c r="B16" s="1">
        <f>IF(Data!B16&gt;0,Data!B16,"")</f>
        <v/>
      </c>
      <c r="C16" s="1">
        <f>IF(Data!C16&gt;0,Data!C16,"")</f>
        <v/>
      </c>
      <c r="D16" s="1">
        <f>IF(Data!D16&gt;0,Data!D16,"")</f>
        <v/>
      </c>
      <c r="E16" s="1">
        <f>IF(Data!E16&gt;0,Data!E16,"")</f>
        <v/>
      </c>
      <c r="F16" s="1">
        <f>IF(Data!F16&gt;0,Data!F16,"")</f>
        <v/>
      </c>
      <c r="G16" s="1">
        <f>IF(Data!G16&gt;0,Data!G16,"")</f>
        <v/>
      </c>
      <c r="H16" s="1">
        <f>IF(Data!H16&gt;0,Data!H16,"")</f>
        <v/>
      </c>
      <c r="I16" s="1">
        <f>IF(Data!I16&gt;0,Data!I16,"")</f>
        <v/>
      </c>
      <c r="J16" s="1">
        <f>IF(Data!J16&gt;0,Data!J16,"")</f>
        <v/>
      </c>
      <c r="K16" s="1">
        <f>IF(Data!K16&gt;0,Data!K16,"")</f>
        <v/>
      </c>
      <c r="L16" s="1">
        <f>IF(Data!L16&gt;0,Data!L16,"")</f>
        <v/>
      </c>
      <c r="M16" s="1">
        <f>IF(Data!M16&gt;0,Data!M16,"")</f>
        <v/>
      </c>
      <c r="N16" s="1">
        <f>IF(Data!N16&gt;0,Data!N16,"")</f>
        <v/>
      </c>
      <c r="O16" s="1">
        <f>IF(Data!O16&gt;0,Data!O16,"")</f>
        <v/>
      </c>
      <c r="P16" s="1">
        <f>IF(Data!P16&gt;0,Data!P16,"")</f>
        <v/>
      </c>
      <c r="Q16" s="1">
        <f>IF(Data!Q16&gt;0,Data!Q16,"")</f>
        <v/>
      </c>
      <c r="R16" s="1">
        <f>IF(Data!R16&gt;0,Data!R16,"")</f>
        <v/>
      </c>
      <c r="S16" s="1">
        <f>IF(Data!S16&gt;0,Data!S16,"")</f>
        <v/>
      </c>
      <c r="V16" s="3">
        <f>IF(COUNT(D16,J16,K16,L16,M16,O16)&gt;0,AVERAGE(D16,J16,K16,L16,M16,O16),"")</f>
        <v/>
      </c>
      <c r="W16" s="3">
        <f>IF(COUNT(C16,F16,G16,N16,Q16)&gt;0,AVERAGE(C16,F16,G16,N16,Q16),"")</f>
        <v/>
      </c>
      <c r="X16" s="3">
        <f>IF(COUNT(B16,E16,H16,I16,P16,R16,S16)&gt;0,AVERAGE(B16,E16,H16,I16,P16,R16,S16),"")</f>
        <v/>
      </c>
      <c r="Y16" s="3" t="n"/>
      <c r="AI16" s="1" t="n"/>
      <c r="AJ16" s="3">
        <f>IFERROR(AVERAGEIF($A$4:$A$1004,AI16,$V$4:$V$1004),"")</f>
        <v/>
      </c>
      <c r="AK16" s="3">
        <f>IFERROR(AVERAGEIF($A$4:$A$1004,AI16,$W$4:$W$1004),"")</f>
        <v/>
      </c>
      <c r="AL16" s="3">
        <f>IFERROR(AVERAGEIF($A$4:$A$1004,AI16,$X$4:$X$1004),"")</f>
        <v/>
      </c>
      <c r="AM16" s="3" t="n"/>
    </row>
    <row r="17">
      <c r="A17" s="1">
        <f>IF(Data!A17&gt;0,Data!A17,"")</f>
        <v/>
      </c>
      <c r="B17" s="1">
        <f>IF(Data!B17&gt;0,Data!B17,"")</f>
        <v/>
      </c>
      <c r="C17" s="1">
        <f>IF(Data!C17&gt;0,Data!C17,"")</f>
        <v/>
      </c>
      <c r="D17" s="1">
        <f>IF(Data!D17&gt;0,Data!D17,"")</f>
        <v/>
      </c>
      <c r="E17" s="1">
        <f>IF(Data!E17&gt;0,Data!E17,"")</f>
        <v/>
      </c>
      <c r="F17" s="1">
        <f>IF(Data!F17&gt;0,Data!F17,"")</f>
        <v/>
      </c>
      <c r="G17" s="1">
        <f>IF(Data!G17&gt;0,Data!G17,"")</f>
        <v/>
      </c>
      <c r="H17" s="1">
        <f>IF(Data!H17&gt;0,Data!H17,"")</f>
        <v/>
      </c>
      <c r="I17" s="1">
        <f>IF(Data!I17&gt;0,Data!I17,"")</f>
        <v/>
      </c>
      <c r="J17" s="1">
        <f>IF(Data!J17&gt;0,Data!J17,"")</f>
        <v/>
      </c>
      <c r="K17" s="1">
        <f>IF(Data!K17&gt;0,Data!K17,"")</f>
        <v/>
      </c>
      <c r="L17" s="1">
        <f>IF(Data!L17&gt;0,Data!L17,"")</f>
        <v/>
      </c>
      <c r="M17" s="1">
        <f>IF(Data!M17&gt;0,Data!M17,"")</f>
        <v/>
      </c>
      <c r="N17" s="1">
        <f>IF(Data!N17&gt;0,Data!N17,"")</f>
        <v/>
      </c>
      <c r="O17" s="1">
        <f>IF(Data!O17&gt;0,Data!O17,"")</f>
        <v/>
      </c>
      <c r="P17" s="1">
        <f>IF(Data!P17&gt;0,Data!P17,"")</f>
        <v/>
      </c>
      <c r="Q17" s="1">
        <f>IF(Data!Q17&gt;0,Data!Q17,"")</f>
        <v/>
      </c>
      <c r="R17" s="1">
        <f>IF(Data!R17&gt;0,Data!R17,"")</f>
        <v/>
      </c>
      <c r="S17" s="1">
        <f>IF(Data!S17&gt;0,Data!S17,"")</f>
        <v/>
      </c>
      <c r="V17" s="3">
        <f>IF(COUNT(D17,J17,K17,L17,M17,O17)&gt;0,AVERAGE(D17,J17,K17,L17,M17,O17),"")</f>
        <v/>
      </c>
      <c r="W17" s="3">
        <f>IF(COUNT(C17,F17,G17,N17,Q17)&gt;0,AVERAGE(C17,F17,G17,N17,Q17),"")</f>
        <v/>
      </c>
      <c r="X17" s="3">
        <f>IF(COUNT(B17,E17,H17,I17,P17,R17,S17)&gt;0,AVERAGE(B17,E17,H17,I17,P17,R17,S17),"")</f>
        <v/>
      </c>
      <c r="Y17" s="3" t="n"/>
      <c r="AI17" s="1" t="n"/>
      <c r="AJ17" s="3">
        <f>IFERROR(AVERAGEIF($A$4:$A$1004,AI17,$V$4:$V$1004),"")</f>
        <v/>
      </c>
      <c r="AK17" s="3">
        <f>IFERROR(AVERAGEIF($A$4:$A$1004,AI17,$W$4:$W$1004),"")</f>
        <v/>
      </c>
      <c r="AL17" s="3">
        <f>IFERROR(AVERAGEIF($A$4:$A$1004,AI17,$X$4:$X$1004),"")</f>
        <v/>
      </c>
      <c r="AM17" s="3" t="n"/>
    </row>
    <row r="18">
      <c r="A18" s="1">
        <f>IF(Data!A18&gt;0,Data!A18,"")</f>
        <v/>
      </c>
      <c r="B18" s="1">
        <f>IF(Data!B18&gt;0,Data!B18,"")</f>
        <v/>
      </c>
      <c r="C18" s="1">
        <f>IF(Data!C18&gt;0,Data!C18,"")</f>
        <v/>
      </c>
      <c r="D18" s="1">
        <f>IF(Data!D18&gt;0,Data!D18,"")</f>
        <v/>
      </c>
      <c r="E18" s="1">
        <f>IF(Data!E18&gt;0,Data!E18,"")</f>
        <v/>
      </c>
      <c r="F18" s="1">
        <f>IF(Data!F18&gt;0,Data!F18,"")</f>
        <v/>
      </c>
      <c r="G18" s="1">
        <f>IF(Data!G18&gt;0,Data!G18,"")</f>
        <v/>
      </c>
      <c r="H18" s="1">
        <f>IF(Data!H18&gt;0,Data!H18,"")</f>
        <v/>
      </c>
      <c r="I18" s="1">
        <f>IF(Data!I18&gt;0,Data!I18,"")</f>
        <v/>
      </c>
      <c r="J18" s="1">
        <f>IF(Data!J18&gt;0,Data!J18,"")</f>
        <v/>
      </c>
      <c r="K18" s="1">
        <f>IF(Data!K18&gt;0,Data!K18,"")</f>
        <v/>
      </c>
      <c r="L18" s="1">
        <f>IF(Data!L18&gt;0,Data!L18,"")</f>
        <v/>
      </c>
      <c r="M18" s="1">
        <f>IF(Data!M18&gt;0,Data!M18,"")</f>
        <v/>
      </c>
      <c r="N18" s="1">
        <f>IF(Data!N18&gt;0,Data!N18,"")</f>
        <v/>
      </c>
      <c r="O18" s="1">
        <f>IF(Data!O18&gt;0,Data!O18,"")</f>
        <v/>
      </c>
      <c r="P18" s="1">
        <f>IF(Data!P18&gt;0,Data!P18,"")</f>
        <v/>
      </c>
      <c r="Q18" s="1">
        <f>IF(Data!Q18&gt;0,Data!Q18,"")</f>
        <v/>
      </c>
      <c r="R18" s="1">
        <f>IF(Data!R18&gt;0,Data!R18,"")</f>
        <v/>
      </c>
      <c r="S18" s="1">
        <f>IF(Data!S18&gt;0,Data!S18,"")</f>
        <v/>
      </c>
      <c r="V18" s="3">
        <f>IF(COUNT(D18,J18,K18,L18,M18,O18)&gt;0,AVERAGE(D18,J18,K18,L18,M18,O18),"")</f>
        <v/>
      </c>
      <c r="W18" s="3">
        <f>IF(COUNT(C18,F18,G18,N18,Q18)&gt;0,AVERAGE(C18,F18,G18,N18,Q18),"")</f>
        <v/>
      </c>
      <c r="X18" s="3">
        <f>IF(COUNT(B18,E18,H18,I18,P18,R18,S18)&gt;0,AVERAGE(B18,E18,H18,I18,P18,R18,S18),"")</f>
        <v/>
      </c>
      <c r="Y18" s="3" t="n"/>
      <c r="AI18" s="1" t="n"/>
      <c r="AJ18" s="3">
        <f>IFERROR(AVERAGEIF($A$4:$A$1004,AI18,$V$4:$V$1004),"")</f>
        <v/>
      </c>
      <c r="AK18" s="3">
        <f>IFERROR(AVERAGEIF($A$4:$A$1004,AI18,$W$4:$W$1004),"")</f>
        <v/>
      </c>
      <c r="AL18" s="3">
        <f>IFERROR(AVERAGEIF($A$4:$A$1004,AI18,$X$4:$X$1004),"")</f>
        <v/>
      </c>
      <c r="AM18" s="3" t="n"/>
    </row>
    <row r="19">
      <c r="A19" s="1">
        <f>IF(Data!A19&gt;0,Data!A19,"")</f>
        <v/>
      </c>
      <c r="B19" s="1">
        <f>IF(Data!B19&gt;0,Data!B19,"")</f>
        <v/>
      </c>
      <c r="C19" s="1">
        <f>IF(Data!C19&gt;0,Data!C19,"")</f>
        <v/>
      </c>
      <c r="D19" s="1">
        <f>IF(Data!D19&gt;0,Data!D19,"")</f>
        <v/>
      </c>
      <c r="E19" s="1">
        <f>IF(Data!E19&gt;0,Data!E19,"")</f>
        <v/>
      </c>
      <c r="F19" s="1">
        <f>IF(Data!F19&gt;0,Data!F19,"")</f>
        <v/>
      </c>
      <c r="G19" s="1">
        <f>IF(Data!G19&gt;0,Data!G19,"")</f>
        <v/>
      </c>
      <c r="H19" s="1">
        <f>IF(Data!H19&gt;0,Data!H19,"")</f>
        <v/>
      </c>
      <c r="I19" s="1">
        <f>IF(Data!I19&gt;0,Data!I19,"")</f>
        <v/>
      </c>
      <c r="J19" s="1">
        <f>IF(Data!J19&gt;0,Data!J19,"")</f>
        <v/>
      </c>
      <c r="K19" s="1">
        <f>IF(Data!K19&gt;0,Data!K19,"")</f>
        <v/>
      </c>
      <c r="L19" s="1">
        <f>IF(Data!L19&gt;0,Data!L19,"")</f>
        <v/>
      </c>
      <c r="M19" s="1">
        <f>IF(Data!M19&gt;0,Data!M19,"")</f>
        <v/>
      </c>
      <c r="N19" s="1">
        <f>IF(Data!N19&gt;0,Data!N19,"")</f>
        <v/>
      </c>
      <c r="O19" s="1">
        <f>IF(Data!O19&gt;0,Data!O19,"")</f>
        <v/>
      </c>
      <c r="P19" s="1">
        <f>IF(Data!P19&gt;0,Data!P19,"")</f>
        <v/>
      </c>
      <c r="Q19" s="1">
        <f>IF(Data!Q19&gt;0,Data!Q19,"")</f>
        <v/>
      </c>
      <c r="R19" s="1">
        <f>IF(Data!R19&gt;0,Data!R19,"")</f>
        <v/>
      </c>
      <c r="S19" s="1">
        <f>IF(Data!S19&gt;0,Data!S19,"")</f>
        <v/>
      </c>
      <c r="V19" s="3">
        <f>IF(COUNT(D19,J19,K19,L19,M19,O19)&gt;0,AVERAGE(D19,J19,K19,L19,M19,O19),"")</f>
        <v/>
      </c>
      <c r="W19" s="3">
        <f>IF(COUNT(C19,F19,G19,N19,Q19)&gt;0,AVERAGE(C19,F19,G19,N19,Q19),"")</f>
        <v/>
      </c>
      <c r="X19" s="3">
        <f>IF(COUNT(B19,E19,H19,I19,P19,R19,S19)&gt;0,AVERAGE(B19,E19,H19,I19,P19,R19,S19),"")</f>
        <v/>
      </c>
      <c r="Y19" s="3" t="n"/>
      <c r="AI19" s="1" t="n"/>
      <c r="AJ19" s="3">
        <f>IFERROR(AVERAGEIF($A$4:$A$1004,AI19,$V$4:$V$1004),"")</f>
        <v/>
      </c>
      <c r="AK19" s="3">
        <f>IFERROR(AVERAGEIF($A$4:$A$1004,AI19,$W$4:$W$1004),"")</f>
        <v/>
      </c>
      <c r="AL19" s="3">
        <f>IFERROR(AVERAGEIF($A$4:$A$1004,AI19,$X$4:$X$1004),"")</f>
        <v/>
      </c>
      <c r="AM19" s="3" t="n"/>
    </row>
    <row r="20">
      <c r="A20" s="1">
        <f>IF(Data!A20&gt;0,Data!A20,"")</f>
        <v/>
      </c>
      <c r="B20" s="1">
        <f>IF(Data!B20&gt;0,Data!B20,"")</f>
        <v/>
      </c>
      <c r="C20" s="1">
        <f>IF(Data!C20&gt;0,Data!C20,"")</f>
        <v/>
      </c>
      <c r="D20" s="1">
        <f>IF(Data!D20&gt;0,Data!D20,"")</f>
        <v/>
      </c>
      <c r="E20" s="1">
        <f>IF(Data!E20&gt;0,Data!E20,"")</f>
        <v/>
      </c>
      <c r="F20" s="1">
        <f>IF(Data!F20&gt;0,Data!F20,"")</f>
        <v/>
      </c>
      <c r="G20" s="1">
        <f>IF(Data!G20&gt;0,Data!G20,"")</f>
        <v/>
      </c>
      <c r="H20" s="1">
        <f>IF(Data!H20&gt;0,Data!H20,"")</f>
        <v/>
      </c>
      <c r="I20" s="1">
        <f>IF(Data!I20&gt;0,Data!I20,"")</f>
        <v/>
      </c>
      <c r="J20" s="1">
        <f>IF(Data!J20&gt;0,Data!J20,"")</f>
        <v/>
      </c>
      <c r="K20" s="1">
        <f>IF(Data!K20&gt;0,Data!K20,"")</f>
        <v/>
      </c>
      <c r="L20" s="1">
        <f>IF(Data!L20&gt;0,Data!L20,"")</f>
        <v/>
      </c>
      <c r="M20" s="1">
        <f>IF(Data!M20&gt;0,Data!M20,"")</f>
        <v/>
      </c>
      <c r="N20" s="1">
        <f>IF(Data!N20&gt;0,Data!N20,"")</f>
        <v/>
      </c>
      <c r="O20" s="1">
        <f>IF(Data!O20&gt;0,Data!O20,"")</f>
        <v/>
      </c>
      <c r="P20" s="1">
        <f>IF(Data!P20&gt;0,Data!P20,"")</f>
        <v/>
      </c>
      <c r="Q20" s="1">
        <f>IF(Data!Q20&gt;0,Data!Q20,"")</f>
        <v/>
      </c>
      <c r="R20" s="1">
        <f>IF(Data!R20&gt;0,Data!R20,"")</f>
        <v/>
      </c>
      <c r="S20" s="1">
        <f>IF(Data!S20&gt;0,Data!S20,"")</f>
        <v/>
      </c>
      <c r="V20" s="3">
        <f>IF(COUNT(D20,J20,K20,L20,M20,O20)&gt;0,AVERAGE(D20,J20,K20,L20,M20,O20),"")</f>
        <v/>
      </c>
      <c r="W20" s="3">
        <f>IF(COUNT(C20,F20,G20,N20,Q20)&gt;0,AVERAGE(C20,F20,G20,N20,Q20),"")</f>
        <v/>
      </c>
      <c r="X20" s="3">
        <f>IF(COUNT(B20,E20,H20,I20,P20,R20,S20)&gt;0,AVERAGE(B20,E20,H20,I20,P20,R20,S20),"")</f>
        <v/>
      </c>
      <c r="Y20" s="3" t="n"/>
      <c r="AI20" s="1" t="n"/>
      <c r="AJ20" s="3">
        <f>IFERROR(AVERAGEIF($A$4:$A$1004,AI20,$V$4:$V$1004),"")</f>
        <v/>
      </c>
      <c r="AK20" s="3">
        <f>IFERROR(AVERAGEIF($A$4:$A$1004,AI20,$W$4:$W$1004),"")</f>
        <v/>
      </c>
      <c r="AL20" s="3">
        <f>IFERROR(AVERAGEIF($A$4:$A$1004,AI20,$X$4:$X$1004),"")</f>
        <v/>
      </c>
      <c r="AM20" s="3" t="n"/>
    </row>
    <row r="21">
      <c r="A21" s="1">
        <f>IF(Data!A21&gt;0,Data!A21,"")</f>
        <v/>
      </c>
      <c r="B21" s="1">
        <f>IF(Data!B21&gt;0,Data!B21,"")</f>
        <v/>
      </c>
      <c r="C21" s="1">
        <f>IF(Data!C21&gt;0,Data!C21,"")</f>
        <v/>
      </c>
      <c r="D21" s="1">
        <f>IF(Data!D21&gt;0,Data!D21,"")</f>
        <v/>
      </c>
      <c r="E21" s="1">
        <f>IF(Data!E21&gt;0,Data!E21,"")</f>
        <v/>
      </c>
      <c r="F21" s="1">
        <f>IF(Data!F21&gt;0,Data!F21,"")</f>
        <v/>
      </c>
      <c r="G21" s="1">
        <f>IF(Data!G21&gt;0,Data!G21,"")</f>
        <v/>
      </c>
      <c r="H21" s="1">
        <f>IF(Data!H21&gt;0,Data!H21,"")</f>
        <v/>
      </c>
      <c r="I21" s="1">
        <f>IF(Data!I21&gt;0,Data!I21,"")</f>
        <v/>
      </c>
      <c r="J21" s="1">
        <f>IF(Data!J21&gt;0,Data!J21,"")</f>
        <v/>
      </c>
      <c r="K21" s="1">
        <f>IF(Data!K21&gt;0,Data!K21,"")</f>
        <v/>
      </c>
      <c r="L21" s="1">
        <f>IF(Data!L21&gt;0,Data!L21,"")</f>
        <v/>
      </c>
      <c r="M21" s="1">
        <f>IF(Data!M21&gt;0,Data!M21,"")</f>
        <v/>
      </c>
      <c r="N21" s="1">
        <f>IF(Data!N21&gt;0,Data!N21,"")</f>
        <v/>
      </c>
      <c r="O21" s="1">
        <f>IF(Data!O21&gt;0,Data!O21,"")</f>
        <v/>
      </c>
      <c r="P21" s="1">
        <f>IF(Data!P21&gt;0,Data!P21,"")</f>
        <v/>
      </c>
      <c r="Q21" s="1">
        <f>IF(Data!Q21&gt;0,Data!Q21,"")</f>
        <v/>
      </c>
      <c r="R21" s="1">
        <f>IF(Data!R21&gt;0,Data!R21,"")</f>
        <v/>
      </c>
      <c r="S21" s="1">
        <f>IF(Data!S21&gt;0,Data!S21,"")</f>
        <v/>
      </c>
      <c r="V21" s="3">
        <f>IF(COUNT(D21,J21,K21,L21,M21,O21)&gt;0,AVERAGE(D21,J21,K21,L21,M21,O21),"")</f>
        <v/>
      </c>
      <c r="W21" s="3">
        <f>IF(COUNT(C21,F21,G21,N21,Q21)&gt;0,AVERAGE(C21,F21,G21,N21,Q21),"")</f>
        <v/>
      </c>
      <c r="X21" s="3">
        <f>IF(COUNT(B21,E21,H21,I21,P21,R21,S21)&gt;0,AVERAGE(B21,E21,H21,I21,P21,R21,S21),"")</f>
        <v/>
      </c>
      <c r="Y21" s="3" t="n"/>
      <c r="AI21" s="1" t="n"/>
      <c r="AJ21" s="3">
        <f>IFERROR(AVERAGEIF($A$4:$A$1004,AI21,$V$4:$V$1004),"")</f>
        <v/>
      </c>
      <c r="AK21" s="3">
        <f>IFERROR(AVERAGEIF($A$4:$A$1004,AI21,$W$4:$W$1004),"")</f>
        <v/>
      </c>
      <c r="AL21" s="3">
        <f>IFERROR(AVERAGEIF($A$4:$A$1004,AI21,$X$4:$X$1004),"")</f>
        <v/>
      </c>
      <c r="AM21" s="3" t="n"/>
    </row>
    <row r="22">
      <c r="A22" s="1">
        <f>IF(Data!A22&gt;0,Data!A22,"")</f>
        <v/>
      </c>
      <c r="B22" s="1">
        <f>IF(Data!B22&gt;0,Data!B22,"")</f>
        <v/>
      </c>
      <c r="C22" s="1">
        <f>IF(Data!C22&gt;0,Data!C22,"")</f>
        <v/>
      </c>
      <c r="D22" s="1">
        <f>IF(Data!D22&gt;0,Data!D22,"")</f>
        <v/>
      </c>
      <c r="E22" s="1">
        <f>IF(Data!E22&gt;0,Data!E22,"")</f>
        <v/>
      </c>
      <c r="F22" s="1">
        <f>IF(Data!F22&gt;0,Data!F22,"")</f>
        <v/>
      </c>
      <c r="G22" s="1">
        <f>IF(Data!G22&gt;0,Data!G22,"")</f>
        <v/>
      </c>
      <c r="H22" s="1">
        <f>IF(Data!H22&gt;0,Data!H22,"")</f>
        <v/>
      </c>
      <c r="I22" s="1">
        <f>IF(Data!I22&gt;0,Data!I22,"")</f>
        <v/>
      </c>
      <c r="J22" s="1">
        <f>IF(Data!J22&gt;0,Data!J22,"")</f>
        <v/>
      </c>
      <c r="K22" s="1">
        <f>IF(Data!K22&gt;0,Data!K22,"")</f>
        <v/>
      </c>
      <c r="L22" s="1">
        <f>IF(Data!L22&gt;0,Data!L22,"")</f>
        <v/>
      </c>
      <c r="M22" s="1">
        <f>IF(Data!M22&gt;0,Data!M22,"")</f>
        <v/>
      </c>
      <c r="N22" s="1">
        <f>IF(Data!N22&gt;0,Data!N22,"")</f>
        <v/>
      </c>
      <c r="O22" s="1">
        <f>IF(Data!O22&gt;0,Data!O22,"")</f>
        <v/>
      </c>
      <c r="P22" s="1">
        <f>IF(Data!P22&gt;0,Data!P22,"")</f>
        <v/>
      </c>
      <c r="Q22" s="1">
        <f>IF(Data!Q22&gt;0,Data!Q22,"")</f>
        <v/>
      </c>
      <c r="R22" s="1">
        <f>IF(Data!R22&gt;0,Data!R22,"")</f>
        <v/>
      </c>
      <c r="S22" s="1">
        <f>IF(Data!S22&gt;0,Data!S22,"")</f>
        <v/>
      </c>
      <c r="V22" s="3">
        <f>IF(COUNT(D22,J22,K22,L22,M22,O22)&gt;0,AVERAGE(D22,J22,K22,L22,M22,O22),"")</f>
        <v/>
      </c>
      <c r="W22" s="3">
        <f>IF(COUNT(C22,F22,G22,N22,Q22)&gt;0,AVERAGE(C22,F22,G22,N22,Q22),"")</f>
        <v/>
      </c>
      <c r="X22" s="3">
        <f>IF(COUNT(B22,E22,H22,I22,P22,R22,S22)&gt;0,AVERAGE(B22,E22,H22,I22,P22,R22,S22),"")</f>
        <v/>
      </c>
      <c r="Y22" s="3" t="n"/>
      <c r="AI22" s="1" t="n"/>
      <c r="AJ22" s="3">
        <f>IFERROR(AVERAGEIF($A$4:$A$1004,AI22,$V$4:$V$1004),"")</f>
        <v/>
      </c>
      <c r="AK22" s="3">
        <f>IFERROR(AVERAGEIF($A$4:$A$1004,AI22,$W$4:$W$1004),"")</f>
        <v/>
      </c>
      <c r="AL22" s="3">
        <f>IFERROR(AVERAGEIF($A$4:$A$1004,AI22,$X$4:$X$1004),"")</f>
        <v/>
      </c>
      <c r="AM22" s="3" t="n"/>
    </row>
    <row r="23">
      <c r="A23" s="1">
        <f>IF(Data!A23&gt;0,Data!A23,"")</f>
        <v/>
      </c>
      <c r="B23" s="1">
        <f>IF(Data!B23&gt;0,Data!B23,"")</f>
        <v/>
      </c>
      <c r="C23" s="1">
        <f>IF(Data!C23&gt;0,Data!C23,"")</f>
        <v/>
      </c>
      <c r="D23" s="1">
        <f>IF(Data!D23&gt;0,Data!D23,"")</f>
        <v/>
      </c>
      <c r="E23" s="1">
        <f>IF(Data!E23&gt;0,Data!E23,"")</f>
        <v/>
      </c>
      <c r="F23" s="1">
        <f>IF(Data!F23&gt;0,Data!F23,"")</f>
        <v/>
      </c>
      <c r="G23" s="1">
        <f>IF(Data!G23&gt;0,Data!G23,"")</f>
        <v/>
      </c>
      <c r="H23" s="1">
        <f>IF(Data!H23&gt;0,Data!H23,"")</f>
        <v/>
      </c>
      <c r="I23" s="1">
        <f>IF(Data!I23&gt;0,Data!I23,"")</f>
        <v/>
      </c>
      <c r="J23" s="1">
        <f>IF(Data!J23&gt;0,Data!J23,"")</f>
        <v/>
      </c>
      <c r="K23" s="1">
        <f>IF(Data!K23&gt;0,Data!K23,"")</f>
        <v/>
      </c>
      <c r="L23" s="1">
        <f>IF(Data!L23&gt;0,Data!L23,"")</f>
        <v/>
      </c>
      <c r="M23" s="1">
        <f>IF(Data!M23&gt;0,Data!M23,"")</f>
        <v/>
      </c>
      <c r="N23" s="1">
        <f>IF(Data!N23&gt;0,Data!N23,"")</f>
        <v/>
      </c>
      <c r="O23" s="1">
        <f>IF(Data!O23&gt;0,Data!O23,"")</f>
        <v/>
      </c>
      <c r="P23" s="1">
        <f>IF(Data!P23&gt;0,Data!P23,"")</f>
        <v/>
      </c>
      <c r="Q23" s="1">
        <f>IF(Data!Q23&gt;0,Data!Q23,"")</f>
        <v/>
      </c>
      <c r="R23" s="1">
        <f>IF(Data!R23&gt;0,Data!R23,"")</f>
        <v/>
      </c>
      <c r="S23" s="1">
        <f>IF(Data!S23&gt;0,Data!S23,"")</f>
        <v/>
      </c>
      <c r="V23" s="3">
        <f>IF(COUNT(D23,J23,K23,L23,M23,O23)&gt;0,AVERAGE(D23,J23,K23,L23,M23,O23),"")</f>
        <v/>
      </c>
      <c r="W23" s="3">
        <f>IF(COUNT(C23,F23,G23,N23,Q23)&gt;0,AVERAGE(C23,F23,G23,N23,Q23),"")</f>
        <v/>
      </c>
      <c r="X23" s="3">
        <f>IF(COUNT(B23,E23,H23,I23,P23,R23,S23)&gt;0,AVERAGE(B23,E23,H23,I23,P23,R23,S23),"")</f>
        <v/>
      </c>
      <c r="Y23" s="3" t="n"/>
      <c r="AI23" s="1" t="n"/>
      <c r="AJ23" s="3">
        <f>IFERROR(AVERAGEIF($A$4:$A$1004,AI23,$V$4:$V$1004),"")</f>
        <v/>
      </c>
      <c r="AK23" s="3">
        <f>IFERROR(AVERAGEIF($A$4:$A$1004,AI23,$W$4:$W$1004),"")</f>
        <v/>
      </c>
      <c r="AL23" s="3">
        <f>IFERROR(AVERAGEIF($A$4:$A$1004,AI23,$X$4:$X$1004),"")</f>
        <v/>
      </c>
      <c r="AM23" s="3" t="n"/>
    </row>
    <row r="24">
      <c r="A24" s="1">
        <f>IF(Data!A24&gt;0,Data!A24,"")</f>
        <v/>
      </c>
      <c r="B24" s="1">
        <f>IF(Data!B24&gt;0,Data!B24,"")</f>
        <v/>
      </c>
      <c r="C24" s="1">
        <f>IF(Data!C24&gt;0,Data!C24,"")</f>
        <v/>
      </c>
      <c r="D24" s="1">
        <f>IF(Data!D24&gt;0,Data!D24,"")</f>
        <v/>
      </c>
      <c r="E24" s="1">
        <f>IF(Data!E24&gt;0,Data!E24,"")</f>
        <v/>
      </c>
      <c r="F24" s="1">
        <f>IF(Data!F24&gt;0,Data!F24,"")</f>
        <v/>
      </c>
      <c r="G24" s="1">
        <f>IF(Data!G24&gt;0,Data!G24,"")</f>
        <v/>
      </c>
      <c r="H24" s="1">
        <f>IF(Data!H24&gt;0,Data!H24,"")</f>
        <v/>
      </c>
      <c r="I24" s="1">
        <f>IF(Data!I24&gt;0,Data!I24,"")</f>
        <v/>
      </c>
      <c r="J24" s="1">
        <f>IF(Data!J24&gt;0,Data!J24,"")</f>
        <v/>
      </c>
      <c r="K24" s="1">
        <f>IF(Data!K24&gt;0,Data!K24,"")</f>
        <v/>
      </c>
      <c r="L24" s="1">
        <f>IF(Data!L24&gt;0,Data!L24,"")</f>
        <v/>
      </c>
      <c r="M24" s="1">
        <f>IF(Data!M24&gt;0,Data!M24,"")</f>
        <v/>
      </c>
      <c r="N24" s="1">
        <f>IF(Data!N24&gt;0,Data!N24,"")</f>
        <v/>
      </c>
      <c r="O24" s="1">
        <f>IF(Data!O24&gt;0,Data!O24,"")</f>
        <v/>
      </c>
      <c r="P24" s="1">
        <f>IF(Data!P24&gt;0,Data!P24,"")</f>
        <v/>
      </c>
      <c r="Q24" s="1">
        <f>IF(Data!Q24&gt;0,Data!Q24,"")</f>
        <v/>
      </c>
      <c r="R24" s="1">
        <f>IF(Data!R24&gt;0,Data!R24,"")</f>
        <v/>
      </c>
      <c r="S24" s="1">
        <f>IF(Data!S24&gt;0,Data!S24,"")</f>
        <v/>
      </c>
      <c r="V24" s="3">
        <f>IF(COUNT(D24,J24,K24,L24,M24,O24)&gt;0,AVERAGE(D24,J24,K24,L24,M24,O24),"")</f>
        <v/>
      </c>
      <c r="W24" s="3">
        <f>IF(COUNT(C24,F24,G24,N24,Q24)&gt;0,AVERAGE(C24,F24,G24,N24,Q24),"")</f>
        <v/>
      </c>
      <c r="X24" s="3">
        <f>IF(COUNT(B24,E24,H24,I24,P24,R24,S24)&gt;0,AVERAGE(B24,E24,H24,I24,P24,R24,S24),"")</f>
        <v/>
      </c>
      <c r="Y24" s="3" t="n"/>
      <c r="AI24" s="1" t="n"/>
      <c r="AJ24" s="3">
        <f>IFERROR(AVERAGEIF($A$4:$A$1004,AI24,$V$4:$V$1004),"")</f>
        <v/>
      </c>
      <c r="AK24" s="3">
        <f>IFERROR(AVERAGEIF($A$4:$A$1004,AI24,$W$4:$W$1004),"")</f>
        <v/>
      </c>
      <c r="AL24" s="3">
        <f>IFERROR(AVERAGEIF($A$4:$A$1004,AI24,$X$4:$X$1004),"")</f>
        <v/>
      </c>
      <c r="AM24" s="3" t="n"/>
    </row>
    <row r="25">
      <c r="A25" s="1">
        <f>IF(Data!A25&gt;0,Data!A25,"")</f>
        <v/>
      </c>
      <c r="B25" s="1">
        <f>IF(Data!B25&gt;0,Data!B25,"")</f>
        <v/>
      </c>
      <c r="C25" s="1">
        <f>IF(Data!C25&gt;0,Data!C25,"")</f>
        <v/>
      </c>
      <c r="D25" s="1">
        <f>IF(Data!D25&gt;0,Data!D25,"")</f>
        <v/>
      </c>
      <c r="E25" s="1">
        <f>IF(Data!E25&gt;0,Data!E25,"")</f>
        <v/>
      </c>
      <c r="F25" s="1">
        <f>IF(Data!F25&gt;0,Data!F25,"")</f>
        <v/>
      </c>
      <c r="G25" s="1">
        <f>IF(Data!G25&gt;0,Data!G25,"")</f>
        <v/>
      </c>
      <c r="H25" s="1">
        <f>IF(Data!H25&gt;0,Data!H25,"")</f>
        <v/>
      </c>
      <c r="I25" s="1">
        <f>IF(Data!I25&gt;0,Data!I25,"")</f>
        <v/>
      </c>
      <c r="J25" s="1">
        <f>IF(Data!J25&gt;0,Data!J25,"")</f>
        <v/>
      </c>
      <c r="K25" s="1">
        <f>IF(Data!K25&gt;0,Data!K25,"")</f>
        <v/>
      </c>
      <c r="L25" s="1">
        <f>IF(Data!L25&gt;0,Data!L25,"")</f>
        <v/>
      </c>
      <c r="M25" s="1">
        <f>IF(Data!M25&gt;0,Data!M25,"")</f>
        <v/>
      </c>
      <c r="N25" s="1">
        <f>IF(Data!N25&gt;0,Data!N25,"")</f>
        <v/>
      </c>
      <c r="O25" s="1">
        <f>IF(Data!O25&gt;0,Data!O25,"")</f>
        <v/>
      </c>
      <c r="P25" s="1">
        <f>IF(Data!P25&gt;0,Data!P25,"")</f>
        <v/>
      </c>
      <c r="Q25" s="1">
        <f>IF(Data!Q25&gt;0,Data!Q25,"")</f>
        <v/>
      </c>
      <c r="R25" s="1">
        <f>IF(Data!R25&gt;0,Data!R25,"")</f>
        <v/>
      </c>
      <c r="S25" s="1">
        <f>IF(Data!S25&gt;0,Data!S25,"")</f>
        <v/>
      </c>
      <c r="V25" s="3">
        <f>IF(COUNT(D25,J25,K25,L25,M25,O25)&gt;0,AVERAGE(D25,J25,K25,L25,M25,O25),"")</f>
        <v/>
      </c>
      <c r="W25" s="3">
        <f>IF(COUNT(C25,F25,G25,N25,Q25)&gt;0,AVERAGE(C25,F25,G25,N25,Q25),"")</f>
        <v/>
      </c>
      <c r="X25" s="3">
        <f>IF(COUNT(B25,E25,H25,I25,P25,R25,S25)&gt;0,AVERAGE(B25,E25,H25,I25,P25,R25,S25),"")</f>
        <v/>
      </c>
      <c r="Y25" s="3" t="n"/>
      <c r="AI25" s="1" t="n"/>
      <c r="AJ25" s="3">
        <f>IFERROR(AVERAGEIF($A$4:$A$1004,AI25,$V$4:$V$1004),"")</f>
        <v/>
      </c>
      <c r="AK25" s="3">
        <f>IFERROR(AVERAGEIF($A$4:$A$1004,AI25,$W$4:$W$1004),"")</f>
        <v/>
      </c>
      <c r="AL25" s="3">
        <f>IFERROR(AVERAGEIF($A$4:$A$1004,AI25,$X$4:$X$1004),"")</f>
        <v/>
      </c>
      <c r="AM25" s="3" t="n"/>
    </row>
    <row r="26">
      <c r="A26" s="1">
        <f>IF(Data!A26&gt;0,Data!A26,"")</f>
        <v/>
      </c>
      <c r="B26" s="1">
        <f>IF(Data!B26&gt;0,Data!B26,"")</f>
        <v/>
      </c>
      <c r="C26" s="1">
        <f>IF(Data!C26&gt;0,Data!C26,"")</f>
        <v/>
      </c>
      <c r="D26" s="1">
        <f>IF(Data!D26&gt;0,Data!D26,"")</f>
        <v/>
      </c>
      <c r="E26" s="1">
        <f>IF(Data!E26&gt;0,Data!E26,"")</f>
        <v/>
      </c>
      <c r="F26" s="1">
        <f>IF(Data!F26&gt;0,Data!F26,"")</f>
        <v/>
      </c>
      <c r="G26" s="1">
        <f>IF(Data!G26&gt;0,Data!G26,"")</f>
        <v/>
      </c>
      <c r="H26" s="1">
        <f>IF(Data!H26&gt;0,Data!H26,"")</f>
        <v/>
      </c>
      <c r="I26" s="1">
        <f>IF(Data!I26&gt;0,Data!I26,"")</f>
        <v/>
      </c>
      <c r="J26" s="1">
        <f>IF(Data!J26&gt;0,Data!J26,"")</f>
        <v/>
      </c>
      <c r="K26" s="1">
        <f>IF(Data!K26&gt;0,Data!K26,"")</f>
        <v/>
      </c>
      <c r="L26" s="1">
        <f>IF(Data!L26&gt;0,Data!L26,"")</f>
        <v/>
      </c>
      <c r="M26" s="1">
        <f>IF(Data!M26&gt;0,Data!M26,"")</f>
        <v/>
      </c>
      <c r="N26" s="1">
        <f>IF(Data!N26&gt;0,Data!N26,"")</f>
        <v/>
      </c>
      <c r="O26" s="1">
        <f>IF(Data!O26&gt;0,Data!O26,"")</f>
        <v/>
      </c>
      <c r="P26" s="1">
        <f>IF(Data!P26&gt;0,Data!P26,"")</f>
        <v/>
      </c>
      <c r="Q26" s="1">
        <f>IF(Data!Q26&gt;0,Data!Q26,"")</f>
        <v/>
      </c>
      <c r="R26" s="1">
        <f>IF(Data!R26&gt;0,Data!R26,"")</f>
        <v/>
      </c>
      <c r="S26" s="1">
        <f>IF(Data!S26&gt;0,Data!S26,"")</f>
        <v/>
      </c>
      <c r="V26" s="3">
        <f>IF(COUNT(D26,J26,K26,L26,M26,O26)&gt;0,AVERAGE(D26,J26,K26,L26,M26,O26),"")</f>
        <v/>
      </c>
      <c r="W26" s="3">
        <f>IF(COUNT(C26,F26,G26,N26,Q26)&gt;0,AVERAGE(C26,F26,G26,N26,Q26),"")</f>
        <v/>
      </c>
      <c r="X26" s="3">
        <f>IF(COUNT(B26,E26,H26,I26,P26,R26,S26)&gt;0,AVERAGE(B26,E26,H26,I26,P26,R26,S26),"")</f>
        <v/>
      </c>
      <c r="Y26" s="3" t="n"/>
      <c r="AI26" s="1" t="n"/>
      <c r="AJ26" s="3">
        <f>IFERROR(AVERAGEIF($A$4:$A$1004,AI26,$V$4:$V$1004),"")</f>
        <v/>
      </c>
      <c r="AK26" s="3">
        <f>IFERROR(AVERAGEIF($A$4:$A$1004,AI26,$W$4:$W$1004),"")</f>
        <v/>
      </c>
      <c r="AL26" s="3">
        <f>IFERROR(AVERAGEIF($A$4:$A$1004,AI26,$X$4:$X$1004),"")</f>
        <v/>
      </c>
      <c r="AM26" s="3" t="n"/>
    </row>
    <row r="27">
      <c r="A27" s="1">
        <f>IF(Data!A27&gt;0,Data!A27,"")</f>
        <v/>
      </c>
      <c r="B27" s="1">
        <f>IF(Data!B27&gt;0,Data!B27,"")</f>
        <v/>
      </c>
      <c r="C27" s="1">
        <f>IF(Data!C27&gt;0,Data!C27,"")</f>
        <v/>
      </c>
      <c r="D27" s="1">
        <f>IF(Data!D27&gt;0,Data!D27,"")</f>
        <v/>
      </c>
      <c r="E27" s="1">
        <f>IF(Data!E27&gt;0,Data!E27,"")</f>
        <v/>
      </c>
      <c r="F27" s="1">
        <f>IF(Data!F27&gt;0,Data!F27,"")</f>
        <v/>
      </c>
      <c r="G27" s="1">
        <f>IF(Data!G27&gt;0,Data!G27,"")</f>
        <v/>
      </c>
      <c r="H27" s="1">
        <f>IF(Data!H27&gt;0,Data!H27,"")</f>
        <v/>
      </c>
      <c r="I27" s="1">
        <f>IF(Data!I27&gt;0,Data!I27,"")</f>
        <v/>
      </c>
      <c r="J27" s="1">
        <f>IF(Data!J27&gt;0,Data!J27,"")</f>
        <v/>
      </c>
      <c r="K27" s="1">
        <f>IF(Data!K27&gt;0,Data!K27,"")</f>
        <v/>
      </c>
      <c r="L27" s="1">
        <f>IF(Data!L27&gt;0,Data!L27,"")</f>
        <v/>
      </c>
      <c r="M27" s="1">
        <f>IF(Data!M27&gt;0,Data!M27,"")</f>
        <v/>
      </c>
      <c r="N27" s="1">
        <f>IF(Data!N27&gt;0,Data!N27,"")</f>
        <v/>
      </c>
      <c r="O27" s="1">
        <f>IF(Data!O27&gt;0,Data!O27,"")</f>
        <v/>
      </c>
      <c r="P27" s="1">
        <f>IF(Data!P27&gt;0,Data!P27,"")</f>
        <v/>
      </c>
      <c r="Q27" s="1">
        <f>IF(Data!Q27&gt;0,Data!Q27,"")</f>
        <v/>
      </c>
      <c r="R27" s="1">
        <f>IF(Data!R27&gt;0,Data!R27,"")</f>
        <v/>
      </c>
      <c r="S27" s="1">
        <f>IF(Data!S27&gt;0,Data!S27,"")</f>
        <v/>
      </c>
      <c r="V27" s="3">
        <f>IF(COUNT(D27,J27,K27,L27,M27,O27)&gt;0,AVERAGE(D27,J27,K27,L27,M27,O27),"")</f>
        <v/>
      </c>
      <c r="W27" s="3">
        <f>IF(COUNT(C27,F27,G27,N27,Q27)&gt;0,AVERAGE(C27,F27,G27,N27,Q27),"")</f>
        <v/>
      </c>
      <c r="X27" s="3">
        <f>IF(COUNT(B27,E27,H27,I27,P27,R27,S27)&gt;0,AVERAGE(B27,E27,H27,I27,P27,R27,S27),"")</f>
        <v/>
      </c>
      <c r="Y27" s="3" t="n"/>
      <c r="AI27" s="1" t="n"/>
      <c r="AJ27" s="3">
        <f>IFERROR(AVERAGEIF($A$4:$A$1004,AI27,$V$4:$V$1004),"")</f>
        <v/>
      </c>
      <c r="AK27" s="3">
        <f>IFERROR(AVERAGEIF($A$4:$A$1004,AI27,$W$4:$W$1004),"")</f>
        <v/>
      </c>
      <c r="AL27" s="3">
        <f>IFERROR(AVERAGEIF($A$4:$A$1004,AI27,$X$4:$X$1004),"")</f>
        <v/>
      </c>
      <c r="AM27" s="3" t="n"/>
    </row>
    <row r="28">
      <c r="A28" s="1">
        <f>IF(Data!A28&gt;0,Data!A28,"")</f>
        <v/>
      </c>
      <c r="B28" s="1">
        <f>IF(Data!B28&gt;0,Data!B28,"")</f>
        <v/>
      </c>
      <c r="C28" s="1">
        <f>IF(Data!C28&gt;0,Data!C28,"")</f>
        <v/>
      </c>
      <c r="D28" s="1">
        <f>IF(Data!D28&gt;0,Data!D28,"")</f>
        <v/>
      </c>
      <c r="E28" s="1">
        <f>IF(Data!E28&gt;0,Data!E28,"")</f>
        <v/>
      </c>
      <c r="F28" s="1">
        <f>IF(Data!F28&gt;0,Data!F28,"")</f>
        <v/>
      </c>
      <c r="G28" s="1">
        <f>IF(Data!G28&gt;0,Data!G28,"")</f>
        <v/>
      </c>
      <c r="H28" s="1">
        <f>IF(Data!H28&gt;0,Data!H28,"")</f>
        <v/>
      </c>
      <c r="I28" s="1">
        <f>IF(Data!I28&gt;0,Data!I28,"")</f>
        <v/>
      </c>
      <c r="J28" s="1">
        <f>IF(Data!J28&gt;0,Data!J28,"")</f>
        <v/>
      </c>
      <c r="K28" s="1">
        <f>IF(Data!K28&gt;0,Data!K28,"")</f>
        <v/>
      </c>
      <c r="L28" s="1">
        <f>IF(Data!L28&gt;0,Data!L28,"")</f>
        <v/>
      </c>
      <c r="M28" s="1">
        <f>IF(Data!M28&gt;0,Data!M28,"")</f>
        <v/>
      </c>
      <c r="N28" s="1">
        <f>IF(Data!N28&gt;0,Data!N28,"")</f>
        <v/>
      </c>
      <c r="O28" s="1">
        <f>IF(Data!O28&gt;0,Data!O28,"")</f>
        <v/>
      </c>
      <c r="P28" s="1">
        <f>IF(Data!P28&gt;0,Data!P28,"")</f>
        <v/>
      </c>
      <c r="Q28" s="1">
        <f>IF(Data!Q28&gt;0,Data!Q28,"")</f>
        <v/>
      </c>
      <c r="R28" s="1">
        <f>IF(Data!R28&gt;0,Data!R28,"")</f>
        <v/>
      </c>
      <c r="S28" s="1">
        <f>IF(Data!S28&gt;0,Data!S28,"")</f>
        <v/>
      </c>
      <c r="V28" s="3">
        <f>IF(COUNT(D28,J28,K28,L28,M28,O28)&gt;0,AVERAGE(D28,J28,K28,L28,M28,O28),"")</f>
        <v/>
      </c>
      <c r="W28" s="3">
        <f>IF(COUNT(C28,F28,G28,N28,Q28)&gt;0,AVERAGE(C28,F28,G28,N28,Q28),"")</f>
        <v/>
      </c>
      <c r="X28" s="3">
        <f>IF(COUNT(B28,E28,H28,I28,P28,R28,S28)&gt;0,AVERAGE(B28,E28,H28,I28,P28,R28,S28),"")</f>
        <v/>
      </c>
      <c r="Y28" s="3" t="n"/>
      <c r="AI28" s="1" t="n"/>
      <c r="AJ28" s="3">
        <f>IFERROR(AVERAGEIF($A$4:$A$1004,AI28,$V$4:$V$1004),"")</f>
        <v/>
      </c>
      <c r="AK28" s="3">
        <f>IFERROR(AVERAGEIF($A$4:$A$1004,AI28,$W$4:$W$1004),"")</f>
        <v/>
      </c>
      <c r="AL28" s="3">
        <f>IFERROR(AVERAGEIF($A$4:$A$1004,AI28,$X$4:$X$1004),"")</f>
        <v/>
      </c>
      <c r="AM28" s="3" t="n"/>
    </row>
    <row r="29">
      <c r="A29" s="1">
        <f>IF(Data!A29&gt;0,Data!A29,"")</f>
        <v/>
      </c>
      <c r="B29" s="1">
        <f>IF(Data!B29&gt;0,Data!B29,"")</f>
        <v/>
      </c>
      <c r="C29" s="1">
        <f>IF(Data!C29&gt;0,Data!C29,"")</f>
        <v/>
      </c>
      <c r="D29" s="1">
        <f>IF(Data!D29&gt;0,Data!D29,"")</f>
        <v/>
      </c>
      <c r="E29" s="1">
        <f>IF(Data!E29&gt;0,Data!E29,"")</f>
        <v/>
      </c>
      <c r="F29" s="1">
        <f>IF(Data!F29&gt;0,Data!F29,"")</f>
        <v/>
      </c>
      <c r="G29" s="1">
        <f>IF(Data!G29&gt;0,Data!G29,"")</f>
        <v/>
      </c>
      <c r="H29" s="1">
        <f>IF(Data!H29&gt;0,Data!H29,"")</f>
        <v/>
      </c>
      <c r="I29" s="1">
        <f>IF(Data!I29&gt;0,Data!I29,"")</f>
        <v/>
      </c>
      <c r="J29" s="1">
        <f>IF(Data!J29&gt;0,Data!J29,"")</f>
        <v/>
      </c>
      <c r="K29" s="1">
        <f>IF(Data!K29&gt;0,Data!K29,"")</f>
        <v/>
      </c>
      <c r="L29" s="1">
        <f>IF(Data!L29&gt;0,Data!L29,"")</f>
        <v/>
      </c>
      <c r="M29" s="1">
        <f>IF(Data!M29&gt;0,Data!M29,"")</f>
        <v/>
      </c>
      <c r="N29" s="1">
        <f>IF(Data!N29&gt;0,Data!N29,"")</f>
        <v/>
      </c>
      <c r="O29" s="1">
        <f>IF(Data!O29&gt;0,Data!O29,"")</f>
        <v/>
      </c>
      <c r="P29" s="1">
        <f>IF(Data!P29&gt;0,Data!P29,"")</f>
        <v/>
      </c>
      <c r="Q29" s="1">
        <f>IF(Data!Q29&gt;0,Data!Q29,"")</f>
        <v/>
      </c>
      <c r="R29" s="1">
        <f>IF(Data!R29&gt;0,Data!R29,"")</f>
        <v/>
      </c>
      <c r="S29" s="1">
        <f>IF(Data!S29&gt;0,Data!S29,"")</f>
        <v/>
      </c>
      <c r="V29" s="3">
        <f>IF(COUNT(D29,J29,K29,L29,M29,O29)&gt;0,AVERAGE(D29,J29,K29,L29,M29,O29),"")</f>
        <v/>
      </c>
      <c r="W29" s="3">
        <f>IF(COUNT(C29,F29,G29,N29,Q29)&gt;0,AVERAGE(C29,F29,G29,N29,Q29),"")</f>
        <v/>
      </c>
      <c r="X29" s="3">
        <f>IF(COUNT(B29,E29,H29,I29,P29,R29,S29)&gt;0,AVERAGE(B29,E29,H29,I29,P29,R29,S29),"")</f>
        <v/>
      </c>
      <c r="Y29" s="3" t="n"/>
      <c r="AI29" s="1" t="n"/>
      <c r="AJ29" s="3">
        <f>IFERROR(AVERAGEIF($A$4:$A$1004,AI29,$V$4:$V$1004),"")</f>
        <v/>
      </c>
      <c r="AK29" s="3">
        <f>IFERROR(AVERAGEIF($A$4:$A$1004,AI29,$W$4:$W$1004),"")</f>
        <v/>
      </c>
      <c r="AL29" s="3">
        <f>IFERROR(AVERAGEIF($A$4:$A$1004,AI29,$X$4:$X$1004),"")</f>
        <v/>
      </c>
      <c r="AM29" s="3" t="n"/>
    </row>
    <row r="30">
      <c r="A30" s="1">
        <f>IF(Data!A30&gt;0,Data!A30,"")</f>
        <v/>
      </c>
      <c r="B30" s="1">
        <f>IF(Data!B30&gt;0,Data!B30,"")</f>
        <v/>
      </c>
      <c r="C30" s="1">
        <f>IF(Data!C30&gt;0,Data!C30,"")</f>
        <v/>
      </c>
      <c r="D30" s="1">
        <f>IF(Data!D30&gt;0,Data!D30,"")</f>
        <v/>
      </c>
      <c r="E30" s="1">
        <f>IF(Data!E30&gt;0,Data!E30,"")</f>
        <v/>
      </c>
      <c r="F30" s="1">
        <f>IF(Data!F30&gt;0,Data!F30,"")</f>
        <v/>
      </c>
      <c r="G30" s="1">
        <f>IF(Data!G30&gt;0,Data!G30,"")</f>
        <v/>
      </c>
      <c r="H30" s="1">
        <f>IF(Data!H30&gt;0,Data!H30,"")</f>
        <v/>
      </c>
      <c r="I30" s="1">
        <f>IF(Data!I30&gt;0,Data!I30,"")</f>
        <v/>
      </c>
      <c r="J30" s="1">
        <f>IF(Data!J30&gt;0,Data!J30,"")</f>
        <v/>
      </c>
      <c r="K30" s="1">
        <f>IF(Data!K30&gt;0,Data!K30,"")</f>
        <v/>
      </c>
      <c r="L30" s="1">
        <f>IF(Data!L30&gt;0,Data!L30,"")</f>
        <v/>
      </c>
      <c r="M30" s="1">
        <f>IF(Data!M30&gt;0,Data!M30,"")</f>
        <v/>
      </c>
      <c r="N30" s="1">
        <f>IF(Data!N30&gt;0,Data!N30,"")</f>
        <v/>
      </c>
      <c r="O30" s="1">
        <f>IF(Data!O30&gt;0,Data!O30,"")</f>
        <v/>
      </c>
      <c r="P30" s="1">
        <f>IF(Data!P30&gt;0,Data!P30,"")</f>
        <v/>
      </c>
      <c r="Q30" s="1">
        <f>IF(Data!Q30&gt;0,Data!Q30,"")</f>
        <v/>
      </c>
      <c r="R30" s="1">
        <f>IF(Data!R30&gt;0,Data!R30,"")</f>
        <v/>
      </c>
      <c r="S30" s="1">
        <f>IF(Data!S30&gt;0,Data!S30,"")</f>
        <v/>
      </c>
      <c r="V30" s="3">
        <f>IF(COUNT(D30,J30,K30,L30,M30,O30)&gt;0,AVERAGE(D30,J30,K30,L30,M30,O30),"")</f>
        <v/>
      </c>
      <c r="W30" s="3">
        <f>IF(COUNT(C30,F30,G30,N30,Q30)&gt;0,AVERAGE(C30,F30,G30,N30,Q30),"")</f>
        <v/>
      </c>
      <c r="X30" s="3">
        <f>IF(COUNT(B30,E30,H30,I30,P30,R30,S30)&gt;0,AVERAGE(B30,E30,H30,I30,P30,R30,S30),"")</f>
        <v/>
      </c>
      <c r="Y30" s="3" t="n"/>
      <c r="AI30" s="1" t="n"/>
      <c r="AJ30" s="3">
        <f>IFERROR(AVERAGEIF($A$4:$A$1004,AI30,$V$4:$V$1004),"")</f>
        <v/>
      </c>
      <c r="AK30" s="3">
        <f>IFERROR(AVERAGEIF($A$4:$A$1004,AI30,$W$4:$W$1004),"")</f>
        <v/>
      </c>
      <c r="AL30" s="3">
        <f>IFERROR(AVERAGEIF($A$4:$A$1004,AI30,$X$4:$X$1004),"")</f>
        <v/>
      </c>
      <c r="AM30" s="3" t="n"/>
    </row>
    <row r="31">
      <c r="A31" s="1">
        <f>IF(Data!A31&gt;0,Data!A31,"")</f>
        <v/>
      </c>
      <c r="B31" s="1">
        <f>IF(Data!B31&gt;0,Data!B31,"")</f>
        <v/>
      </c>
      <c r="C31" s="1">
        <f>IF(Data!C31&gt;0,Data!C31,"")</f>
        <v/>
      </c>
      <c r="D31" s="1">
        <f>IF(Data!D31&gt;0,Data!D31,"")</f>
        <v/>
      </c>
      <c r="E31" s="1">
        <f>IF(Data!E31&gt;0,Data!E31,"")</f>
        <v/>
      </c>
      <c r="F31" s="1">
        <f>IF(Data!F31&gt;0,Data!F31,"")</f>
        <v/>
      </c>
      <c r="G31" s="1">
        <f>IF(Data!G31&gt;0,Data!G31,"")</f>
        <v/>
      </c>
      <c r="H31" s="1">
        <f>IF(Data!H31&gt;0,Data!H31,"")</f>
        <v/>
      </c>
      <c r="I31" s="1">
        <f>IF(Data!I31&gt;0,Data!I31,"")</f>
        <v/>
      </c>
      <c r="J31" s="1">
        <f>IF(Data!J31&gt;0,Data!J31,"")</f>
        <v/>
      </c>
      <c r="K31" s="1">
        <f>IF(Data!K31&gt;0,Data!K31,"")</f>
        <v/>
      </c>
      <c r="L31" s="1">
        <f>IF(Data!L31&gt;0,Data!L31,"")</f>
        <v/>
      </c>
      <c r="M31" s="1">
        <f>IF(Data!M31&gt;0,Data!M31,"")</f>
        <v/>
      </c>
      <c r="N31" s="1">
        <f>IF(Data!N31&gt;0,Data!N31,"")</f>
        <v/>
      </c>
      <c r="O31" s="1">
        <f>IF(Data!O31&gt;0,Data!O31,"")</f>
        <v/>
      </c>
      <c r="P31" s="1">
        <f>IF(Data!P31&gt;0,Data!P31,"")</f>
        <v/>
      </c>
      <c r="Q31" s="1">
        <f>IF(Data!Q31&gt;0,Data!Q31,"")</f>
        <v/>
      </c>
      <c r="R31" s="1">
        <f>IF(Data!R31&gt;0,Data!R31,"")</f>
        <v/>
      </c>
      <c r="S31" s="1">
        <f>IF(Data!S31&gt;0,Data!S31,"")</f>
        <v/>
      </c>
      <c r="V31" s="3">
        <f>IF(COUNT(D31,J31,K31,L31,M31,O31)&gt;0,AVERAGE(D31,J31,K31,L31,M31,O31),"")</f>
        <v/>
      </c>
      <c r="W31" s="3">
        <f>IF(COUNT(C31,F31,G31,N31,Q31)&gt;0,AVERAGE(C31,F31,G31,N31,Q31),"")</f>
        <v/>
      </c>
      <c r="X31" s="3">
        <f>IF(COUNT(B31,E31,H31,I31,P31,R31,S31)&gt;0,AVERAGE(B31,E31,H31,I31,P31,R31,S31),"")</f>
        <v/>
      </c>
      <c r="Y31" s="3" t="n"/>
      <c r="AI31" s="1" t="n"/>
      <c r="AJ31" s="3">
        <f>IFERROR(AVERAGEIF($A$4:$A$1004,AI31,$V$4:$V$1004),"")</f>
        <v/>
      </c>
      <c r="AK31" s="3">
        <f>IFERROR(AVERAGEIF($A$4:$A$1004,AI31,$W$4:$W$1004),"")</f>
        <v/>
      </c>
      <c r="AL31" s="3">
        <f>IFERROR(AVERAGEIF($A$4:$A$1004,AI31,$X$4:$X$1004),"")</f>
        <v/>
      </c>
      <c r="AM31" s="3" t="n"/>
    </row>
    <row r="32">
      <c r="A32" s="1">
        <f>IF(Data!A32&gt;0,Data!A32,"")</f>
        <v/>
      </c>
      <c r="B32" s="1">
        <f>IF(Data!B32&gt;0,Data!B32,"")</f>
        <v/>
      </c>
      <c r="C32" s="1">
        <f>IF(Data!C32&gt;0,Data!C32,"")</f>
        <v/>
      </c>
      <c r="D32" s="1">
        <f>IF(Data!D32&gt;0,Data!D32,"")</f>
        <v/>
      </c>
      <c r="E32" s="1">
        <f>IF(Data!E32&gt;0,Data!E32,"")</f>
        <v/>
      </c>
      <c r="F32" s="1">
        <f>IF(Data!F32&gt;0,Data!F32,"")</f>
        <v/>
      </c>
      <c r="G32" s="1">
        <f>IF(Data!G32&gt;0,Data!G32,"")</f>
        <v/>
      </c>
      <c r="H32" s="1">
        <f>IF(Data!H32&gt;0,Data!H32,"")</f>
        <v/>
      </c>
      <c r="I32" s="1">
        <f>IF(Data!I32&gt;0,Data!I32,"")</f>
        <v/>
      </c>
      <c r="J32" s="1">
        <f>IF(Data!J32&gt;0,Data!J32,"")</f>
        <v/>
      </c>
      <c r="K32" s="1">
        <f>IF(Data!K32&gt;0,Data!K32,"")</f>
        <v/>
      </c>
      <c r="L32" s="1">
        <f>IF(Data!L32&gt;0,Data!L32,"")</f>
        <v/>
      </c>
      <c r="M32" s="1">
        <f>IF(Data!M32&gt;0,Data!M32,"")</f>
        <v/>
      </c>
      <c r="N32" s="1">
        <f>IF(Data!N32&gt;0,Data!N32,"")</f>
        <v/>
      </c>
      <c r="O32" s="1">
        <f>IF(Data!O32&gt;0,Data!O32,"")</f>
        <v/>
      </c>
      <c r="P32" s="1">
        <f>IF(Data!P32&gt;0,Data!P32,"")</f>
        <v/>
      </c>
      <c r="Q32" s="1">
        <f>IF(Data!Q32&gt;0,Data!Q32,"")</f>
        <v/>
      </c>
      <c r="R32" s="1">
        <f>IF(Data!R32&gt;0,Data!R32,"")</f>
        <v/>
      </c>
      <c r="S32" s="1">
        <f>IF(Data!S32&gt;0,Data!S32,"")</f>
        <v/>
      </c>
      <c r="V32" s="3">
        <f>IF(COUNT(D32,J32,K32,L32,M32,O32)&gt;0,AVERAGE(D32,J32,K32,L32,M32,O32),"")</f>
        <v/>
      </c>
      <c r="W32" s="3">
        <f>IF(COUNT(C32,F32,G32,N32,Q32)&gt;0,AVERAGE(C32,F32,G32,N32,Q32),"")</f>
        <v/>
      </c>
      <c r="X32" s="3">
        <f>IF(COUNT(B32,E32,H32,I32,P32,R32,S32)&gt;0,AVERAGE(B32,E32,H32,I32,P32,R32,S32),"")</f>
        <v/>
      </c>
      <c r="Y32" s="3" t="n"/>
      <c r="AI32" s="1" t="n"/>
      <c r="AJ32" s="3">
        <f>IFERROR(AVERAGEIF($A$4:$A$1004,AI32,$V$4:$V$1004),"")</f>
        <v/>
      </c>
      <c r="AK32" s="3">
        <f>IFERROR(AVERAGEIF($A$4:$A$1004,AI32,$W$4:$W$1004),"")</f>
        <v/>
      </c>
      <c r="AL32" s="3">
        <f>IFERROR(AVERAGEIF($A$4:$A$1004,AI32,$X$4:$X$1004),"")</f>
        <v/>
      </c>
      <c r="AM32" s="3" t="n"/>
    </row>
    <row r="33">
      <c r="A33" s="1">
        <f>IF(Data!A33&gt;0,Data!A33,"")</f>
        <v/>
      </c>
      <c r="B33" s="1">
        <f>IF(Data!B33&gt;0,Data!B33,"")</f>
        <v/>
      </c>
      <c r="C33" s="1">
        <f>IF(Data!C33&gt;0,Data!C33,"")</f>
        <v/>
      </c>
      <c r="D33" s="1">
        <f>IF(Data!D33&gt;0,Data!D33,"")</f>
        <v/>
      </c>
      <c r="E33" s="1">
        <f>IF(Data!E33&gt;0,Data!E33,"")</f>
        <v/>
      </c>
      <c r="F33" s="1">
        <f>IF(Data!F33&gt;0,Data!F33,"")</f>
        <v/>
      </c>
      <c r="G33" s="1">
        <f>IF(Data!G33&gt;0,Data!G33,"")</f>
        <v/>
      </c>
      <c r="H33" s="1">
        <f>IF(Data!H33&gt;0,Data!H33,"")</f>
        <v/>
      </c>
      <c r="I33" s="1">
        <f>IF(Data!I33&gt;0,Data!I33,"")</f>
        <v/>
      </c>
      <c r="J33" s="1">
        <f>IF(Data!J33&gt;0,Data!J33,"")</f>
        <v/>
      </c>
      <c r="K33" s="1">
        <f>IF(Data!K33&gt;0,Data!K33,"")</f>
        <v/>
      </c>
      <c r="L33" s="1">
        <f>IF(Data!L33&gt;0,Data!L33,"")</f>
        <v/>
      </c>
      <c r="M33" s="1">
        <f>IF(Data!M33&gt;0,Data!M33,"")</f>
        <v/>
      </c>
      <c r="N33" s="1">
        <f>IF(Data!N33&gt;0,Data!N33,"")</f>
        <v/>
      </c>
      <c r="O33" s="1">
        <f>IF(Data!O33&gt;0,Data!O33,"")</f>
        <v/>
      </c>
      <c r="P33" s="1">
        <f>IF(Data!P33&gt;0,Data!P33,"")</f>
        <v/>
      </c>
      <c r="Q33" s="1">
        <f>IF(Data!Q33&gt;0,Data!Q33,"")</f>
        <v/>
      </c>
      <c r="R33" s="1">
        <f>IF(Data!R33&gt;0,Data!R33,"")</f>
        <v/>
      </c>
      <c r="S33" s="1">
        <f>IF(Data!S33&gt;0,Data!S33,"")</f>
        <v/>
      </c>
      <c r="V33" s="3">
        <f>IF(COUNT(D33,J33,K33,L33,M33,O33)&gt;0,AVERAGE(D33,J33,K33,L33,M33,O33),"")</f>
        <v/>
      </c>
      <c r="W33" s="3">
        <f>IF(COUNT(C33,F33,G33,N33,Q33)&gt;0,AVERAGE(C33,F33,G33,N33,Q33),"")</f>
        <v/>
      </c>
      <c r="X33" s="3">
        <f>IF(COUNT(B33,E33,H33,I33,P33,R33,S33)&gt;0,AVERAGE(B33,E33,H33,I33,P33,R33,S33),"")</f>
        <v/>
      </c>
      <c r="Y33" s="3" t="n"/>
      <c r="AI33" s="1" t="n"/>
      <c r="AJ33" s="3">
        <f>IFERROR(AVERAGEIF($A$4:$A$1004,AI33,$V$4:$V$1004),"")</f>
        <v/>
      </c>
      <c r="AK33" s="3">
        <f>IFERROR(AVERAGEIF($A$4:$A$1004,AI33,$W$4:$W$1004),"")</f>
        <v/>
      </c>
      <c r="AL33" s="3">
        <f>IFERROR(AVERAGEIF($A$4:$A$1004,AI33,$X$4:$X$1004),"")</f>
        <v/>
      </c>
      <c r="AM33" s="3" t="n"/>
    </row>
    <row r="34">
      <c r="A34" s="1">
        <f>IF(Data!A34&gt;0,Data!A34,"")</f>
        <v/>
      </c>
      <c r="B34" s="1">
        <f>IF(Data!B34&gt;0,Data!B34,"")</f>
        <v/>
      </c>
      <c r="C34" s="1">
        <f>IF(Data!C34&gt;0,Data!C34,"")</f>
        <v/>
      </c>
      <c r="D34" s="1">
        <f>IF(Data!D34&gt;0,Data!D34,"")</f>
        <v/>
      </c>
      <c r="E34" s="1">
        <f>IF(Data!E34&gt;0,Data!E34,"")</f>
        <v/>
      </c>
      <c r="F34" s="1">
        <f>IF(Data!F34&gt;0,Data!F34,"")</f>
        <v/>
      </c>
      <c r="G34" s="1">
        <f>IF(Data!G34&gt;0,Data!G34,"")</f>
        <v/>
      </c>
      <c r="H34" s="1">
        <f>IF(Data!H34&gt;0,Data!H34,"")</f>
        <v/>
      </c>
      <c r="I34" s="1">
        <f>IF(Data!I34&gt;0,Data!I34,"")</f>
        <v/>
      </c>
      <c r="J34" s="1">
        <f>IF(Data!J34&gt;0,Data!J34,"")</f>
        <v/>
      </c>
      <c r="K34" s="1">
        <f>IF(Data!K34&gt;0,Data!K34,"")</f>
        <v/>
      </c>
      <c r="L34" s="1">
        <f>IF(Data!L34&gt;0,Data!L34,"")</f>
        <v/>
      </c>
      <c r="M34" s="1">
        <f>IF(Data!M34&gt;0,Data!M34,"")</f>
        <v/>
      </c>
      <c r="N34" s="1">
        <f>IF(Data!N34&gt;0,Data!N34,"")</f>
        <v/>
      </c>
      <c r="O34" s="1">
        <f>IF(Data!O34&gt;0,Data!O34,"")</f>
        <v/>
      </c>
      <c r="P34" s="1">
        <f>IF(Data!P34&gt;0,Data!P34,"")</f>
        <v/>
      </c>
      <c r="Q34" s="1">
        <f>IF(Data!Q34&gt;0,Data!Q34,"")</f>
        <v/>
      </c>
      <c r="R34" s="1">
        <f>IF(Data!R34&gt;0,Data!R34,"")</f>
        <v/>
      </c>
      <c r="S34" s="1">
        <f>IF(Data!S34&gt;0,Data!S34,"")</f>
        <v/>
      </c>
      <c r="V34" s="3">
        <f>IF(COUNT(D34,J34,K34,L34,M34,O34)&gt;0,AVERAGE(D34,J34,K34,L34,M34,O34),"")</f>
        <v/>
      </c>
      <c r="W34" s="3">
        <f>IF(COUNT(C34,F34,G34,N34,Q34)&gt;0,AVERAGE(C34,F34,G34,N34,Q34),"")</f>
        <v/>
      </c>
      <c r="X34" s="3">
        <f>IF(COUNT(B34,E34,H34,I34,P34,R34,S34)&gt;0,AVERAGE(B34,E34,H34,I34,P34,R34,S34),"")</f>
        <v/>
      </c>
      <c r="Y34" s="3" t="n"/>
      <c r="AI34" s="1" t="n"/>
      <c r="AJ34" s="3">
        <f>IFERROR(AVERAGEIF($A$4:$A$1004,AI34,$V$4:$V$1004),"")</f>
        <v/>
      </c>
      <c r="AK34" s="3">
        <f>IFERROR(AVERAGEIF($A$4:$A$1004,AI34,$W$4:$W$1004),"")</f>
        <v/>
      </c>
      <c r="AL34" s="3">
        <f>IFERROR(AVERAGEIF($A$4:$A$1004,AI34,$X$4:$X$1004),"")</f>
        <v/>
      </c>
      <c r="AM34" s="3" t="n"/>
    </row>
    <row r="35">
      <c r="A35" s="1">
        <f>IF(Data!A35&gt;0,Data!A35,"")</f>
        <v/>
      </c>
      <c r="B35" s="1">
        <f>IF(Data!B35&gt;0,Data!B35,"")</f>
        <v/>
      </c>
      <c r="C35" s="1">
        <f>IF(Data!C35&gt;0,Data!C35,"")</f>
        <v/>
      </c>
      <c r="D35" s="1">
        <f>IF(Data!D35&gt;0,Data!D35,"")</f>
        <v/>
      </c>
      <c r="E35" s="1">
        <f>IF(Data!E35&gt;0,Data!E35,"")</f>
        <v/>
      </c>
      <c r="F35" s="1">
        <f>IF(Data!F35&gt;0,Data!F35,"")</f>
        <v/>
      </c>
      <c r="G35" s="1">
        <f>IF(Data!G35&gt;0,Data!G35,"")</f>
        <v/>
      </c>
      <c r="H35" s="1">
        <f>IF(Data!H35&gt;0,Data!H35,"")</f>
        <v/>
      </c>
      <c r="I35" s="1">
        <f>IF(Data!I35&gt;0,Data!I35,"")</f>
        <v/>
      </c>
      <c r="J35" s="1">
        <f>IF(Data!J35&gt;0,Data!J35,"")</f>
        <v/>
      </c>
      <c r="K35" s="1">
        <f>IF(Data!K35&gt;0,Data!K35,"")</f>
        <v/>
      </c>
      <c r="L35" s="1">
        <f>IF(Data!L35&gt;0,Data!L35,"")</f>
        <v/>
      </c>
      <c r="M35" s="1">
        <f>IF(Data!M35&gt;0,Data!M35,"")</f>
        <v/>
      </c>
      <c r="N35" s="1">
        <f>IF(Data!N35&gt;0,Data!N35,"")</f>
        <v/>
      </c>
      <c r="O35" s="1">
        <f>IF(Data!O35&gt;0,Data!O35,"")</f>
        <v/>
      </c>
      <c r="P35" s="1">
        <f>IF(Data!P35&gt;0,Data!P35,"")</f>
        <v/>
      </c>
      <c r="Q35" s="1">
        <f>IF(Data!Q35&gt;0,Data!Q35,"")</f>
        <v/>
      </c>
      <c r="R35" s="1">
        <f>IF(Data!R35&gt;0,Data!R35,"")</f>
        <v/>
      </c>
      <c r="S35" s="1">
        <f>IF(Data!S35&gt;0,Data!S35,"")</f>
        <v/>
      </c>
      <c r="V35" s="3">
        <f>IF(COUNT(D35,J35,K35,L35,M35,O35)&gt;0,AVERAGE(D35,J35,K35,L35,M35,O35),"")</f>
        <v/>
      </c>
      <c r="W35" s="3">
        <f>IF(COUNT(C35,F35,G35,N35,Q35)&gt;0,AVERAGE(C35,F35,G35,N35,Q35),"")</f>
        <v/>
      </c>
      <c r="X35" s="3">
        <f>IF(COUNT(B35,E35,H35,I35,P35,R35,S35)&gt;0,AVERAGE(B35,E35,H35,I35,P35,R35,S35),"")</f>
        <v/>
      </c>
      <c r="Y35" s="3" t="n"/>
      <c r="AI35" s="1" t="n"/>
      <c r="AJ35" s="3">
        <f>IFERROR(AVERAGEIF($A$4:$A$1004,AI35,$V$4:$V$1004),"")</f>
        <v/>
      </c>
      <c r="AK35" s="3">
        <f>IFERROR(AVERAGEIF($A$4:$A$1004,AI35,$W$4:$W$1004),"")</f>
        <v/>
      </c>
      <c r="AL35" s="3">
        <f>IFERROR(AVERAGEIF($A$4:$A$1004,AI35,$X$4:$X$1004),"")</f>
        <v/>
      </c>
      <c r="AM35" s="3" t="n"/>
    </row>
    <row r="36">
      <c r="A36" s="1">
        <f>IF(Data!A36&gt;0,Data!A36,"")</f>
        <v/>
      </c>
      <c r="B36" s="1">
        <f>IF(Data!B36&gt;0,Data!B36,"")</f>
        <v/>
      </c>
      <c r="C36" s="1">
        <f>IF(Data!C36&gt;0,Data!C36,"")</f>
        <v/>
      </c>
      <c r="D36" s="1">
        <f>IF(Data!D36&gt;0,Data!D36,"")</f>
        <v/>
      </c>
      <c r="E36" s="1">
        <f>IF(Data!E36&gt;0,Data!E36,"")</f>
        <v/>
      </c>
      <c r="F36" s="1">
        <f>IF(Data!F36&gt;0,Data!F36,"")</f>
        <v/>
      </c>
      <c r="G36" s="1">
        <f>IF(Data!G36&gt;0,Data!G36,"")</f>
        <v/>
      </c>
      <c r="H36" s="1">
        <f>IF(Data!H36&gt;0,Data!H36,"")</f>
        <v/>
      </c>
      <c r="I36" s="1">
        <f>IF(Data!I36&gt;0,Data!I36,"")</f>
        <v/>
      </c>
      <c r="J36" s="1">
        <f>IF(Data!J36&gt;0,Data!J36,"")</f>
        <v/>
      </c>
      <c r="K36" s="1">
        <f>IF(Data!K36&gt;0,Data!K36,"")</f>
        <v/>
      </c>
      <c r="L36" s="1">
        <f>IF(Data!L36&gt;0,Data!L36,"")</f>
        <v/>
      </c>
      <c r="M36" s="1">
        <f>IF(Data!M36&gt;0,Data!M36,"")</f>
        <v/>
      </c>
      <c r="N36" s="1">
        <f>IF(Data!N36&gt;0,Data!N36,"")</f>
        <v/>
      </c>
      <c r="O36" s="1">
        <f>IF(Data!O36&gt;0,Data!O36,"")</f>
        <v/>
      </c>
      <c r="P36" s="1">
        <f>IF(Data!P36&gt;0,Data!P36,"")</f>
        <v/>
      </c>
      <c r="Q36" s="1">
        <f>IF(Data!Q36&gt;0,Data!Q36,"")</f>
        <v/>
      </c>
      <c r="R36" s="1">
        <f>IF(Data!R36&gt;0,Data!R36,"")</f>
        <v/>
      </c>
      <c r="S36" s="1">
        <f>IF(Data!S36&gt;0,Data!S36,"")</f>
        <v/>
      </c>
      <c r="V36" s="3">
        <f>IF(COUNT(D36,J36,K36,L36,M36,O36)&gt;0,AVERAGE(D36,J36,K36,L36,M36,O36),"")</f>
        <v/>
      </c>
      <c r="W36" s="3">
        <f>IF(COUNT(C36,F36,G36,N36,Q36)&gt;0,AVERAGE(C36,F36,G36,N36,Q36),"")</f>
        <v/>
      </c>
      <c r="X36" s="3">
        <f>IF(COUNT(B36,E36,H36,I36,P36,R36,S36)&gt;0,AVERAGE(B36,E36,H36,I36,P36,R36,S36),"")</f>
        <v/>
      </c>
      <c r="Y36" s="3" t="n"/>
      <c r="AI36" s="1" t="n"/>
      <c r="AJ36" s="3">
        <f>IFERROR(AVERAGEIF($A$4:$A$1004,AI36,$V$4:$V$1004),"")</f>
        <v/>
      </c>
      <c r="AK36" s="3">
        <f>IFERROR(AVERAGEIF($A$4:$A$1004,AI36,$W$4:$W$1004),"")</f>
        <v/>
      </c>
      <c r="AL36" s="3">
        <f>IFERROR(AVERAGEIF($A$4:$A$1004,AI36,$X$4:$X$1004),"")</f>
        <v/>
      </c>
      <c r="AM36" s="3" t="n"/>
    </row>
    <row r="37">
      <c r="A37" s="1">
        <f>IF(Data!A37&gt;0,Data!A37,"")</f>
        <v/>
      </c>
      <c r="B37" s="1">
        <f>IF(Data!B37&gt;0,Data!B37,"")</f>
        <v/>
      </c>
      <c r="C37" s="1">
        <f>IF(Data!C37&gt;0,Data!C37,"")</f>
        <v/>
      </c>
      <c r="D37" s="1">
        <f>IF(Data!D37&gt;0,Data!D37,"")</f>
        <v/>
      </c>
      <c r="E37" s="1">
        <f>IF(Data!E37&gt;0,Data!E37,"")</f>
        <v/>
      </c>
      <c r="F37" s="1">
        <f>IF(Data!F37&gt;0,Data!F37,"")</f>
        <v/>
      </c>
      <c r="G37" s="1">
        <f>IF(Data!G37&gt;0,Data!G37,"")</f>
        <v/>
      </c>
      <c r="H37" s="1">
        <f>IF(Data!H37&gt;0,Data!H37,"")</f>
        <v/>
      </c>
      <c r="I37" s="1">
        <f>IF(Data!I37&gt;0,Data!I37,"")</f>
        <v/>
      </c>
      <c r="J37" s="1">
        <f>IF(Data!J37&gt;0,Data!J37,"")</f>
        <v/>
      </c>
      <c r="K37" s="1">
        <f>IF(Data!K37&gt;0,Data!K37,"")</f>
        <v/>
      </c>
      <c r="L37" s="1">
        <f>IF(Data!L37&gt;0,Data!L37,"")</f>
        <v/>
      </c>
      <c r="M37" s="1">
        <f>IF(Data!M37&gt;0,Data!M37,"")</f>
        <v/>
      </c>
      <c r="N37" s="1">
        <f>IF(Data!N37&gt;0,Data!N37,"")</f>
        <v/>
      </c>
      <c r="O37" s="1">
        <f>IF(Data!O37&gt;0,Data!O37,"")</f>
        <v/>
      </c>
      <c r="P37" s="1">
        <f>IF(Data!P37&gt;0,Data!P37,"")</f>
        <v/>
      </c>
      <c r="Q37" s="1">
        <f>IF(Data!Q37&gt;0,Data!Q37,"")</f>
        <v/>
      </c>
      <c r="R37" s="1">
        <f>IF(Data!R37&gt;0,Data!R37,"")</f>
        <v/>
      </c>
      <c r="S37" s="1">
        <f>IF(Data!S37&gt;0,Data!S37,"")</f>
        <v/>
      </c>
      <c r="V37" s="3">
        <f>IF(COUNT(D37,J37,K37,L37,M37,O37)&gt;0,AVERAGE(D37,J37,K37,L37,M37,O37),"")</f>
        <v/>
      </c>
      <c r="W37" s="3">
        <f>IF(COUNT(C37,F37,G37,N37,Q37)&gt;0,AVERAGE(C37,F37,G37,N37,Q37),"")</f>
        <v/>
      </c>
      <c r="X37" s="3">
        <f>IF(COUNT(B37,E37,H37,I37,P37,R37,S37)&gt;0,AVERAGE(B37,E37,H37,I37,P37,R37,S37),"")</f>
        <v/>
      </c>
      <c r="Y37" s="3" t="n"/>
      <c r="AI37" s="1" t="n"/>
      <c r="AJ37" s="3">
        <f>IFERROR(AVERAGEIF($A$4:$A$1004,AI37,$V$4:$V$1004),"")</f>
        <v/>
      </c>
      <c r="AK37" s="3">
        <f>IFERROR(AVERAGEIF($A$4:$A$1004,AI37,$W$4:$W$1004),"")</f>
        <v/>
      </c>
      <c r="AL37" s="3">
        <f>IFERROR(AVERAGEIF($A$4:$A$1004,AI37,$X$4:$X$1004),"")</f>
        <v/>
      </c>
      <c r="AM37" s="3" t="n"/>
    </row>
    <row r="38">
      <c r="A38" s="1">
        <f>IF(Data!A38&gt;0,Data!A38,"")</f>
        <v/>
      </c>
      <c r="B38" s="1">
        <f>IF(Data!B38&gt;0,Data!B38,"")</f>
        <v/>
      </c>
      <c r="C38" s="1">
        <f>IF(Data!C38&gt;0,Data!C38,"")</f>
        <v/>
      </c>
      <c r="D38" s="1">
        <f>IF(Data!D38&gt;0,Data!D38,"")</f>
        <v/>
      </c>
      <c r="E38" s="1">
        <f>IF(Data!E38&gt;0,Data!E38,"")</f>
        <v/>
      </c>
      <c r="F38" s="1">
        <f>IF(Data!F38&gt;0,Data!F38,"")</f>
        <v/>
      </c>
      <c r="G38" s="1">
        <f>IF(Data!G38&gt;0,Data!G38,"")</f>
        <v/>
      </c>
      <c r="H38" s="1">
        <f>IF(Data!H38&gt;0,Data!H38,"")</f>
        <v/>
      </c>
      <c r="I38" s="1">
        <f>IF(Data!I38&gt;0,Data!I38,"")</f>
        <v/>
      </c>
      <c r="J38" s="1">
        <f>IF(Data!J38&gt;0,Data!J38,"")</f>
        <v/>
      </c>
      <c r="K38" s="1">
        <f>IF(Data!K38&gt;0,Data!K38,"")</f>
        <v/>
      </c>
      <c r="L38" s="1">
        <f>IF(Data!L38&gt;0,Data!L38,"")</f>
        <v/>
      </c>
      <c r="M38" s="1">
        <f>IF(Data!M38&gt;0,Data!M38,"")</f>
        <v/>
      </c>
      <c r="N38" s="1">
        <f>IF(Data!N38&gt;0,Data!N38,"")</f>
        <v/>
      </c>
      <c r="O38" s="1">
        <f>IF(Data!O38&gt;0,Data!O38,"")</f>
        <v/>
      </c>
      <c r="P38" s="1">
        <f>IF(Data!P38&gt;0,Data!P38,"")</f>
        <v/>
      </c>
      <c r="Q38" s="1">
        <f>IF(Data!Q38&gt;0,Data!Q38,"")</f>
        <v/>
      </c>
      <c r="R38" s="1">
        <f>IF(Data!R38&gt;0,Data!R38,"")</f>
        <v/>
      </c>
      <c r="S38" s="1">
        <f>IF(Data!S38&gt;0,Data!S38,"")</f>
        <v/>
      </c>
      <c r="V38" s="3">
        <f>IF(COUNT(D38,J38,K38,L38,M38,O38)&gt;0,AVERAGE(D38,J38,K38,L38,M38,O38),"")</f>
        <v/>
      </c>
      <c r="W38" s="3">
        <f>IF(COUNT(C38,F38,G38,N38,Q38)&gt;0,AVERAGE(C38,F38,G38,N38,Q38),"")</f>
        <v/>
      </c>
      <c r="X38" s="3">
        <f>IF(COUNT(B38,E38,H38,I38,P38,R38,S38)&gt;0,AVERAGE(B38,E38,H38,I38,P38,R38,S38),"")</f>
        <v/>
      </c>
      <c r="Y38" s="3" t="n"/>
      <c r="AI38" s="1" t="n"/>
      <c r="AJ38" s="3">
        <f>IFERROR(AVERAGEIF($A$4:$A$1004,AI38,$V$4:$V$1004),"")</f>
        <v/>
      </c>
      <c r="AK38" s="3">
        <f>IFERROR(AVERAGEIF($A$4:$A$1004,AI38,$W$4:$W$1004),"")</f>
        <v/>
      </c>
      <c r="AL38" s="3">
        <f>IFERROR(AVERAGEIF($A$4:$A$1004,AI38,$X$4:$X$1004),"")</f>
        <v/>
      </c>
      <c r="AM38" s="3" t="n"/>
    </row>
    <row r="39">
      <c r="A39" s="1">
        <f>IF(Data!A39&gt;0,Data!A39,"")</f>
        <v/>
      </c>
      <c r="B39" s="1">
        <f>IF(Data!B39&gt;0,Data!B39,"")</f>
        <v/>
      </c>
      <c r="C39" s="1">
        <f>IF(Data!C39&gt;0,Data!C39,"")</f>
        <v/>
      </c>
      <c r="D39" s="1">
        <f>IF(Data!D39&gt;0,Data!D39,"")</f>
        <v/>
      </c>
      <c r="E39" s="1">
        <f>IF(Data!E39&gt;0,Data!E39,"")</f>
        <v/>
      </c>
      <c r="F39" s="1">
        <f>IF(Data!F39&gt;0,Data!F39,"")</f>
        <v/>
      </c>
      <c r="G39" s="1">
        <f>IF(Data!G39&gt;0,Data!G39,"")</f>
        <v/>
      </c>
      <c r="H39" s="1">
        <f>IF(Data!H39&gt;0,Data!H39,"")</f>
        <v/>
      </c>
      <c r="I39" s="1">
        <f>IF(Data!I39&gt;0,Data!I39,"")</f>
        <v/>
      </c>
      <c r="J39" s="1">
        <f>IF(Data!J39&gt;0,Data!J39,"")</f>
        <v/>
      </c>
      <c r="K39" s="1">
        <f>IF(Data!K39&gt;0,Data!K39,"")</f>
        <v/>
      </c>
      <c r="L39" s="1">
        <f>IF(Data!L39&gt;0,Data!L39,"")</f>
        <v/>
      </c>
      <c r="M39" s="1">
        <f>IF(Data!M39&gt;0,Data!M39,"")</f>
        <v/>
      </c>
      <c r="N39" s="1">
        <f>IF(Data!N39&gt;0,Data!N39,"")</f>
        <v/>
      </c>
      <c r="O39" s="1">
        <f>IF(Data!O39&gt;0,Data!O39,"")</f>
        <v/>
      </c>
      <c r="P39" s="1">
        <f>IF(Data!P39&gt;0,Data!P39,"")</f>
        <v/>
      </c>
      <c r="Q39" s="1">
        <f>IF(Data!Q39&gt;0,Data!Q39,"")</f>
        <v/>
      </c>
      <c r="R39" s="1">
        <f>IF(Data!R39&gt;0,Data!R39,"")</f>
        <v/>
      </c>
      <c r="S39" s="1">
        <f>IF(Data!S39&gt;0,Data!S39,"")</f>
        <v/>
      </c>
      <c r="V39" s="3">
        <f>IF(COUNT(D39,J39,K39,L39,M39,O39)&gt;0,AVERAGE(D39,J39,K39,L39,M39,O39),"")</f>
        <v/>
      </c>
      <c r="W39" s="3">
        <f>IF(COUNT(C39,F39,G39,N39,Q39)&gt;0,AVERAGE(C39,F39,G39,N39,Q39),"")</f>
        <v/>
      </c>
      <c r="X39" s="3">
        <f>IF(COUNT(B39,E39,H39,I39,P39,R39,S39)&gt;0,AVERAGE(B39,E39,H39,I39,P39,R39,S39),"")</f>
        <v/>
      </c>
      <c r="Y39" s="3" t="n"/>
      <c r="AI39" s="1" t="n"/>
      <c r="AJ39" s="3">
        <f>IFERROR(AVERAGEIF($A$4:$A$1004,AI39,$V$4:$V$1004),"")</f>
        <v/>
      </c>
      <c r="AK39" s="3">
        <f>IFERROR(AVERAGEIF($A$4:$A$1004,AI39,$W$4:$W$1004),"")</f>
        <v/>
      </c>
      <c r="AL39" s="3">
        <f>IFERROR(AVERAGEIF($A$4:$A$1004,AI39,$X$4:$X$1004),"")</f>
        <v/>
      </c>
      <c r="AM39" s="3" t="n"/>
    </row>
    <row r="40">
      <c r="A40" s="1">
        <f>IF(Data!A40&gt;0,Data!A40,"")</f>
        <v/>
      </c>
      <c r="B40" s="1">
        <f>IF(Data!B40&gt;0,Data!B40,"")</f>
        <v/>
      </c>
      <c r="C40" s="1">
        <f>IF(Data!C40&gt;0,Data!C40,"")</f>
        <v/>
      </c>
      <c r="D40" s="1">
        <f>IF(Data!D40&gt;0,Data!D40,"")</f>
        <v/>
      </c>
      <c r="E40" s="1">
        <f>IF(Data!E40&gt;0,Data!E40,"")</f>
        <v/>
      </c>
      <c r="F40" s="1">
        <f>IF(Data!F40&gt;0,Data!F40,"")</f>
        <v/>
      </c>
      <c r="G40" s="1">
        <f>IF(Data!G40&gt;0,Data!G40,"")</f>
        <v/>
      </c>
      <c r="H40" s="1">
        <f>IF(Data!H40&gt;0,Data!H40,"")</f>
        <v/>
      </c>
      <c r="I40" s="1">
        <f>IF(Data!I40&gt;0,Data!I40,"")</f>
        <v/>
      </c>
      <c r="J40" s="1">
        <f>IF(Data!J40&gt;0,Data!J40,"")</f>
        <v/>
      </c>
      <c r="K40" s="1">
        <f>IF(Data!K40&gt;0,Data!K40,"")</f>
        <v/>
      </c>
      <c r="L40" s="1">
        <f>IF(Data!L40&gt;0,Data!L40,"")</f>
        <v/>
      </c>
      <c r="M40" s="1">
        <f>IF(Data!M40&gt;0,Data!M40,"")</f>
        <v/>
      </c>
      <c r="N40" s="1">
        <f>IF(Data!N40&gt;0,Data!N40,"")</f>
        <v/>
      </c>
      <c r="O40" s="1">
        <f>IF(Data!O40&gt;0,Data!O40,"")</f>
        <v/>
      </c>
      <c r="P40" s="1">
        <f>IF(Data!P40&gt;0,Data!P40,"")</f>
        <v/>
      </c>
      <c r="Q40" s="1">
        <f>IF(Data!Q40&gt;0,Data!Q40,"")</f>
        <v/>
      </c>
      <c r="R40" s="1">
        <f>IF(Data!R40&gt;0,Data!R40,"")</f>
        <v/>
      </c>
      <c r="S40" s="1">
        <f>IF(Data!S40&gt;0,Data!S40,"")</f>
        <v/>
      </c>
      <c r="V40" s="3">
        <f>IF(COUNT(D40,J40,K40,L40,M40,O40)&gt;0,AVERAGE(D40,J40,K40,L40,M40,O40),"")</f>
        <v/>
      </c>
      <c r="W40" s="3">
        <f>IF(COUNT(C40,F40,G40,N40,Q40)&gt;0,AVERAGE(C40,F40,G40,N40,Q40),"")</f>
        <v/>
      </c>
      <c r="X40" s="3">
        <f>IF(COUNT(B40,E40,H40,I40,P40,R40,S40)&gt;0,AVERAGE(B40,E40,H40,I40,P40,R40,S40),"")</f>
        <v/>
      </c>
      <c r="Y40" s="3" t="n"/>
      <c r="AI40" s="1" t="n"/>
      <c r="AJ40" s="3">
        <f>IFERROR(AVERAGEIF($A$4:$A$1004,AI40,$V$4:$V$1004),"")</f>
        <v/>
      </c>
      <c r="AK40" s="3">
        <f>IFERROR(AVERAGEIF($A$4:$A$1004,AI40,$W$4:$W$1004),"")</f>
        <v/>
      </c>
      <c r="AL40" s="3">
        <f>IFERROR(AVERAGEIF($A$4:$A$1004,AI40,$X$4:$X$1004),"")</f>
        <v/>
      </c>
      <c r="AM40" s="3" t="n"/>
    </row>
    <row r="41">
      <c r="A41" s="1">
        <f>IF(Data!A41&gt;0,Data!A41,"")</f>
        <v/>
      </c>
      <c r="B41" s="1">
        <f>IF(Data!B41&gt;0,Data!B41,"")</f>
        <v/>
      </c>
      <c r="C41" s="1">
        <f>IF(Data!C41&gt;0,Data!C41,"")</f>
        <v/>
      </c>
      <c r="D41" s="1">
        <f>IF(Data!D41&gt;0,Data!D41,"")</f>
        <v/>
      </c>
      <c r="E41" s="1">
        <f>IF(Data!E41&gt;0,Data!E41,"")</f>
        <v/>
      </c>
      <c r="F41" s="1">
        <f>IF(Data!F41&gt;0,Data!F41,"")</f>
        <v/>
      </c>
      <c r="G41" s="1">
        <f>IF(Data!G41&gt;0,Data!G41,"")</f>
        <v/>
      </c>
      <c r="H41" s="1">
        <f>IF(Data!H41&gt;0,Data!H41,"")</f>
        <v/>
      </c>
      <c r="I41" s="1">
        <f>IF(Data!I41&gt;0,Data!I41,"")</f>
        <v/>
      </c>
      <c r="J41" s="1">
        <f>IF(Data!J41&gt;0,Data!J41,"")</f>
        <v/>
      </c>
      <c r="K41" s="1">
        <f>IF(Data!K41&gt;0,Data!K41,"")</f>
        <v/>
      </c>
      <c r="L41" s="1">
        <f>IF(Data!L41&gt;0,Data!L41,"")</f>
        <v/>
      </c>
      <c r="M41" s="1">
        <f>IF(Data!M41&gt;0,Data!M41,"")</f>
        <v/>
      </c>
      <c r="N41" s="1">
        <f>IF(Data!N41&gt;0,Data!N41,"")</f>
        <v/>
      </c>
      <c r="O41" s="1">
        <f>IF(Data!O41&gt;0,Data!O41,"")</f>
        <v/>
      </c>
      <c r="P41" s="1">
        <f>IF(Data!P41&gt;0,Data!P41,"")</f>
        <v/>
      </c>
      <c r="Q41" s="1">
        <f>IF(Data!Q41&gt;0,Data!Q41,"")</f>
        <v/>
      </c>
      <c r="R41" s="1">
        <f>IF(Data!R41&gt;0,Data!R41,"")</f>
        <v/>
      </c>
      <c r="S41" s="1">
        <f>IF(Data!S41&gt;0,Data!S41,"")</f>
        <v/>
      </c>
      <c r="V41" s="3">
        <f>IF(COUNT(D41,J41,K41,L41,M41,O41)&gt;0,AVERAGE(D41,J41,K41,L41,M41,O41),"")</f>
        <v/>
      </c>
      <c r="W41" s="3">
        <f>IF(COUNT(C41,F41,G41,N41,Q41)&gt;0,AVERAGE(C41,F41,G41,N41,Q41),"")</f>
        <v/>
      </c>
      <c r="X41" s="3">
        <f>IF(COUNT(B41,E41,H41,I41,P41,R41,S41)&gt;0,AVERAGE(B41,E41,H41,I41,P41,R41,S41),"")</f>
        <v/>
      </c>
      <c r="Y41" s="3" t="n"/>
      <c r="AI41" s="1" t="n"/>
      <c r="AJ41" s="3">
        <f>IFERROR(AVERAGEIF($A$4:$A$1004,AI41,$V$4:$V$1004),"")</f>
        <v/>
      </c>
      <c r="AK41" s="3">
        <f>IFERROR(AVERAGEIF($A$4:$A$1004,AI41,$W$4:$W$1004),"")</f>
        <v/>
      </c>
      <c r="AL41" s="3">
        <f>IFERROR(AVERAGEIF($A$4:$A$1004,AI41,$X$4:$X$1004),"")</f>
        <v/>
      </c>
      <c r="AM41" s="3" t="n"/>
    </row>
    <row r="42">
      <c r="A42" s="1">
        <f>IF(Data!A42&gt;0,Data!A42,"")</f>
        <v/>
      </c>
      <c r="B42" s="1">
        <f>IF(Data!B42&gt;0,Data!B42,"")</f>
        <v/>
      </c>
      <c r="C42" s="1">
        <f>IF(Data!C42&gt;0,Data!C42,"")</f>
        <v/>
      </c>
      <c r="D42" s="1">
        <f>IF(Data!D42&gt;0,Data!D42,"")</f>
        <v/>
      </c>
      <c r="E42" s="1">
        <f>IF(Data!E42&gt;0,Data!E42,"")</f>
        <v/>
      </c>
      <c r="F42" s="1">
        <f>IF(Data!F42&gt;0,Data!F42,"")</f>
        <v/>
      </c>
      <c r="G42" s="1">
        <f>IF(Data!G42&gt;0,Data!G42,"")</f>
        <v/>
      </c>
      <c r="H42" s="1">
        <f>IF(Data!H42&gt;0,Data!H42,"")</f>
        <v/>
      </c>
      <c r="I42" s="1">
        <f>IF(Data!I42&gt;0,Data!I42,"")</f>
        <v/>
      </c>
      <c r="J42" s="1">
        <f>IF(Data!J42&gt;0,Data!J42,"")</f>
        <v/>
      </c>
      <c r="K42" s="1">
        <f>IF(Data!K42&gt;0,Data!K42,"")</f>
        <v/>
      </c>
      <c r="L42" s="1">
        <f>IF(Data!L42&gt;0,Data!L42,"")</f>
        <v/>
      </c>
      <c r="M42" s="1">
        <f>IF(Data!M42&gt;0,Data!M42,"")</f>
        <v/>
      </c>
      <c r="N42" s="1">
        <f>IF(Data!N42&gt;0,Data!N42,"")</f>
        <v/>
      </c>
      <c r="O42" s="1">
        <f>IF(Data!O42&gt;0,Data!O42,"")</f>
        <v/>
      </c>
      <c r="P42" s="1">
        <f>IF(Data!P42&gt;0,Data!P42,"")</f>
        <v/>
      </c>
      <c r="Q42" s="1">
        <f>IF(Data!Q42&gt;0,Data!Q42,"")</f>
        <v/>
      </c>
      <c r="R42" s="1">
        <f>IF(Data!R42&gt;0,Data!R42,"")</f>
        <v/>
      </c>
      <c r="S42" s="1">
        <f>IF(Data!S42&gt;0,Data!S42,"")</f>
        <v/>
      </c>
      <c r="V42" s="3">
        <f>IF(COUNT(D42,J42,K42,L42,M42,O42)&gt;0,AVERAGE(D42,J42,K42,L42,M42,O42),"")</f>
        <v/>
      </c>
      <c r="W42" s="3">
        <f>IF(COUNT(C42,F42,G42,N42,Q42)&gt;0,AVERAGE(C42,F42,G42,N42,Q42),"")</f>
        <v/>
      </c>
      <c r="X42" s="3">
        <f>IF(COUNT(B42,E42,H42,I42,P42,R42,S42)&gt;0,AVERAGE(B42,E42,H42,I42,P42,R42,S42),"")</f>
        <v/>
      </c>
      <c r="Y42" s="3" t="n"/>
      <c r="AI42" s="1" t="n"/>
      <c r="AJ42" s="3">
        <f>IFERROR(AVERAGEIF($A$4:$A$1004,AI42,$V$4:$V$1004),"")</f>
        <v/>
      </c>
      <c r="AK42" s="3">
        <f>IFERROR(AVERAGEIF($A$4:$A$1004,AI42,$W$4:$W$1004),"")</f>
        <v/>
      </c>
      <c r="AL42" s="3">
        <f>IFERROR(AVERAGEIF($A$4:$A$1004,AI42,$X$4:$X$1004),"")</f>
        <v/>
      </c>
      <c r="AM42" s="3" t="n"/>
    </row>
    <row r="43">
      <c r="A43" s="1">
        <f>IF(Data!A43&gt;0,Data!A43,"")</f>
        <v/>
      </c>
      <c r="B43" s="1">
        <f>IF(Data!B43&gt;0,Data!B43,"")</f>
        <v/>
      </c>
      <c r="C43" s="1">
        <f>IF(Data!C43&gt;0,Data!C43,"")</f>
        <v/>
      </c>
      <c r="D43" s="1">
        <f>IF(Data!D43&gt;0,Data!D43,"")</f>
        <v/>
      </c>
      <c r="E43" s="1">
        <f>IF(Data!E43&gt;0,Data!E43,"")</f>
        <v/>
      </c>
      <c r="F43" s="1">
        <f>IF(Data!F43&gt;0,Data!F43,"")</f>
        <v/>
      </c>
      <c r="G43" s="1">
        <f>IF(Data!G43&gt;0,Data!G43,"")</f>
        <v/>
      </c>
      <c r="H43" s="1">
        <f>IF(Data!H43&gt;0,Data!H43,"")</f>
        <v/>
      </c>
      <c r="I43" s="1">
        <f>IF(Data!I43&gt;0,Data!I43,"")</f>
        <v/>
      </c>
      <c r="J43" s="1">
        <f>IF(Data!J43&gt;0,Data!J43,"")</f>
        <v/>
      </c>
      <c r="K43" s="1">
        <f>IF(Data!K43&gt;0,Data!K43,"")</f>
        <v/>
      </c>
      <c r="L43" s="1">
        <f>IF(Data!L43&gt;0,Data!L43,"")</f>
        <v/>
      </c>
      <c r="M43" s="1">
        <f>IF(Data!M43&gt;0,Data!M43,"")</f>
        <v/>
      </c>
      <c r="N43" s="1">
        <f>IF(Data!N43&gt;0,Data!N43,"")</f>
        <v/>
      </c>
      <c r="O43" s="1">
        <f>IF(Data!O43&gt;0,Data!O43,"")</f>
        <v/>
      </c>
      <c r="P43" s="1">
        <f>IF(Data!P43&gt;0,Data!P43,"")</f>
        <v/>
      </c>
      <c r="Q43" s="1">
        <f>IF(Data!Q43&gt;0,Data!Q43,"")</f>
        <v/>
      </c>
      <c r="R43" s="1">
        <f>IF(Data!R43&gt;0,Data!R43,"")</f>
        <v/>
      </c>
      <c r="S43" s="1">
        <f>IF(Data!S43&gt;0,Data!S43,"")</f>
        <v/>
      </c>
      <c r="V43" s="3">
        <f>IF(COUNT(D43,J43,K43,L43,M43,O43)&gt;0,AVERAGE(D43,J43,K43,L43,M43,O43),"")</f>
        <v/>
      </c>
      <c r="W43" s="3">
        <f>IF(COUNT(C43,F43,G43,N43,Q43)&gt;0,AVERAGE(C43,F43,G43,N43,Q43),"")</f>
        <v/>
      </c>
      <c r="X43" s="3">
        <f>IF(COUNT(B43,E43,H43,I43,P43,R43,S43)&gt;0,AVERAGE(B43,E43,H43,I43,P43,R43,S43),"")</f>
        <v/>
      </c>
      <c r="Y43" s="3" t="n"/>
      <c r="AI43" s="1" t="n"/>
      <c r="AJ43" s="3">
        <f>IFERROR(AVERAGEIF($A$4:$A$1004,AI43,$V$4:$V$1004),"")</f>
        <v/>
      </c>
      <c r="AK43" s="3">
        <f>IFERROR(AVERAGEIF($A$4:$A$1004,AI43,$W$4:$W$1004),"")</f>
        <v/>
      </c>
      <c r="AL43" s="3">
        <f>IFERROR(AVERAGEIF($A$4:$A$1004,AI43,$X$4:$X$1004),"")</f>
        <v/>
      </c>
      <c r="AM43" s="3" t="n"/>
    </row>
    <row r="44">
      <c r="A44" s="1">
        <f>IF(Data!A44&gt;0,Data!A44,"")</f>
        <v/>
      </c>
      <c r="B44" s="1">
        <f>IF(Data!B44&gt;0,Data!B44,"")</f>
        <v/>
      </c>
      <c r="C44" s="1">
        <f>IF(Data!C44&gt;0,Data!C44,"")</f>
        <v/>
      </c>
      <c r="D44" s="1">
        <f>IF(Data!D44&gt;0,Data!D44,"")</f>
        <v/>
      </c>
      <c r="E44" s="1">
        <f>IF(Data!E44&gt;0,Data!E44,"")</f>
        <v/>
      </c>
      <c r="F44" s="1">
        <f>IF(Data!F44&gt;0,Data!F44,"")</f>
        <v/>
      </c>
      <c r="G44" s="1">
        <f>IF(Data!G44&gt;0,Data!G44,"")</f>
        <v/>
      </c>
      <c r="H44" s="1">
        <f>IF(Data!H44&gt;0,Data!H44,"")</f>
        <v/>
      </c>
      <c r="I44" s="1">
        <f>IF(Data!I44&gt;0,Data!I44,"")</f>
        <v/>
      </c>
      <c r="J44" s="1">
        <f>IF(Data!J44&gt;0,Data!J44,"")</f>
        <v/>
      </c>
      <c r="K44" s="1">
        <f>IF(Data!K44&gt;0,Data!K44,"")</f>
        <v/>
      </c>
      <c r="L44" s="1">
        <f>IF(Data!L44&gt;0,Data!L44,"")</f>
        <v/>
      </c>
      <c r="M44" s="1">
        <f>IF(Data!M44&gt;0,Data!M44,"")</f>
        <v/>
      </c>
      <c r="N44" s="1">
        <f>IF(Data!N44&gt;0,Data!N44,"")</f>
        <v/>
      </c>
      <c r="O44" s="1">
        <f>IF(Data!O44&gt;0,Data!O44,"")</f>
        <v/>
      </c>
      <c r="P44" s="1">
        <f>IF(Data!P44&gt;0,Data!P44,"")</f>
        <v/>
      </c>
      <c r="Q44" s="1">
        <f>IF(Data!Q44&gt;0,Data!Q44,"")</f>
        <v/>
      </c>
      <c r="R44" s="1">
        <f>IF(Data!R44&gt;0,Data!R44,"")</f>
        <v/>
      </c>
      <c r="S44" s="1">
        <f>IF(Data!S44&gt;0,Data!S44,"")</f>
        <v/>
      </c>
      <c r="V44" s="3">
        <f>IF(COUNT(D44,J44,K44,L44,M44,O44)&gt;0,AVERAGE(D44,J44,K44,L44,M44,O44),"")</f>
        <v/>
      </c>
      <c r="W44" s="3">
        <f>IF(COUNT(C44,F44,G44,N44,Q44)&gt;0,AVERAGE(C44,F44,G44,N44,Q44),"")</f>
        <v/>
      </c>
      <c r="X44" s="3">
        <f>IF(COUNT(B44,E44,H44,I44,P44,R44,S44)&gt;0,AVERAGE(B44,E44,H44,I44,P44,R44,S44),"")</f>
        <v/>
      </c>
      <c r="Y44" s="3" t="n"/>
      <c r="AI44" s="1" t="n"/>
      <c r="AJ44" s="3">
        <f>IFERROR(AVERAGEIF($A$4:$A$1004,AI44,$V$4:$V$1004),"")</f>
        <v/>
      </c>
      <c r="AK44" s="3">
        <f>IFERROR(AVERAGEIF($A$4:$A$1004,AI44,$W$4:$W$1004),"")</f>
        <v/>
      </c>
      <c r="AL44" s="3">
        <f>IFERROR(AVERAGEIF($A$4:$A$1004,AI44,$X$4:$X$1004),"")</f>
        <v/>
      </c>
      <c r="AM44" s="3" t="n"/>
    </row>
    <row r="45">
      <c r="A45" s="1">
        <f>IF(Data!A45&gt;0,Data!A45,"")</f>
        <v/>
      </c>
      <c r="B45" s="1">
        <f>IF(Data!B45&gt;0,Data!B45,"")</f>
        <v/>
      </c>
      <c r="C45" s="1">
        <f>IF(Data!C45&gt;0,Data!C45,"")</f>
        <v/>
      </c>
      <c r="D45" s="1">
        <f>IF(Data!D45&gt;0,Data!D45,"")</f>
        <v/>
      </c>
      <c r="E45" s="1">
        <f>IF(Data!E45&gt;0,Data!E45,"")</f>
        <v/>
      </c>
      <c r="F45" s="1">
        <f>IF(Data!F45&gt;0,Data!F45,"")</f>
        <v/>
      </c>
      <c r="G45" s="1">
        <f>IF(Data!G45&gt;0,Data!G45,"")</f>
        <v/>
      </c>
      <c r="H45" s="1">
        <f>IF(Data!H45&gt;0,Data!H45,"")</f>
        <v/>
      </c>
      <c r="I45" s="1">
        <f>IF(Data!I45&gt;0,Data!I45,"")</f>
        <v/>
      </c>
      <c r="J45" s="1">
        <f>IF(Data!J45&gt;0,Data!J45,"")</f>
        <v/>
      </c>
      <c r="K45" s="1">
        <f>IF(Data!K45&gt;0,Data!K45,"")</f>
        <v/>
      </c>
      <c r="L45" s="1">
        <f>IF(Data!L45&gt;0,Data!L45,"")</f>
        <v/>
      </c>
      <c r="M45" s="1">
        <f>IF(Data!M45&gt;0,Data!M45,"")</f>
        <v/>
      </c>
      <c r="N45" s="1">
        <f>IF(Data!N45&gt;0,Data!N45,"")</f>
        <v/>
      </c>
      <c r="O45" s="1">
        <f>IF(Data!O45&gt;0,Data!O45,"")</f>
        <v/>
      </c>
      <c r="P45" s="1">
        <f>IF(Data!P45&gt;0,Data!P45,"")</f>
        <v/>
      </c>
      <c r="Q45" s="1">
        <f>IF(Data!Q45&gt;0,Data!Q45,"")</f>
        <v/>
      </c>
      <c r="R45" s="1">
        <f>IF(Data!R45&gt;0,Data!R45,"")</f>
        <v/>
      </c>
      <c r="S45" s="1">
        <f>IF(Data!S45&gt;0,Data!S45,"")</f>
        <v/>
      </c>
      <c r="V45" s="3">
        <f>IF(COUNT(D45,J45,K45,L45,M45,O45)&gt;0,AVERAGE(D45,J45,K45,L45,M45,O45),"")</f>
        <v/>
      </c>
      <c r="W45" s="3">
        <f>IF(COUNT(C45,F45,G45,N45,Q45)&gt;0,AVERAGE(C45,F45,G45,N45,Q45),"")</f>
        <v/>
      </c>
      <c r="X45" s="3">
        <f>IF(COUNT(B45,E45,H45,I45,P45,R45,S45)&gt;0,AVERAGE(B45,E45,H45,I45,P45,R45,S45),"")</f>
        <v/>
      </c>
      <c r="Y45" s="3" t="n"/>
      <c r="AI45" s="1" t="n"/>
      <c r="AJ45" s="3">
        <f>IFERROR(AVERAGEIF($A$4:$A$1004,AI45,$V$4:$V$1004),"")</f>
        <v/>
      </c>
      <c r="AK45" s="3">
        <f>IFERROR(AVERAGEIF($A$4:$A$1004,AI45,$W$4:$W$1004),"")</f>
        <v/>
      </c>
      <c r="AL45" s="3">
        <f>IFERROR(AVERAGEIF($A$4:$A$1004,AI45,$X$4:$X$1004),"")</f>
        <v/>
      </c>
      <c r="AM45" s="3" t="n"/>
    </row>
    <row r="46">
      <c r="A46" s="1">
        <f>IF(Data!A46&gt;0,Data!A46,"")</f>
        <v/>
      </c>
      <c r="B46" s="1">
        <f>IF(Data!B46&gt;0,Data!B46,"")</f>
        <v/>
      </c>
      <c r="C46" s="1">
        <f>IF(Data!C46&gt;0,Data!C46,"")</f>
        <v/>
      </c>
      <c r="D46" s="1">
        <f>IF(Data!D46&gt;0,Data!D46,"")</f>
        <v/>
      </c>
      <c r="E46" s="1">
        <f>IF(Data!E46&gt;0,Data!E46,"")</f>
        <v/>
      </c>
      <c r="F46" s="1">
        <f>IF(Data!F46&gt;0,Data!F46,"")</f>
        <v/>
      </c>
      <c r="G46" s="1">
        <f>IF(Data!G46&gt;0,Data!G46,"")</f>
        <v/>
      </c>
      <c r="H46" s="1">
        <f>IF(Data!H46&gt;0,Data!H46,"")</f>
        <v/>
      </c>
      <c r="I46" s="1">
        <f>IF(Data!I46&gt;0,Data!I46,"")</f>
        <v/>
      </c>
      <c r="J46" s="1">
        <f>IF(Data!J46&gt;0,Data!J46,"")</f>
        <v/>
      </c>
      <c r="K46" s="1">
        <f>IF(Data!K46&gt;0,Data!K46,"")</f>
        <v/>
      </c>
      <c r="L46" s="1">
        <f>IF(Data!L46&gt;0,Data!L46,"")</f>
        <v/>
      </c>
      <c r="M46" s="1">
        <f>IF(Data!M46&gt;0,Data!M46,"")</f>
        <v/>
      </c>
      <c r="N46" s="1">
        <f>IF(Data!N46&gt;0,Data!N46,"")</f>
        <v/>
      </c>
      <c r="O46" s="1">
        <f>IF(Data!O46&gt;0,Data!O46,"")</f>
        <v/>
      </c>
      <c r="P46" s="1">
        <f>IF(Data!P46&gt;0,Data!P46,"")</f>
        <v/>
      </c>
      <c r="Q46" s="1">
        <f>IF(Data!Q46&gt;0,Data!Q46,"")</f>
        <v/>
      </c>
      <c r="R46" s="1">
        <f>IF(Data!R46&gt;0,Data!R46,"")</f>
        <v/>
      </c>
      <c r="S46" s="1">
        <f>IF(Data!S46&gt;0,Data!S46,"")</f>
        <v/>
      </c>
      <c r="V46" s="3">
        <f>IF(COUNT(D46,J46,K46,L46,M46,O46)&gt;0,AVERAGE(D46,J46,K46,L46,M46,O46),"")</f>
        <v/>
      </c>
      <c r="W46" s="3">
        <f>IF(COUNT(C46,F46,G46,N46,Q46)&gt;0,AVERAGE(C46,F46,G46,N46,Q46),"")</f>
        <v/>
      </c>
      <c r="X46" s="3">
        <f>IF(COUNT(B46,E46,H46,I46,P46,R46,S46)&gt;0,AVERAGE(B46,E46,H46,I46,P46,R46,S46),"")</f>
        <v/>
      </c>
      <c r="Y46" s="3" t="n"/>
      <c r="AI46" s="1" t="n"/>
      <c r="AJ46" s="3">
        <f>IFERROR(AVERAGEIF($A$4:$A$1004,AI46,$V$4:$V$1004),"")</f>
        <v/>
      </c>
      <c r="AK46" s="3">
        <f>IFERROR(AVERAGEIF($A$4:$A$1004,AI46,$W$4:$W$1004),"")</f>
        <v/>
      </c>
      <c r="AL46" s="3">
        <f>IFERROR(AVERAGEIF($A$4:$A$1004,AI46,$X$4:$X$1004),"")</f>
        <v/>
      </c>
      <c r="AM46" s="3" t="n"/>
    </row>
    <row r="47">
      <c r="A47" s="1">
        <f>IF(Data!A47&gt;0,Data!A47,"")</f>
        <v/>
      </c>
      <c r="B47" s="1">
        <f>IF(Data!B47&gt;0,Data!B47,"")</f>
        <v/>
      </c>
      <c r="C47" s="1">
        <f>IF(Data!C47&gt;0,Data!C47,"")</f>
        <v/>
      </c>
      <c r="D47" s="1">
        <f>IF(Data!D47&gt;0,Data!D47,"")</f>
        <v/>
      </c>
      <c r="E47" s="1">
        <f>IF(Data!E47&gt;0,Data!E47,"")</f>
        <v/>
      </c>
      <c r="F47" s="1">
        <f>IF(Data!F47&gt;0,Data!F47,"")</f>
        <v/>
      </c>
      <c r="G47" s="1">
        <f>IF(Data!G47&gt;0,Data!G47,"")</f>
        <v/>
      </c>
      <c r="H47" s="1">
        <f>IF(Data!H47&gt;0,Data!H47,"")</f>
        <v/>
      </c>
      <c r="I47" s="1">
        <f>IF(Data!I47&gt;0,Data!I47,"")</f>
        <v/>
      </c>
      <c r="J47" s="1">
        <f>IF(Data!J47&gt;0,Data!J47,"")</f>
        <v/>
      </c>
      <c r="K47" s="1">
        <f>IF(Data!K47&gt;0,Data!K47,"")</f>
        <v/>
      </c>
      <c r="L47" s="1">
        <f>IF(Data!L47&gt;0,Data!L47,"")</f>
        <v/>
      </c>
      <c r="M47" s="1">
        <f>IF(Data!M47&gt;0,Data!M47,"")</f>
        <v/>
      </c>
      <c r="N47" s="1">
        <f>IF(Data!N47&gt;0,Data!N47,"")</f>
        <v/>
      </c>
      <c r="O47" s="1">
        <f>IF(Data!O47&gt;0,Data!O47,"")</f>
        <v/>
      </c>
      <c r="P47" s="1">
        <f>IF(Data!P47&gt;0,Data!P47,"")</f>
        <v/>
      </c>
      <c r="Q47" s="1">
        <f>IF(Data!Q47&gt;0,Data!Q47,"")</f>
        <v/>
      </c>
      <c r="R47" s="1">
        <f>IF(Data!R47&gt;0,Data!R47,"")</f>
        <v/>
      </c>
      <c r="S47" s="1">
        <f>IF(Data!S47&gt;0,Data!S47,"")</f>
        <v/>
      </c>
      <c r="V47" s="3">
        <f>IF(COUNT(D47,J47,K47,L47,M47,O47)&gt;0,AVERAGE(D47,J47,K47,L47,M47,O47),"")</f>
        <v/>
      </c>
      <c r="W47" s="3">
        <f>IF(COUNT(C47,F47,G47,N47,Q47)&gt;0,AVERAGE(C47,F47,G47,N47,Q47),"")</f>
        <v/>
      </c>
      <c r="X47" s="3">
        <f>IF(COUNT(B47,E47,H47,I47,P47,R47,S47)&gt;0,AVERAGE(B47,E47,H47,I47,P47,R47,S47),"")</f>
        <v/>
      </c>
      <c r="Y47" s="3" t="n"/>
      <c r="AI47" s="1" t="n"/>
      <c r="AJ47" s="3">
        <f>IFERROR(AVERAGEIF($A$4:$A$1004,AI47,$V$4:$V$1004),"")</f>
        <v/>
      </c>
      <c r="AK47" s="3">
        <f>IFERROR(AVERAGEIF($A$4:$A$1004,AI47,$W$4:$W$1004),"")</f>
        <v/>
      </c>
      <c r="AL47" s="3">
        <f>IFERROR(AVERAGEIF($A$4:$A$1004,AI47,$X$4:$X$1004),"")</f>
        <v/>
      </c>
      <c r="AM47" s="3" t="n"/>
    </row>
    <row r="48">
      <c r="A48" s="1">
        <f>IF(Data!A48&gt;0,Data!A48,"")</f>
        <v/>
      </c>
      <c r="B48" s="1">
        <f>IF(Data!B48&gt;0,Data!B48,"")</f>
        <v/>
      </c>
      <c r="C48" s="1">
        <f>IF(Data!C48&gt;0,Data!C48,"")</f>
        <v/>
      </c>
      <c r="D48" s="1">
        <f>IF(Data!D48&gt;0,Data!D48,"")</f>
        <v/>
      </c>
      <c r="E48" s="1">
        <f>IF(Data!E48&gt;0,Data!E48,"")</f>
        <v/>
      </c>
      <c r="F48" s="1">
        <f>IF(Data!F48&gt;0,Data!F48,"")</f>
        <v/>
      </c>
      <c r="G48" s="1">
        <f>IF(Data!G48&gt;0,Data!G48,"")</f>
        <v/>
      </c>
      <c r="H48" s="1">
        <f>IF(Data!H48&gt;0,Data!H48,"")</f>
        <v/>
      </c>
      <c r="I48" s="1">
        <f>IF(Data!I48&gt;0,Data!I48,"")</f>
        <v/>
      </c>
      <c r="J48" s="1">
        <f>IF(Data!J48&gt;0,Data!J48,"")</f>
        <v/>
      </c>
      <c r="K48" s="1">
        <f>IF(Data!K48&gt;0,Data!K48,"")</f>
        <v/>
      </c>
      <c r="L48" s="1">
        <f>IF(Data!L48&gt;0,Data!L48,"")</f>
        <v/>
      </c>
      <c r="M48" s="1">
        <f>IF(Data!M48&gt;0,Data!M48,"")</f>
        <v/>
      </c>
      <c r="N48" s="1">
        <f>IF(Data!N48&gt;0,Data!N48,"")</f>
        <v/>
      </c>
      <c r="O48" s="1">
        <f>IF(Data!O48&gt;0,Data!O48,"")</f>
        <v/>
      </c>
      <c r="P48" s="1">
        <f>IF(Data!P48&gt;0,Data!P48,"")</f>
        <v/>
      </c>
      <c r="Q48" s="1">
        <f>IF(Data!Q48&gt;0,Data!Q48,"")</f>
        <v/>
      </c>
      <c r="R48" s="1">
        <f>IF(Data!R48&gt;0,Data!R48,"")</f>
        <v/>
      </c>
      <c r="S48" s="1">
        <f>IF(Data!S48&gt;0,Data!S48,"")</f>
        <v/>
      </c>
      <c r="V48" s="3">
        <f>IF(COUNT(D48,J48,K48,L48,M48,O48)&gt;0,AVERAGE(D48,J48,K48,L48,M48,O48),"")</f>
        <v/>
      </c>
      <c r="W48" s="3">
        <f>IF(COUNT(C48,F48,G48,N48,Q48)&gt;0,AVERAGE(C48,F48,G48,N48,Q48),"")</f>
        <v/>
      </c>
      <c r="X48" s="3">
        <f>IF(COUNT(B48,E48,H48,I48,P48,R48,S48)&gt;0,AVERAGE(B48,E48,H48,I48,P48,R48,S48),"")</f>
        <v/>
      </c>
      <c r="Y48" s="3" t="n"/>
      <c r="AI48" s="1" t="n"/>
      <c r="AJ48" s="3">
        <f>IFERROR(AVERAGEIF($A$4:$A$1004,AI48,$V$4:$V$1004),"")</f>
        <v/>
      </c>
      <c r="AK48" s="3">
        <f>IFERROR(AVERAGEIF($A$4:$A$1004,AI48,$W$4:$W$1004),"")</f>
        <v/>
      </c>
      <c r="AL48" s="3">
        <f>IFERROR(AVERAGEIF($A$4:$A$1004,AI48,$X$4:$X$1004),"")</f>
        <v/>
      </c>
      <c r="AM48" s="3" t="n"/>
    </row>
    <row r="49">
      <c r="A49" s="1">
        <f>IF(Data!A49&gt;0,Data!A49,"")</f>
        <v/>
      </c>
      <c r="B49" s="1">
        <f>IF(Data!B49&gt;0,Data!B49,"")</f>
        <v/>
      </c>
      <c r="C49" s="1">
        <f>IF(Data!C49&gt;0,Data!C49,"")</f>
        <v/>
      </c>
      <c r="D49" s="1">
        <f>IF(Data!D49&gt;0,Data!D49,"")</f>
        <v/>
      </c>
      <c r="E49" s="1">
        <f>IF(Data!E49&gt;0,Data!E49,"")</f>
        <v/>
      </c>
      <c r="F49" s="1">
        <f>IF(Data!F49&gt;0,Data!F49,"")</f>
        <v/>
      </c>
      <c r="G49" s="1">
        <f>IF(Data!G49&gt;0,Data!G49,"")</f>
        <v/>
      </c>
      <c r="H49" s="1">
        <f>IF(Data!H49&gt;0,Data!H49,"")</f>
        <v/>
      </c>
      <c r="I49" s="1">
        <f>IF(Data!I49&gt;0,Data!I49,"")</f>
        <v/>
      </c>
      <c r="J49" s="1">
        <f>IF(Data!J49&gt;0,Data!J49,"")</f>
        <v/>
      </c>
      <c r="K49" s="1">
        <f>IF(Data!K49&gt;0,Data!K49,"")</f>
        <v/>
      </c>
      <c r="L49" s="1">
        <f>IF(Data!L49&gt;0,Data!L49,"")</f>
        <v/>
      </c>
      <c r="M49" s="1">
        <f>IF(Data!M49&gt;0,Data!M49,"")</f>
        <v/>
      </c>
      <c r="N49" s="1">
        <f>IF(Data!N49&gt;0,Data!N49,"")</f>
        <v/>
      </c>
      <c r="O49" s="1">
        <f>IF(Data!O49&gt;0,Data!O49,"")</f>
        <v/>
      </c>
      <c r="P49" s="1">
        <f>IF(Data!P49&gt;0,Data!P49,"")</f>
        <v/>
      </c>
      <c r="Q49" s="1">
        <f>IF(Data!Q49&gt;0,Data!Q49,"")</f>
        <v/>
      </c>
      <c r="R49" s="1">
        <f>IF(Data!R49&gt;0,Data!R49,"")</f>
        <v/>
      </c>
      <c r="S49" s="1">
        <f>IF(Data!S49&gt;0,Data!S49,"")</f>
        <v/>
      </c>
      <c r="V49" s="3">
        <f>IF(COUNT(D49,J49,K49,L49,M49,O49)&gt;0,AVERAGE(D49,J49,K49,L49,M49,O49),"")</f>
        <v/>
      </c>
      <c r="W49" s="3">
        <f>IF(COUNT(C49,F49,G49,N49,Q49)&gt;0,AVERAGE(C49,F49,G49,N49,Q49),"")</f>
        <v/>
      </c>
      <c r="X49" s="3">
        <f>IF(COUNT(B49,E49,H49,I49,P49,R49,S49)&gt;0,AVERAGE(B49,E49,H49,I49,P49,R49,S49),"")</f>
        <v/>
      </c>
      <c r="Y49" s="3" t="n"/>
      <c r="AI49" s="1" t="n"/>
      <c r="AJ49" s="3">
        <f>IFERROR(AVERAGEIF($A$4:$A$1004,AI49,$V$4:$V$1004),"")</f>
        <v/>
      </c>
      <c r="AK49" s="3">
        <f>IFERROR(AVERAGEIF($A$4:$A$1004,AI49,$W$4:$W$1004),"")</f>
        <v/>
      </c>
      <c r="AL49" s="3">
        <f>IFERROR(AVERAGEIF($A$4:$A$1004,AI49,$X$4:$X$1004),"")</f>
        <v/>
      </c>
      <c r="AM49" s="3" t="n"/>
    </row>
    <row r="50">
      <c r="A50" s="1">
        <f>IF(Data!A50&gt;0,Data!A50,"")</f>
        <v/>
      </c>
      <c r="B50" s="1">
        <f>IF(Data!B50&gt;0,Data!B50,"")</f>
        <v/>
      </c>
      <c r="C50" s="1">
        <f>IF(Data!C50&gt;0,Data!C50,"")</f>
        <v/>
      </c>
      <c r="D50" s="1">
        <f>IF(Data!D50&gt;0,Data!D50,"")</f>
        <v/>
      </c>
      <c r="E50" s="1">
        <f>IF(Data!E50&gt;0,Data!E50,"")</f>
        <v/>
      </c>
      <c r="F50" s="1">
        <f>IF(Data!F50&gt;0,Data!F50,"")</f>
        <v/>
      </c>
      <c r="G50" s="1">
        <f>IF(Data!G50&gt;0,Data!G50,"")</f>
        <v/>
      </c>
      <c r="H50" s="1">
        <f>IF(Data!H50&gt;0,Data!H50,"")</f>
        <v/>
      </c>
      <c r="I50" s="1">
        <f>IF(Data!I50&gt;0,Data!I50,"")</f>
        <v/>
      </c>
      <c r="J50" s="1">
        <f>IF(Data!J50&gt;0,Data!J50,"")</f>
        <v/>
      </c>
      <c r="K50" s="1">
        <f>IF(Data!K50&gt;0,Data!K50,"")</f>
        <v/>
      </c>
      <c r="L50" s="1">
        <f>IF(Data!L50&gt;0,Data!L50,"")</f>
        <v/>
      </c>
      <c r="M50" s="1">
        <f>IF(Data!M50&gt;0,Data!M50,"")</f>
        <v/>
      </c>
      <c r="N50" s="1">
        <f>IF(Data!N50&gt;0,Data!N50,"")</f>
        <v/>
      </c>
      <c r="O50" s="1">
        <f>IF(Data!O50&gt;0,Data!O50,"")</f>
        <v/>
      </c>
      <c r="P50" s="1">
        <f>IF(Data!P50&gt;0,Data!P50,"")</f>
        <v/>
      </c>
      <c r="Q50" s="1">
        <f>IF(Data!Q50&gt;0,Data!Q50,"")</f>
        <v/>
      </c>
      <c r="R50" s="1">
        <f>IF(Data!R50&gt;0,Data!R50,"")</f>
        <v/>
      </c>
      <c r="S50" s="1">
        <f>IF(Data!S50&gt;0,Data!S50,"")</f>
        <v/>
      </c>
      <c r="V50" s="3">
        <f>IF(COUNT(D50,J50,K50,L50,M50,O50)&gt;0,AVERAGE(D50,J50,K50,L50,M50,O50),"")</f>
        <v/>
      </c>
      <c r="W50" s="3">
        <f>IF(COUNT(C50,F50,G50,N50,Q50)&gt;0,AVERAGE(C50,F50,G50,N50,Q50),"")</f>
        <v/>
      </c>
      <c r="X50" s="3">
        <f>IF(COUNT(B50,E50,H50,I50,P50,R50,S50)&gt;0,AVERAGE(B50,E50,H50,I50,P50,R50,S50),"")</f>
        <v/>
      </c>
      <c r="Y50" s="3" t="n"/>
      <c r="AI50" s="1" t="n"/>
      <c r="AJ50" s="3">
        <f>IFERROR(AVERAGEIF($A$4:$A$1004,AI50,$V$4:$V$1004),"")</f>
        <v/>
      </c>
      <c r="AK50" s="3">
        <f>IFERROR(AVERAGEIF($A$4:$A$1004,AI50,$W$4:$W$1004),"")</f>
        <v/>
      </c>
      <c r="AL50" s="3">
        <f>IFERROR(AVERAGEIF($A$4:$A$1004,AI50,$X$4:$X$1004),"")</f>
        <v/>
      </c>
      <c r="AM50" s="3" t="n"/>
    </row>
    <row r="51">
      <c r="A51" s="1">
        <f>IF(Data!A51&gt;0,Data!A51,"")</f>
        <v/>
      </c>
      <c r="B51" s="1">
        <f>IF(Data!B51&gt;0,Data!B51,"")</f>
        <v/>
      </c>
      <c r="C51" s="1">
        <f>IF(Data!C51&gt;0,Data!C51,"")</f>
        <v/>
      </c>
      <c r="D51" s="1">
        <f>IF(Data!D51&gt;0,Data!D51,"")</f>
        <v/>
      </c>
      <c r="E51" s="1">
        <f>IF(Data!E51&gt;0,Data!E51,"")</f>
        <v/>
      </c>
      <c r="F51" s="1">
        <f>IF(Data!F51&gt;0,Data!F51,"")</f>
        <v/>
      </c>
      <c r="G51" s="1">
        <f>IF(Data!G51&gt;0,Data!G51,"")</f>
        <v/>
      </c>
      <c r="H51" s="1">
        <f>IF(Data!H51&gt;0,Data!H51,"")</f>
        <v/>
      </c>
      <c r="I51" s="1">
        <f>IF(Data!I51&gt;0,Data!I51,"")</f>
        <v/>
      </c>
      <c r="J51" s="1">
        <f>IF(Data!J51&gt;0,Data!J51,"")</f>
        <v/>
      </c>
      <c r="K51" s="1">
        <f>IF(Data!K51&gt;0,Data!K51,"")</f>
        <v/>
      </c>
      <c r="L51" s="1">
        <f>IF(Data!L51&gt;0,Data!L51,"")</f>
        <v/>
      </c>
      <c r="M51" s="1">
        <f>IF(Data!M51&gt;0,Data!M51,"")</f>
        <v/>
      </c>
      <c r="N51" s="1">
        <f>IF(Data!N51&gt;0,Data!N51,"")</f>
        <v/>
      </c>
      <c r="O51" s="1">
        <f>IF(Data!O51&gt;0,Data!O51,"")</f>
        <v/>
      </c>
      <c r="P51" s="1">
        <f>IF(Data!P51&gt;0,Data!P51,"")</f>
        <v/>
      </c>
      <c r="Q51" s="1">
        <f>IF(Data!Q51&gt;0,Data!Q51,"")</f>
        <v/>
      </c>
      <c r="R51" s="1">
        <f>IF(Data!R51&gt;0,Data!R51,"")</f>
        <v/>
      </c>
      <c r="S51" s="1">
        <f>IF(Data!S51&gt;0,Data!S51,"")</f>
        <v/>
      </c>
      <c r="V51" s="3">
        <f>IF(COUNT(D51,J51,K51,L51,M51,O51)&gt;0,AVERAGE(D51,J51,K51,L51,M51,O51),"")</f>
        <v/>
      </c>
      <c r="W51" s="3">
        <f>IF(COUNT(C51,F51,G51,N51,Q51)&gt;0,AVERAGE(C51,F51,G51,N51,Q51),"")</f>
        <v/>
      </c>
      <c r="X51" s="3">
        <f>IF(COUNT(B51,E51,H51,I51,P51,R51,S51)&gt;0,AVERAGE(B51,E51,H51,I51,P51,R51,S51),"")</f>
        <v/>
      </c>
      <c r="Y51" s="3" t="n"/>
      <c r="AI51" s="1" t="n"/>
      <c r="AJ51" s="3">
        <f>IFERROR(AVERAGEIF($A$4:$A$1004,AI51,$V$4:$V$1004),"")</f>
        <v/>
      </c>
      <c r="AK51" s="3">
        <f>IFERROR(AVERAGEIF($A$4:$A$1004,AI51,$W$4:$W$1004),"")</f>
        <v/>
      </c>
      <c r="AL51" s="3">
        <f>IFERROR(AVERAGEIF($A$4:$A$1004,AI51,$X$4:$X$1004),"")</f>
        <v/>
      </c>
      <c r="AM51" s="3" t="n"/>
    </row>
    <row r="52">
      <c r="A52" s="1">
        <f>IF(Data!A52&gt;0,Data!A52,"")</f>
        <v/>
      </c>
      <c r="B52" s="1">
        <f>IF(Data!B52&gt;0,Data!B52,"")</f>
        <v/>
      </c>
      <c r="C52" s="1">
        <f>IF(Data!C52&gt;0,Data!C52,"")</f>
        <v/>
      </c>
      <c r="D52" s="1">
        <f>IF(Data!D52&gt;0,Data!D52,"")</f>
        <v/>
      </c>
      <c r="E52" s="1">
        <f>IF(Data!E52&gt;0,Data!E52,"")</f>
        <v/>
      </c>
      <c r="F52" s="1">
        <f>IF(Data!F52&gt;0,Data!F52,"")</f>
        <v/>
      </c>
      <c r="G52" s="1">
        <f>IF(Data!G52&gt;0,Data!G52,"")</f>
        <v/>
      </c>
      <c r="H52" s="1">
        <f>IF(Data!H52&gt;0,Data!H52,"")</f>
        <v/>
      </c>
      <c r="I52" s="1">
        <f>IF(Data!I52&gt;0,Data!I52,"")</f>
        <v/>
      </c>
      <c r="J52" s="1">
        <f>IF(Data!J52&gt;0,Data!J52,"")</f>
        <v/>
      </c>
      <c r="K52" s="1">
        <f>IF(Data!K52&gt;0,Data!K52,"")</f>
        <v/>
      </c>
      <c r="L52" s="1">
        <f>IF(Data!L52&gt;0,Data!L52,"")</f>
        <v/>
      </c>
      <c r="M52" s="1">
        <f>IF(Data!M52&gt;0,Data!M52,"")</f>
        <v/>
      </c>
      <c r="N52" s="1">
        <f>IF(Data!N52&gt;0,Data!N52,"")</f>
        <v/>
      </c>
      <c r="O52" s="1">
        <f>IF(Data!O52&gt;0,Data!O52,"")</f>
        <v/>
      </c>
      <c r="P52" s="1">
        <f>IF(Data!P52&gt;0,Data!P52,"")</f>
        <v/>
      </c>
      <c r="Q52" s="1">
        <f>IF(Data!Q52&gt;0,Data!Q52,"")</f>
        <v/>
      </c>
      <c r="R52" s="1">
        <f>IF(Data!R52&gt;0,Data!R52,"")</f>
        <v/>
      </c>
      <c r="S52" s="1">
        <f>IF(Data!S52&gt;0,Data!S52,"")</f>
        <v/>
      </c>
      <c r="V52" s="3">
        <f>IF(COUNT(D52,J52,K52,L52,M52,O52)&gt;0,AVERAGE(D52,J52,K52,L52,M52,O52),"")</f>
        <v/>
      </c>
      <c r="W52" s="3">
        <f>IF(COUNT(C52,F52,G52,N52,Q52)&gt;0,AVERAGE(C52,F52,G52,N52,Q52),"")</f>
        <v/>
      </c>
      <c r="X52" s="3">
        <f>IF(COUNT(B52,E52,H52,I52,P52,R52,S52)&gt;0,AVERAGE(B52,E52,H52,I52,P52,R52,S52),"")</f>
        <v/>
      </c>
      <c r="Y52" s="3" t="n"/>
      <c r="AI52" s="1" t="n"/>
      <c r="AJ52" s="3">
        <f>IFERROR(AVERAGEIF($A$4:$A$1004,AI52,$V$4:$V$1004),"")</f>
        <v/>
      </c>
      <c r="AK52" s="3">
        <f>IFERROR(AVERAGEIF($A$4:$A$1004,AI52,$W$4:$W$1004),"")</f>
        <v/>
      </c>
      <c r="AL52" s="3">
        <f>IFERROR(AVERAGEIF($A$4:$A$1004,AI52,$X$4:$X$1004),"")</f>
        <v/>
      </c>
      <c r="AM52" s="3" t="n"/>
    </row>
    <row r="53">
      <c r="A53" s="1">
        <f>IF(Data!A53&gt;0,Data!A53,"")</f>
        <v/>
      </c>
      <c r="B53" s="1">
        <f>IF(Data!B53&gt;0,Data!B53,"")</f>
        <v/>
      </c>
      <c r="C53" s="1">
        <f>IF(Data!C53&gt;0,Data!C53,"")</f>
        <v/>
      </c>
      <c r="D53" s="1">
        <f>IF(Data!D53&gt;0,Data!D53,"")</f>
        <v/>
      </c>
      <c r="E53" s="1">
        <f>IF(Data!E53&gt;0,Data!E53,"")</f>
        <v/>
      </c>
      <c r="F53" s="1">
        <f>IF(Data!F53&gt;0,Data!F53,"")</f>
        <v/>
      </c>
      <c r="G53" s="1">
        <f>IF(Data!G53&gt;0,Data!G53,"")</f>
        <v/>
      </c>
      <c r="H53" s="1">
        <f>IF(Data!H53&gt;0,Data!H53,"")</f>
        <v/>
      </c>
      <c r="I53" s="1">
        <f>IF(Data!I53&gt;0,Data!I53,"")</f>
        <v/>
      </c>
      <c r="J53" s="1">
        <f>IF(Data!J53&gt;0,Data!J53,"")</f>
        <v/>
      </c>
      <c r="K53" s="1">
        <f>IF(Data!K53&gt;0,Data!K53,"")</f>
        <v/>
      </c>
      <c r="L53" s="1">
        <f>IF(Data!L53&gt;0,Data!L53,"")</f>
        <v/>
      </c>
      <c r="M53" s="1">
        <f>IF(Data!M53&gt;0,Data!M53,"")</f>
        <v/>
      </c>
      <c r="N53" s="1">
        <f>IF(Data!N53&gt;0,Data!N53,"")</f>
        <v/>
      </c>
      <c r="O53" s="1">
        <f>IF(Data!O53&gt;0,Data!O53,"")</f>
        <v/>
      </c>
      <c r="P53" s="1">
        <f>IF(Data!P53&gt;0,Data!P53,"")</f>
        <v/>
      </c>
      <c r="Q53" s="1">
        <f>IF(Data!Q53&gt;0,Data!Q53,"")</f>
        <v/>
      </c>
      <c r="R53" s="1">
        <f>IF(Data!R53&gt;0,Data!R53,"")</f>
        <v/>
      </c>
      <c r="S53" s="1">
        <f>IF(Data!S53&gt;0,Data!S53,"")</f>
        <v/>
      </c>
      <c r="V53" s="3">
        <f>IF(COUNT(D53,J53,K53,L53,M53,O53)&gt;0,AVERAGE(D53,J53,K53,L53,M53,O53),"")</f>
        <v/>
      </c>
      <c r="W53" s="3">
        <f>IF(COUNT(C53,F53,G53,N53,Q53)&gt;0,AVERAGE(C53,F53,G53,N53,Q53),"")</f>
        <v/>
      </c>
      <c r="X53" s="3">
        <f>IF(COUNT(B53,E53,H53,I53,P53,R53,S53)&gt;0,AVERAGE(B53,E53,H53,I53,P53,R53,S53),"")</f>
        <v/>
      </c>
      <c r="Y53" s="3" t="n"/>
      <c r="AI53" s="1" t="n"/>
      <c r="AJ53" s="3">
        <f>IFERROR(AVERAGEIF($A$4:$A$1004,AI53,$V$4:$V$1004),"")</f>
        <v/>
      </c>
      <c r="AK53" s="3">
        <f>IFERROR(AVERAGEIF($A$4:$A$1004,AI53,$W$4:$W$1004),"")</f>
        <v/>
      </c>
      <c r="AL53" s="3">
        <f>IFERROR(AVERAGEIF($A$4:$A$1004,AI53,$X$4:$X$1004),"")</f>
        <v/>
      </c>
      <c r="AM53" s="3" t="n"/>
    </row>
    <row r="54">
      <c r="A54" s="1">
        <f>IF(Data!A54&gt;0,Data!A54,"")</f>
        <v/>
      </c>
      <c r="B54" s="1">
        <f>IF(Data!B54&gt;0,Data!B54,"")</f>
        <v/>
      </c>
      <c r="C54" s="1">
        <f>IF(Data!C54&gt;0,Data!C54,"")</f>
        <v/>
      </c>
      <c r="D54" s="1">
        <f>IF(Data!D54&gt;0,Data!D54,"")</f>
        <v/>
      </c>
      <c r="E54" s="1">
        <f>IF(Data!E54&gt;0,Data!E54,"")</f>
        <v/>
      </c>
      <c r="F54" s="1">
        <f>IF(Data!F54&gt;0,Data!F54,"")</f>
        <v/>
      </c>
      <c r="G54" s="1">
        <f>IF(Data!G54&gt;0,Data!G54,"")</f>
        <v/>
      </c>
      <c r="H54" s="1">
        <f>IF(Data!H54&gt;0,Data!H54,"")</f>
        <v/>
      </c>
      <c r="I54" s="1">
        <f>IF(Data!I54&gt;0,Data!I54,"")</f>
        <v/>
      </c>
      <c r="J54" s="1">
        <f>IF(Data!J54&gt;0,Data!J54,"")</f>
        <v/>
      </c>
      <c r="K54" s="1">
        <f>IF(Data!K54&gt;0,Data!K54,"")</f>
        <v/>
      </c>
      <c r="L54" s="1">
        <f>IF(Data!L54&gt;0,Data!L54,"")</f>
        <v/>
      </c>
      <c r="M54" s="1">
        <f>IF(Data!M54&gt;0,Data!M54,"")</f>
        <v/>
      </c>
      <c r="N54" s="1">
        <f>IF(Data!N54&gt;0,Data!N54,"")</f>
        <v/>
      </c>
      <c r="O54" s="1">
        <f>IF(Data!O54&gt;0,Data!O54,"")</f>
        <v/>
      </c>
      <c r="P54" s="1">
        <f>IF(Data!P54&gt;0,Data!P54,"")</f>
        <v/>
      </c>
      <c r="Q54" s="1">
        <f>IF(Data!Q54&gt;0,Data!Q54,"")</f>
        <v/>
      </c>
      <c r="R54" s="1">
        <f>IF(Data!R54&gt;0,Data!R54,"")</f>
        <v/>
      </c>
      <c r="S54" s="1">
        <f>IF(Data!S54&gt;0,Data!S54,"")</f>
        <v/>
      </c>
      <c r="V54" s="3">
        <f>IF(COUNT(D54,J54,K54,L54,M54,O54)&gt;0,AVERAGE(D54,J54,K54,L54,M54,O54),"")</f>
        <v/>
      </c>
      <c r="W54" s="3">
        <f>IF(COUNT(C54,F54,G54,N54,Q54)&gt;0,AVERAGE(C54,F54,G54,N54,Q54),"")</f>
        <v/>
      </c>
      <c r="X54" s="3">
        <f>IF(COUNT(B54,E54,H54,I54,P54,R54,S54)&gt;0,AVERAGE(B54,E54,H54,I54,P54,R54,S54),"")</f>
        <v/>
      </c>
      <c r="Y54" s="3" t="n"/>
      <c r="AI54" s="1" t="n"/>
      <c r="AJ54" s="3">
        <f>IFERROR(AVERAGEIF($A$4:$A$1004,AI54,$V$4:$V$1004),"")</f>
        <v/>
      </c>
      <c r="AK54" s="3">
        <f>IFERROR(AVERAGEIF($A$4:$A$1004,AI54,$W$4:$W$1004),"")</f>
        <v/>
      </c>
      <c r="AL54" s="3">
        <f>IFERROR(AVERAGEIF($A$4:$A$1004,AI54,$X$4:$X$1004),"")</f>
        <v/>
      </c>
      <c r="AM54" s="3" t="n"/>
    </row>
    <row r="55">
      <c r="A55" s="1">
        <f>IF(Data!A55&gt;0,Data!A55,"")</f>
        <v/>
      </c>
      <c r="B55" s="1">
        <f>IF(Data!B55&gt;0,Data!B55,"")</f>
        <v/>
      </c>
      <c r="C55" s="1">
        <f>IF(Data!C55&gt;0,Data!C55,"")</f>
        <v/>
      </c>
      <c r="D55" s="1">
        <f>IF(Data!D55&gt;0,Data!D55,"")</f>
        <v/>
      </c>
      <c r="E55" s="1">
        <f>IF(Data!E55&gt;0,Data!E55,"")</f>
        <v/>
      </c>
      <c r="F55" s="1">
        <f>IF(Data!F55&gt;0,Data!F55,"")</f>
        <v/>
      </c>
      <c r="G55" s="1">
        <f>IF(Data!G55&gt;0,Data!G55,"")</f>
        <v/>
      </c>
      <c r="H55" s="1">
        <f>IF(Data!H55&gt;0,Data!H55,"")</f>
        <v/>
      </c>
      <c r="I55" s="1">
        <f>IF(Data!I55&gt;0,Data!I55,"")</f>
        <v/>
      </c>
      <c r="J55" s="1">
        <f>IF(Data!J55&gt;0,Data!J55,"")</f>
        <v/>
      </c>
      <c r="K55" s="1">
        <f>IF(Data!K55&gt;0,Data!K55,"")</f>
        <v/>
      </c>
      <c r="L55" s="1">
        <f>IF(Data!L55&gt;0,Data!L55,"")</f>
        <v/>
      </c>
      <c r="M55" s="1">
        <f>IF(Data!M55&gt;0,Data!M55,"")</f>
        <v/>
      </c>
      <c r="N55" s="1">
        <f>IF(Data!N55&gt;0,Data!N55,"")</f>
        <v/>
      </c>
      <c r="O55" s="1">
        <f>IF(Data!O55&gt;0,Data!O55,"")</f>
        <v/>
      </c>
      <c r="P55" s="1">
        <f>IF(Data!P55&gt;0,Data!P55,"")</f>
        <v/>
      </c>
      <c r="Q55" s="1">
        <f>IF(Data!Q55&gt;0,Data!Q55,"")</f>
        <v/>
      </c>
      <c r="R55" s="1">
        <f>IF(Data!R55&gt;0,Data!R55,"")</f>
        <v/>
      </c>
      <c r="S55" s="1">
        <f>IF(Data!S55&gt;0,Data!S55,"")</f>
        <v/>
      </c>
      <c r="V55" s="3">
        <f>IF(COUNT(D55,J55,K55,L55,M55,O55)&gt;0,AVERAGE(D55,J55,K55,L55,M55,O55),"")</f>
        <v/>
      </c>
      <c r="W55" s="3">
        <f>IF(COUNT(C55,F55,G55,N55,Q55)&gt;0,AVERAGE(C55,F55,G55,N55,Q55),"")</f>
        <v/>
      </c>
      <c r="X55" s="3">
        <f>IF(COUNT(B55,E55,H55,I55,P55,R55,S55)&gt;0,AVERAGE(B55,E55,H55,I55,P55,R55,S55),"")</f>
        <v/>
      </c>
      <c r="Y55" s="3" t="n"/>
      <c r="AJ55">
        <f>IFERROR(AVERAGEIF($A$4:$A$1004,AI55,$V$4:$V$1004),"")</f>
        <v/>
      </c>
      <c r="AK55">
        <f>IFERROR(AVERAGEIF($A$4:$A$1004,AI55,$W$4:$W$1004),"")</f>
        <v/>
      </c>
      <c r="AL55">
        <f>IFERROR(AVERAGEIF($A$4:$A$1004,AI55,$X$4:$X$1004),"")</f>
        <v/>
      </c>
    </row>
    <row r="56">
      <c r="A56" s="1">
        <f>IF(Data!A56&gt;0,Data!A56,"")</f>
        <v/>
      </c>
      <c r="B56" s="1">
        <f>IF(Data!B56&gt;0,Data!B56,"")</f>
        <v/>
      </c>
      <c r="C56" s="1">
        <f>IF(Data!C56&gt;0,Data!C56,"")</f>
        <v/>
      </c>
      <c r="D56" s="1">
        <f>IF(Data!D56&gt;0,Data!D56,"")</f>
        <v/>
      </c>
      <c r="E56" s="1">
        <f>IF(Data!E56&gt;0,Data!E56,"")</f>
        <v/>
      </c>
      <c r="F56" s="1">
        <f>IF(Data!F56&gt;0,Data!F56,"")</f>
        <v/>
      </c>
      <c r="G56" s="1">
        <f>IF(Data!G56&gt;0,Data!G56,"")</f>
        <v/>
      </c>
      <c r="H56" s="1">
        <f>IF(Data!H56&gt;0,Data!H56,"")</f>
        <v/>
      </c>
      <c r="I56" s="1">
        <f>IF(Data!I56&gt;0,Data!I56,"")</f>
        <v/>
      </c>
      <c r="J56" s="1">
        <f>IF(Data!J56&gt;0,Data!J56,"")</f>
        <v/>
      </c>
      <c r="K56" s="1">
        <f>IF(Data!K56&gt;0,Data!K56,"")</f>
        <v/>
      </c>
      <c r="L56" s="1">
        <f>IF(Data!L56&gt;0,Data!L56,"")</f>
        <v/>
      </c>
      <c r="M56" s="1">
        <f>IF(Data!M56&gt;0,Data!M56,"")</f>
        <v/>
      </c>
      <c r="N56" s="1">
        <f>IF(Data!N56&gt;0,Data!N56,"")</f>
        <v/>
      </c>
      <c r="O56" s="1">
        <f>IF(Data!O56&gt;0,Data!O56,"")</f>
        <v/>
      </c>
      <c r="P56" s="1">
        <f>IF(Data!P56&gt;0,Data!P56,"")</f>
        <v/>
      </c>
      <c r="Q56" s="1">
        <f>IF(Data!Q56&gt;0,Data!Q56,"")</f>
        <v/>
      </c>
      <c r="R56" s="1">
        <f>IF(Data!R56&gt;0,Data!R56,"")</f>
        <v/>
      </c>
      <c r="S56" s="1">
        <f>IF(Data!S56&gt;0,Data!S56,"")</f>
        <v/>
      </c>
      <c r="V56" s="3">
        <f>IF(COUNT(D56,J56,K56,L56,M56,O56)&gt;0,AVERAGE(D56,J56,K56,L56,M56,O56),"")</f>
        <v/>
      </c>
      <c r="W56" s="3">
        <f>IF(COUNT(C56,F56,G56,N56,Q56)&gt;0,AVERAGE(C56,F56,G56,N56,Q56),"")</f>
        <v/>
      </c>
      <c r="X56" s="3">
        <f>IF(COUNT(B56,E56,H56,I56,P56,R56,S56)&gt;0,AVERAGE(B56,E56,H56,I56,P56,R56,S56),"")</f>
        <v/>
      </c>
      <c r="Y56" s="3" t="n"/>
      <c r="AJ56">
        <f>IFERROR(AVERAGEIF($A$4:$A$1004,AI56,$V$4:$V$1004),"")</f>
        <v/>
      </c>
      <c r="AK56">
        <f>IFERROR(AVERAGEIF($A$4:$A$1004,AI56,$W$4:$W$1004),"")</f>
        <v/>
      </c>
      <c r="AL56">
        <f>IFERROR(AVERAGEIF($A$4:$A$1004,AI56,$X$4:$X$1004),"")</f>
        <v/>
      </c>
    </row>
    <row r="57">
      <c r="A57" s="1">
        <f>IF(Data!A57&gt;0,Data!A57,"")</f>
        <v/>
      </c>
      <c r="B57" s="1">
        <f>IF(Data!B57&gt;0,Data!B57,"")</f>
        <v/>
      </c>
      <c r="C57" s="1">
        <f>IF(Data!C57&gt;0,Data!C57,"")</f>
        <v/>
      </c>
      <c r="D57" s="1">
        <f>IF(Data!D57&gt;0,Data!D57,"")</f>
        <v/>
      </c>
      <c r="E57" s="1">
        <f>IF(Data!E57&gt;0,Data!E57,"")</f>
        <v/>
      </c>
      <c r="F57" s="1">
        <f>IF(Data!F57&gt;0,Data!F57,"")</f>
        <v/>
      </c>
      <c r="G57" s="1">
        <f>IF(Data!G57&gt;0,Data!G57,"")</f>
        <v/>
      </c>
      <c r="H57" s="1">
        <f>IF(Data!H57&gt;0,Data!H57,"")</f>
        <v/>
      </c>
      <c r="I57" s="1">
        <f>IF(Data!I57&gt;0,Data!I57,"")</f>
        <v/>
      </c>
      <c r="J57" s="1">
        <f>IF(Data!J57&gt;0,Data!J57,"")</f>
        <v/>
      </c>
      <c r="K57" s="1">
        <f>IF(Data!K57&gt;0,Data!K57,"")</f>
        <v/>
      </c>
      <c r="L57" s="1">
        <f>IF(Data!L57&gt;0,Data!L57,"")</f>
        <v/>
      </c>
      <c r="M57" s="1">
        <f>IF(Data!M57&gt;0,Data!M57,"")</f>
        <v/>
      </c>
      <c r="N57" s="1">
        <f>IF(Data!N57&gt;0,Data!N57,"")</f>
        <v/>
      </c>
      <c r="O57" s="1">
        <f>IF(Data!O57&gt;0,Data!O57,"")</f>
        <v/>
      </c>
      <c r="P57" s="1">
        <f>IF(Data!P57&gt;0,Data!P57,"")</f>
        <v/>
      </c>
      <c r="Q57" s="1">
        <f>IF(Data!Q57&gt;0,Data!Q57,"")</f>
        <v/>
      </c>
      <c r="R57" s="1">
        <f>IF(Data!R57&gt;0,Data!R57,"")</f>
        <v/>
      </c>
      <c r="S57" s="1">
        <f>IF(Data!S57&gt;0,Data!S57,"")</f>
        <v/>
      </c>
      <c r="V57" s="3">
        <f>IF(COUNT(D57,J57,K57,L57,M57,O57)&gt;0,AVERAGE(D57,J57,K57,L57,M57,O57),"")</f>
        <v/>
      </c>
      <c r="W57" s="3">
        <f>IF(COUNT(C57,F57,G57,N57,Q57)&gt;0,AVERAGE(C57,F57,G57,N57,Q57),"")</f>
        <v/>
      </c>
      <c r="X57" s="3">
        <f>IF(COUNT(B57,E57,H57,I57,P57,R57,S57)&gt;0,AVERAGE(B57,E57,H57,I57,P57,R57,S57),"")</f>
        <v/>
      </c>
      <c r="Y57" s="3" t="n"/>
      <c r="AJ57">
        <f>IFERROR(AVERAGEIF($A$4:$A$1004,AI57,$V$4:$V$1004),"")</f>
        <v/>
      </c>
      <c r="AK57">
        <f>IFERROR(AVERAGEIF($A$4:$A$1004,AI57,$W$4:$W$1004),"")</f>
        <v/>
      </c>
      <c r="AL57">
        <f>IFERROR(AVERAGEIF($A$4:$A$1004,AI57,$X$4:$X$1004),"")</f>
        <v/>
      </c>
    </row>
    <row r="58">
      <c r="A58" s="1">
        <f>IF(Data!A58&gt;0,Data!A58,"")</f>
        <v/>
      </c>
      <c r="B58" s="1">
        <f>IF(Data!B58&gt;0,Data!B58,"")</f>
        <v/>
      </c>
      <c r="C58" s="1">
        <f>IF(Data!C58&gt;0,Data!C58,"")</f>
        <v/>
      </c>
      <c r="D58" s="1">
        <f>IF(Data!D58&gt;0,Data!D58,"")</f>
        <v/>
      </c>
      <c r="E58" s="1">
        <f>IF(Data!E58&gt;0,Data!E58,"")</f>
        <v/>
      </c>
      <c r="F58" s="1">
        <f>IF(Data!F58&gt;0,Data!F58,"")</f>
        <v/>
      </c>
      <c r="G58" s="1">
        <f>IF(Data!G58&gt;0,Data!G58,"")</f>
        <v/>
      </c>
      <c r="H58" s="1">
        <f>IF(Data!H58&gt;0,Data!H58,"")</f>
        <v/>
      </c>
      <c r="I58" s="1">
        <f>IF(Data!I58&gt;0,Data!I58,"")</f>
        <v/>
      </c>
      <c r="J58" s="1">
        <f>IF(Data!J58&gt;0,Data!J58,"")</f>
        <v/>
      </c>
      <c r="K58" s="1">
        <f>IF(Data!K58&gt;0,Data!K58,"")</f>
        <v/>
      </c>
      <c r="L58" s="1">
        <f>IF(Data!L58&gt;0,Data!L58,"")</f>
        <v/>
      </c>
      <c r="M58" s="1">
        <f>IF(Data!M58&gt;0,Data!M58,"")</f>
        <v/>
      </c>
      <c r="N58" s="1">
        <f>IF(Data!N58&gt;0,Data!N58,"")</f>
        <v/>
      </c>
      <c r="O58" s="1">
        <f>IF(Data!O58&gt;0,Data!O58,"")</f>
        <v/>
      </c>
      <c r="P58" s="1">
        <f>IF(Data!P58&gt;0,Data!P58,"")</f>
        <v/>
      </c>
      <c r="Q58" s="1">
        <f>IF(Data!Q58&gt;0,Data!Q58,"")</f>
        <v/>
      </c>
      <c r="R58" s="1">
        <f>IF(Data!R58&gt;0,Data!R58,"")</f>
        <v/>
      </c>
      <c r="S58" s="1">
        <f>IF(Data!S58&gt;0,Data!S58,"")</f>
        <v/>
      </c>
      <c r="V58" s="3">
        <f>IF(COUNT(D58,J58,K58,L58,M58,O58)&gt;0,AVERAGE(D58,J58,K58,L58,M58,O58),"")</f>
        <v/>
      </c>
      <c r="W58" s="3">
        <f>IF(COUNT(C58,F58,G58,N58,Q58)&gt;0,AVERAGE(C58,F58,G58,N58,Q58),"")</f>
        <v/>
      </c>
      <c r="X58" s="3">
        <f>IF(COUNT(B58,E58,H58,I58,P58,R58,S58)&gt;0,AVERAGE(B58,E58,H58,I58,P58,R58,S58),"")</f>
        <v/>
      </c>
      <c r="Y58" s="3" t="n"/>
      <c r="AJ58">
        <f>IFERROR(AVERAGEIF($A$4:$A$1004,AI58,$V$4:$V$1004),"")</f>
        <v/>
      </c>
      <c r="AK58">
        <f>IFERROR(AVERAGEIF($A$4:$A$1004,AI58,$W$4:$W$1004),"")</f>
        <v/>
      </c>
      <c r="AL58">
        <f>IFERROR(AVERAGEIF($A$4:$A$1004,AI58,$X$4:$X$1004),"")</f>
        <v/>
      </c>
    </row>
    <row r="59">
      <c r="A59" s="1">
        <f>IF(Data!A59&gt;0,Data!A59,"")</f>
        <v/>
      </c>
      <c r="B59" s="1">
        <f>IF(Data!B59&gt;0,Data!B59,"")</f>
        <v/>
      </c>
      <c r="C59" s="1">
        <f>IF(Data!C59&gt;0,Data!C59,"")</f>
        <v/>
      </c>
      <c r="D59" s="1">
        <f>IF(Data!D59&gt;0,Data!D59,"")</f>
        <v/>
      </c>
      <c r="E59" s="1">
        <f>IF(Data!E59&gt;0,Data!E59,"")</f>
        <v/>
      </c>
      <c r="F59" s="1">
        <f>IF(Data!F59&gt;0,Data!F59,"")</f>
        <v/>
      </c>
      <c r="G59" s="1">
        <f>IF(Data!G59&gt;0,Data!G59,"")</f>
        <v/>
      </c>
      <c r="H59" s="1">
        <f>IF(Data!H59&gt;0,Data!H59,"")</f>
        <v/>
      </c>
      <c r="I59" s="1">
        <f>IF(Data!I59&gt;0,Data!I59,"")</f>
        <v/>
      </c>
      <c r="J59" s="1">
        <f>IF(Data!J59&gt;0,Data!J59,"")</f>
        <v/>
      </c>
      <c r="K59" s="1">
        <f>IF(Data!K59&gt;0,Data!K59,"")</f>
        <v/>
      </c>
      <c r="L59" s="1">
        <f>IF(Data!L59&gt;0,Data!L59,"")</f>
        <v/>
      </c>
      <c r="M59" s="1">
        <f>IF(Data!M59&gt;0,Data!M59,"")</f>
        <v/>
      </c>
      <c r="N59" s="1">
        <f>IF(Data!N59&gt;0,Data!N59,"")</f>
        <v/>
      </c>
      <c r="O59" s="1">
        <f>IF(Data!O59&gt;0,Data!O59,"")</f>
        <v/>
      </c>
      <c r="P59" s="1">
        <f>IF(Data!P59&gt;0,Data!P59,"")</f>
        <v/>
      </c>
      <c r="Q59" s="1">
        <f>IF(Data!Q59&gt;0,Data!Q59,"")</f>
        <v/>
      </c>
      <c r="R59" s="1">
        <f>IF(Data!R59&gt;0,Data!R59,"")</f>
        <v/>
      </c>
      <c r="S59" s="1">
        <f>IF(Data!S59&gt;0,Data!S59,"")</f>
        <v/>
      </c>
      <c r="V59" s="3">
        <f>IF(COUNT(D59,J59,K59,L59,M59,O59)&gt;0,AVERAGE(D59,J59,K59,L59,M59,O59),"")</f>
        <v/>
      </c>
      <c r="W59" s="3">
        <f>IF(COUNT(C59,F59,G59,N59,Q59)&gt;0,AVERAGE(C59,F59,G59,N59,Q59),"")</f>
        <v/>
      </c>
      <c r="X59" s="3">
        <f>IF(COUNT(B59,E59,H59,I59,P59,R59,S59)&gt;0,AVERAGE(B59,E59,H59,I59,P59,R59,S59),"")</f>
        <v/>
      </c>
      <c r="Y59" s="3" t="n"/>
      <c r="AJ59">
        <f>IFERROR(AVERAGEIF($A$4:$A$1004,AI59,$V$4:$V$1004),"")</f>
        <v/>
      </c>
      <c r="AK59">
        <f>IFERROR(AVERAGEIF($A$4:$A$1004,AI59,$W$4:$W$1004),"")</f>
        <v/>
      </c>
      <c r="AL59">
        <f>IFERROR(AVERAGEIF($A$4:$A$1004,AI59,$X$4:$X$1004),"")</f>
        <v/>
      </c>
    </row>
    <row r="60">
      <c r="A60" s="1">
        <f>IF(Data!A60&gt;0,Data!A60,"")</f>
        <v/>
      </c>
      <c r="B60" s="1">
        <f>IF(Data!B60&gt;0,Data!B60,"")</f>
        <v/>
      </c>
      <c r="C60" s="1">
        <f>IF(Data!C60&gt;0,Data!C60,"")</f>
        <v/>
      </c>
      <c r="D60" s="1">
        <f>IF(Data!D60&gt;0,Data!D60,"")</f>
        <v/>
      </c>
      <c r="E60" s="1">
        <f>IF(Data!E60&gt;0,Data!E60,"")</f>
        <v/>
      </c>
      <c r="F60" s="1">
        <f>IF(Data!F60&gt;0,Data!F60,"")</f>
        <v/>
      </c>
      <c r="G60" s="1">
        <f>IF(Data!G60&gt;0,Data!G60,"")</f>
        <v/>
      </c>
      <c r="H60" s="1">
        <f>IF(Data!H60&gt;0,Data!H60,"")</f>
        <v/>
      </c>
      <c r="I60" s="1">
        <f>IF(Data!I60&gt;0,Data!I60,"")</f>
        <v/>
      </c>
      <c r="J60" s="1">
        <f>IF(Data!J60&gt;0,Data!J60,"")</f>
        <v/>
      </c>
      <c r="K60" s="1">
        <f>IF(Data!K60&gt;0,Data!K60,"")</f>
        <v/>
      </c>
      <c r="L60" s="1">
        <f>IF(Data!L60&gt;0,Data!L60,"")</f>
        <v/>
      </c>
      <c r="M60" s="1">
        <f>IF(Data!M60&gt;0,Data!M60,"")</f>
        <v/>
      </c>
      <c r="N60" s="1">
        <f>IF(Data!N60&gt;0,Data!N60,"")</f>
        <v/>
      </c>
      <c r="O60" s="1">
        <f>IF(Data!O60&gt;0,Data!O60,"")</f>
        <v/>
      </c>
      <c r="P60" s="1">
        <f>IF(Data!P60&gt;0,Data!P60,"")</f>
        <v/>
      </c>
      <c r="Q60" s="1">
        <f>IF(Data!Q60&gt;0,Data!Q60,"")</f>
        <v/>
      </c>
      <c r="R60" s="1">
        <f>IF(Data!R60&gt;0,Data!R60,"")</f>
        <v/>
      </c>
      <c r="S60" s="1">
        <f>IF(Data!S60&gt;0,Data!S60,"")</f>
        <v/>
      </c>
      <c r="V60" s="3">
        <f>IF(COUNT(D60,J60,K60,L60,M60,O60)&gt;0,AVERAGE(D60,J60,K60,L60,M60,O60),"")</f>
        <v/>
      </c>
      <c r="W60" s="3">
        <f>IF(COUNT(C60,F60,G60,N60,Q60)&gt;0,AVERAGE(C60,F60,G60,N60,Q60),"")</f>
        <v/>
      </c>
      <c r="X60" s="3">
        <f>IF(COUNT(B60,E60,H60,I60,P60,R60,S60)&gt;0,AVERAGE(B60,E60,H60,I60,P60,R60,S60),"")</f>
        <v/>
      </c>
      <c r="Y60" s="3" t="n"/>
      <c r="AJ60">
        <f>IFERROR(AVERAGEIF($A$4:$A$1004,AI60,$V$4:$V$1004),"")</f>
        <v/>
      </c>
      <c r="AK60">
        <f>IFERROR(AVERAGEIF($A$4:$A$1004,AI60,$W$4:$W$1004),"")</f>
        <v/>
      </c>
      <c r="AL60">
        <f>IFERROR(AVERAGEIF($A$4:$A$1004,AI60,$X$4:$X$1004),"")</f>
        <v/>
      </c>
    </row>
    <row r="61">
      <c r="A61" s="1">
        <f>IF(Data!A61&gt;0,Data!A61,"")</f>
        <v/>
      </c>
      <c r="B61" s="1">
        <f>IF(Data!B61&gt;0,Data!B61,"")</f>
        <v/>
      </c>
      <c r="C61" s="1">
        <f>IF(Data!C61&gt;0,Data!C61,"")</f>
        <v/>
      </c>
      <c r="D61" s="1">
        <f>IF(Data!D61&gt;0,Data!D61,"")</f>
        <v/>
      </c>
      <c r="E61" s="1">
        <f>IF(Data!E61&gt;0,Data!E61,"")</f>
        <v/>
      </c>
      <c r="F61" s="1">
        <f>IF(Data!F61&gt;0,Data!F61,"")</f>
        <v/>
      </c>
      <c r="G61" s="1">
        <f>IF(Data!G61&gt;0,Data!G61,"")</f>
        <v/>
      </c>
      <c r="H61" s="1">
        <f>IF(Data!H61&gt;0,Data!H61,"")</f>
        <v/>
      </c>
      <c r="I61" s="1">
        <f>IF(Data!I61&gt;0,Data!I61,"")</f>
        <v/>
      </c>
      <c r="J61" s="1">
        <f>IF(Data!J61&gt;0,Data!J61,"")</f>
        <v/>
      </c>
      <c r="K61" s="1">
        <f>IF(Data!K61&gt;0,Data!K61,"")</f>
        <v/>
      </c>
      <c r="L61" s="1">
        <f>IF(Data!L61&gt;0,Data!L61,"")</f>
        <v/>
      </c>
      <c r="M61" s="1">
        <f>IF(Data!M61&gt;0,Data!M61,"")</f>
        <v/>
      </c>
      <c r="N61" s="1">
        <f>IF(Data!N61&gt;0,Data!N61,"")</f>
        <v/>
      </c>
      <c r="O61" s="1">
        <f>IF(Data!O61&gt;0,Data!O61,"")</f>
        <v/>
      </c>
      <c r="P61" s="1">
        <f>IF(Data!P61&gt;0,Data!P61,"")</f>
        <v/>
      </c>
      <c r="Q61" s="1">
        <f>IF(Data!Q61&gt;0,Data!Q61,"")</f>
        <v/>
      </c>
      <c r="R61" s="1">
        <f>IF(Data!R61&gt;0,Data!R61,"")</f>
        <v/>
      </c>
      <c r="S61" s="1">
        <f>IF(Data!S61&gt;0,Data!S61,"")</f>
        <v/>
      </c>
      <c r="V61" s="3">
        <f>IF(COUNT(D61,J61,K61,L61,M61,O61)&gt;0,AVERAGE(D61,J61,K61,L61,M61,O61),"")</f>
        <v/>
      </c>
      <c r="W61" s="3">
        <f>IF(COUNT(C61,F61,G61,N61,Q61)&gt;0,AVERAGE(C61,F61,G61,N61,Q61),"")</f>
        <v/>
      </c>
      <c r="X61" s="3">
        <f>IF(COUNT(B61,E61,H61,I61,P61,R61,S61)&gt;0,AVERAGE(B61,E61,H61,I61,P61,R61,S61),"")</f>
        <v/>
      </c>
      <c r="Y61" s="3" t="n"/>
      <c r="AJ61">
        <f>IFERROR(AVERAGEIF($A$4:$A$1004,AI61,$V$4:$V$1004),"")</f>
        <v/>
      </c>
      <c r="AK61">
        <f>IFERROR(AVERAGEIF($A$4:$A$1004,AI61,$W$4:$W$1004),"")</f>
        <v/>
      </c>
      <c r="AL61">
        <f>IFERROR(AVERAGEIF($A$4:$A$1004,AI61,$X$4:$X$1004),"")</f>
        <v/>
      </c>
    </row>
    <row r="62">
      <c r="A62" s="1">
        <f>IF(Data!A62&gt;0,Data!A62,"")</f>
        <v/>
      </c>
      <c r="B62" s="1">
        <f>IF(Data!B62&gt;0,Data!B62,"")</f>
        <v/>
      </c>
      <c r="C62" s="1">
        <f>IF(Data!C62&gt;0,Data!C62,"")</f>
        <v/>
      </c>
      <c r="D62" s="1">
        <f>IF(Data!D62&gt;0,Data!D62,"")</f>
        <v/>
      </c>
      <c r="E62" s="1">
        <f>IF(Data!E62&gt;0,Data!E62,"")</f>
        <v/>
      </c>
      <c r="F62" s="1">
        <f>IF(Data!F62&gt;0,Data!F62,"")</f>
        <v/>
      </c>
      <c r="G62" s="1">
        <f>IF(Data!G62&gt;0,Data!G62,"")</f>
        <v/>
      </c>
      <c r="H62" s="1">
        <f>IF(Data!H62&gt;0,Data!H62,"")</f>
        <v/>
      </c>
      <c r="I62" s="1">
        <f>IF(Data!I62&gt;0,Data!I62,"")</f>
        <v/>
      </c>
      <c r="J62" s="1">
        <f>IF(Data!J62&gt;0,Data!J62,"")</f>
        <v/>
      </c>
      <c r="K62" s="1">
        <f>IF(Data!K62&gt;0,Data!K62,"")</f>
        <v/>
      </c>
      <c r="L62" s="1">
        <f>IF(Data!L62&gt;0,Data!L62,"")</f>
        <v/>
      </c>
      <c r="M62" s="1">
        <f>IF(Data!M62&gt;0,Data!M62,"")</f>
        <v/>
      </c>
      <c r="N62" s="1">
        <f>IF(Data!N62&gt;0,Data!N62,"")</f>
        <v/>
      </c>
      <c r="O62" s="1">
        <f>IF(Data!O62&gt;0,Data!O62,"")</f>
        <v/>
      </c>
      <c r="P62" s="1">
        <f>IF(Data!P62&gt;0,Data!P62,"")</f>
        <v/>
      </c>
      <c r="Q62" s="1">
        <f>IF(Data!Q62&gt;0,Data!Q62,"")</f>
        <v/>
      </c>
      <c r="R62" s="1">
        <f>IF(Data!R62&gt;0,Data!R62,"")</f>
        <v/>
      </c>
      <c r="S62" s="1">
        <f>IF(Data!S62&gt;0,Data!S62,"")</f>
        <v/>
      </c>
      <c r="V62" s="3">
        <f>IF(COUNT(D62,J62,K62,L62,M62,O62)&gt;0,AVERAGE(D62,J62,K62,L62,M62,O62),"")</f>
        <v/>
      </c>
      <c r="W62" s="3">
        <f>IF(COUNT(C62,F62,G62,N62,Q62)&gt;0,AVERAGE(C62,F62,G62,N62,Q62),"")</f>
        <v/>
      </c>
      <c r="X62" s="3">
        <f>IF(COUNT(B62,E62,H62,I62,P62,R62,S62)&gt;0,AVERAGE(B62,E62,H62,I62,P62,R62,S62),"")</f>
        <v/>
      </c>
      <c r="Y62" s="3" t="n"/>
      <c r="AJ62">
        <f>IFERROR(AVERAGEIF($A$4:$A$1004,AI62,$V$4:$V$1004),"")</f>
        <v/>
      </c>
      <c r="AK62">
        <f>IFERROR(AVERAGEIF($A$4:$A$1004,AI62,$W$4:$W$1004),"")</f>
        <v/>
      </c>
      <c r="AL62">
        <f>IFERROR(AVERAGEIF($A$4:$A$1004,AI62,$X$4:$X$1004),"")</f>
        <v/>
      </c>
    </row>
    <row r="63">
      <c r="A63" s="1">
        <f>IF(Data!A63&gt;0,Data!A63,"")</f>
        <v/>
      </c>
      <c r="B63" s="1">
        <f>IF(Data!B63&gt;0,Data!B63,"")</f>
        <v/>
      </c>
      <c r="C63" s="1">
        <f>IF(Data!C63&gt;0,Data!C63,"")</f>
        <v/>
      </c>
      <c r="D63" s="1">
        <f>IF(Data!D63&gt;0,Data!D63,"")</f>
        <v/>
      </c>
      <c r="E63" s="1">
        <f>IF(Data!E63&gt;0,Data!E63,"")</f>
        <v/>
      </c>
      <c r="F63" s="1">
        <f>IF(Data!F63&gt;0,Data!F63,"")</f>
        <v/>
      </c>
      <c r="G63" s="1">
        <f>IF(Data!G63&gt;0,Data!G63,"")</f>
        <v/>
      </c>
      <c r="H63" s="1">
        <f>IF(Data!H63&gt;0,Data!H63,"")</f>
        <v/>
      </c>
      <c r="I63" s="1">
        <f>IF(Data!I63&gt;0,Data!I63,"")</f>
        <v/>
      </c>
      <c r="J63" s="1">
        <f>IF(Data!J63&gt;0,Data!J63,"")</f>
        <v/>
      </c>
      <c r="K63" s="1">
        <f>IF(Data!K63&gt;0,Data!K63,"")</f>
        <v/>
      </c>
      <c r="L63" s="1">
        <f>IF(Data!L63&gt;0,Data!L63,"")</f>
        <v/>
      </c>
      <c r="M63" s="1">
        <f>IF(Data!M63&gt;0,Data!M63,"")</f>
        <v/>
      </c>
      <c r="N63" s="1">
        <f>IF(Data!N63&gt;0,Data!N63,"")</f>
        <v/>
      </c>
      <c r="O63" s="1">
        <f>IF(Data!O63&gt;0,Data!O63,"")</f>
        <v/>
      </c>
      <c r="P63" s="1">
        <f>IF(Data!P63&gt;0,Data!P63,"")</f>
        <v/>
      </c>
      <c r="Q63" s="1">
        <f>IF(Data!Q63&gt;0,Data!Q63,"")</f>
        <v/>
      </c>
      <c r="R63" s="1">
        <f>IF(Data!R63&gt;0,Data!R63,"")</f>
        <v/>
      </c>
      <c r="S63" s="1">
        <f>IF(Data!S63&gt;0,Data!S63,"")</f>
        <v/>
      </c>
      <c r="V63" s="3">
        <f>IF(COUNT(D63,J63,K63,L63,M63,O63)&gt;0,AVERAGE(D63,J63,K63,L63,M63,O63),"")</f>
        <v/>
      </c>
      <c r="W63" s="3">
        <f>IF(COUNT(C63,F63,G63,N63,Q63)&gt;0,AVERAGE(C63,F63,G63,N63,Q63),"")</f>
        <v/>
      </c>
      <c r="X63" s="3">
        <f>IF(COUNT(B63,E63,H63,I63,P63,R63,S63)&gt;0,AVERAGE(B63,E63,H63,I63,P63,R63,S63),"")</f>
        <v/>
      </c>
      <c r="Y63" s="3" t="n"/>
      <c r="AJ63">
        <f>IFERROR(AVERAGEIF($A$4:$A$1004,AI63,$V$4:$V$1004),"")</f>
        <v/>
      </c>
      <c r="AK63">
        <f>IFERROR(AVERAGEIF($A$4:$A$1004,AI63,$W$4:$W$1004),"")</f>
        <v/>
      </c>
      <c r="AL63">
        <f>IFERROR(AVERAGEIF($A$4:$A$1004,AI63,$X$4:$X$1004),"")</f>
        <v/>
      </c>
    </row>
    <row r="64">
      <c r="A64" s="1">
        <f>IF(Data!A64&gt;0,Data!A64,"")</f>
        <v/>
      </c>
      <c r="B64" s="1">
        <f>IF(Data!B64&gt;0,Data!B64,"")</f>
        <v/>
      </c>
      <c r="C64" s="1">
        <f>IF(Data!C64&gt;0,Data!C64,"")</f>
        <v/>
      </c>
      <c r="D64" s="1">
        <f>IF(Data!D64&gt;0,Data!D64,"")</f>
        <v/>
      </c>
      <c r="E64" s="1">
        <f>IF(Data!E64&gt;0,Data!E64,"")</f>
        <v/>
      </c>
      <c r="F64" s="1">
        <f>IF(Data!F64&gt;0,Data!F64,"")</f>
        <v/>
      </c>
      <c r="G64" s="1">
        <f>IF(Data!G64&gt;0,Data!G64,"")</f>
        <v/>
      </c>
      <c r="H64" s="1">
        <f>IF(Data!H64&gt;0,Data!H64,"")</f>
        <v/>
      </c>
      <c r="I64" s="1">
        <f>IF(Data!I64&gt;0,Data!I64,"")</f>
        <v/>
      </c>
      <c r="J64" s="1">
        <f>IF(Data!J64&gt;0,Data!J64,"")</f>
        <v/>
      </c>
      <c r="K64" s="1">
        <f>IF(Data!K64&gt;0,Data!K64,"")</f>
        <v/>
      </c>
      <c r="L64" s="1">
        <f>IF(Data!L64&gt;0,Data!L64,"")</f>
        <v/>
      </c>
      <c r="M64" s="1">
        <f>IF(Data!M64&gt;0,Data!M64,"")</f>
        <v/>
      </c>
      <c r="N64" s="1">
        <f>IF(Data!N64&gt;0,Data!N64,"")</f>
        <v/>
      </c>
      <c r="O64" s="1">
        <f>IF(Data!O64&gt;0,Data!O64,"")</f>
        <v/>
      </c>
      <c r="P64" s="1">
        <f>IF(Data!P64&gt;0,Data!P64,"")</f>
        <v/>
      </c>
      <c r="Q64" s="1">
        <f>IF(Data!Q64&gt;0,Data!Q64,"")</f>
        <v/>
      </c>
      <c r="R64" s="1">
        <f>IF(Data!R64&gt;0,Data!R64,"")</f>
        <v/>
      </c>
      <c r="S64" s="1">
        <f>IF(Data!S64&gt;0,Data!S64,"")</f>
        <v/>
      </c>
      <c r="V64" s="3">
        <f>IF(COUNT(D64,J64,K64,L64,M64,O64)&gt;0,AVERAGE(D64,J64,K64,L64,M64,O64),"")</f>
        <v/>
      </c>
      <c r="W64" s="3">
        <f>IF(COUNT(C64,F64,G64,N64,Q64)&gt;0,AVERAGE(C64,F64,G64,N64,Q64),"")</f>
        <v/>
      </c>
      <c r="X64" s="3">
        <f>IF(COUNT(B64,E64,H64,I64,P64,R64,S64)&gt;0,AVERAGE(B64,E64,H64,I64,P64,R64,S64),"")</f>
        <v/>
      </c>
      <c r="Y64" s="3" t="n"/>
      <c r="AJ64">
        <f>IFERROR(AVERAGEIF($A$4:$A$1004,AI64,$V$4:$V$1004),"")</f>
        <v/>
      </c>
      <c r="AK64">
        <f>IFERROR(AVERAGEIF($A$4:$A$1004,AI64,$W$4:$W$1004),"")</f>
        <v/>
      </c>
      <c r="AL64">
        <f>IFERROR(AVERAGEIF($A$4:$A$1004,AI64,$X$4:$X$1004),"")</f>
        <v/>
      </c>
    </row>
    <row r="65">
      <c r="A65" s="1">
        <f>IF(Data!A65&gt;0,Data!A65,"")</f>
        <v/>
      </c>
      <c r="B65" s="1">
        <f>IF(Data!B65&gt;0,Data!B65,"")</f>
        <v/>
      </c>
      <c r="C65" s="1">
        <f>IF(Data!C65&gt;0,Data!C65,"")</f>
        <v/>
      </c>
      <c r="D65" s="1">
        <f>IF(Data!D65&gt;0,Data!D65,"")</f>
        <v/>
      </c>
      <c r="E65" s="1">
        <f>IF(Data!E65&gt;0,Data!E65,"")</f>
        <v/>
      </c>
      <c r="F65" s="1">
        <f>IF(Data!F65&gt;0,Data!F65,"")</f>
        <v/>
      </c>
      <c r="G65" s="1">
        <f>IF(Data!G65&gt;0,Data!G65,"")</f>
        <v/>
      </c>
      <c r="H65" s="1">
        <f>IF(Data!H65&gt;0,Data!H65,"")</f>
        <v/>
      </c>
      <c r="I65" s="1">
        <f>IF(Data!I65&gt;0,Data!I65,"")</f>
        <v/>
      </c>
      <c r="J65" s="1">
        <f>IF(Data!J65&gt;0,Data!J65,"")</f>
        <v/>
      </c>
      <c r="K65" s="1">
        <f>IF(Data!K65&gt;0,Data!K65,"")</f>
        <v/>
      </c>
      <c r="L65" s="1">
        <f>IF(Data!L65&gt;0,Data!L65,"")</f>
        <v/>
      </c>
      <c r="M65" s="1">
        <f>IF(Data!M65&gt;0,Data!M65,"")</f>
        <v/>
      </c>
      <c r="N65" s="1">
        <f>IF(Data!N65&gt;0,Data!N65,"")</f>
        <v/>
      </c>
      <c r="O65" s="1">
        <f>IF(Data!O65&gt;0,Data!O65,"")</f>
        <v/>
      </c>
      <c r="P65" s="1">
        <f>IF(Data!P65&gt;0,Data!P65,"")</f>
        <v/>
      </c>
      <c r="Q65" s="1">
        <f>IF(Data!Q65&gt;0,Data!Q65,"")</f>
        <v/>
      </c>
      <c r="R65" s="1">
        <f>IF(Data!R65&gt;0,Data!R65,"")</f>
        <v/>
      </c>
      <c r="S65" s="1">
        <f>IF(Data!S65&gt;0,Data!S65,"")</f>
        <v/>
      </c>
      <c r="V65" s="3">
        <f>IF(COUNT(D65,J65,K65,L65,M65,O65)&gt;0,AVERAGE(D65,J65,K65,L65,M65,O65),"")</f>
        <v/>
      </c>
      <c r="W65" s="3">
        <f>IF(COUNT(C65,F65,G65,N65,Q65)&gt;0,AVERAGE(C65,F65,G65,N65,Q65),"")</f>
        <v/>
      </c>
      <c r="X65" s="3">
        <f>IF(COUNT(B65,E65,H65,I65,P65,R65,S65)&gt;0,AVERAGE(B65,E65,H65,I65,P65,R65,S65),"")</f>
        <v/>
      </c>
      <c r="Y65" s="3" t="n"/>
      <c r="AJ65">
        <f>IFERROR(AVERAGEIF($A$4:$A$1004,AI65,$V$4:$V$1004),"")</f>
        <v/>
      </c>
      <c r="AK65">
        <f>IFERROR(AVERAGEIF($A$4:$A$1004,AI65,$W$4:$W$1004),"")</f>
        <v/>
      </c>
      <c r="AL65">
        <f>IFERROR(AVERAGEIF($A$4:$A$1004,AI65,$X$4:$X$1004),"")</f>
        <v/>
      </c>
    </row>
    <row r="66">
      <c r="A66" s="1">
        <f>IF(Data!A66&gt;0,Data!A66,"")</f>
        <v/>
      </c>
      <c r="B66" s="1">
        <f>IF(Data!B66&gt;0,Data!B66,"")</f>
        <v/>
      </c>
      <c r="C66" s="1">
        <f>IF(Data!C66&gt;0,Data!C66,"")</f>
        <v/>
      </c>
      <c r="D66" s="1">
        <f>IF(Data!D66&gt;0,Data!D66,"")</f>
        <v/>
      </c>
      <c r="E66" s="1">
        <f>IF(Data!E66&gt;0,Data!E66,"")</f>
        <v/>
      </c>
      <c r="F66" s="1">
        <f>IF(Data!F66&gt;0,Data!F66,"")</f>
        <v/>
      </c>
      <c r="G66" s="1">
        <f>IF(Data!G66&gt;0,Data!G66,"")</f>
        <v/>
      </c>
      <c r="H66" s="1">
        <f>IF(Data!H66&gt;0,Data!H66,"")</f>
        <v/>
      </c>
      <c r="I66" s="1">
        <f>IF(Data!I66&gt;0,Data!I66,"")</f>
        <v/>
      </c>
      <c r="J66" s="1">
        <f>IF(Data!J66&gt;0,Data!J66,"")</f>
        <v/>
      </c>
      <c r="K66" s="1">
        <f>IF(Data!K66&gt;0,Data!K66,"")</f>
        <v/>
      </c>
      <c r="L66" s="1">
        <f>IF(Data!L66&gt;0,Data!L66,"")</f>
        <v/>
      </c>
      <c r="M66" s="1">
        <f>IF(Data!M66&gt;0,Data!M66,"")</f>
        <v/>
      </c>
      <c r="N66" s="1">
        <f>IF(Data!N66&gt;0,Data!N66,"")</f>
        <v/>
      </c>
      <c r="O66" s="1">
        <f>IF(Data!O66&gt;0,Data!O66,"")</f>
        <v/>
      </c>
      <c r="P66" s="1">
        <f>IF(Data!P66&gt;0,Data!P66,"")</f>
        <v/>
      </c>
      <c r="Q66" s="1">
        <f>IF(Data!Q66&gt;0,Data!Q66,"")</f>
        <v/>
      </c>
      <c r="R66" s="1">
        <f>IF(Data!R66&gt;0,Data!R66,"")</f>
        <v/>
      </c>
      <c r="S66" s="1">
        <f>IF(Data!S66&gt;0,Data!S66,"")</f>
        <v/>
      </c>
      <c r="V66" s="3">
        <f>IF(COUNT(D66,J66,K66,L66,M66,O66)&gt;0,AVERAGE(D66,J66,K66,L66,M66,O66),"")</f>
        <v/>
      </c>
      <c r="W66" s="3">
        <f>IF(COUNT(C66,F66,G66,N66,Q66)&gt;0,AVERAGE(C66,F66,G66,N66,Q66),"")</f>
        <v/>
      </c>
      <c r="X66" s="3">
        <f>IF(COUNT(B66,E66,H66,I66,P66,R66,S66)&gt;0,AVERAGE(B66,E66,H66,I66,P66,R66,S66),"")</f>
        <v/>
      </c>
      <c r="Y66" s="3" t="n"/>
      <c r="AJ66">
        <f>IFERROR(AVERAGEIF($A$4:$A$1004,AI66,$V$4:$V$1004),"")</f>
        <v/>
      </c>
      <c r="AK66">
        <f>IFERROR(AVERAGEIF($A$4:$A$1004,AI66,$W$4:$W$1004),"")</f>
        <v/>
      </c>
      <c r="AL66">
        <f>IFERROR(AVERAGEIF($A$4:$A$1004,AI66,$X$4:$X$1004),"")</f>
        <v/>
      </c>
    </row>
    <row r="67">
      <c r="A67" s="1">
        <f>IF(Data!A67&gt;0,Data!A67,"")</f>
        <v/>
      </c>
      <c r="B67" s="1">
        <f>IF(Data!B67&gt;0,Data!B67,"")</f>
        <v/>
      </c>
      <c r="C67" s="1">
        <f>IF(Data!C67&gt;0,Data!C67,"")</f>
        <v/>
      </c>
      <c r="D67" s="1">
        <f>IF(Data!D67&gt;0,Data!D67,"")</f>
        <v/>
      </c>
      <c r="E67" s="1">
        <f>IF(Data!E67&gt;0,Data!E67,"")</f>
        <v/>
      </c>
      <c r="F67" s="1">
        <f>IF(Data!F67&gt;0,Data!F67,"")</f>
        <v/>
      </c>
      <c r="G67" s="1">
        <f>IF(Data!G67&gt;0,Data!G67,"")</f>
        <v/>
      </c>
      <c r="H67" s="1">
        <f>IF(Data!H67&gt;0,Data!H67,"")</f>
        <v/>
      </c>
      <c r="I67" s="1">
        <f>IF(Data!I67&gt;0,Data!I67,"")</f>
        <v/>
      </c>
      <c r="J67" s="1">
        <f>IF(Data!J67&gt;0,Data!J67,"")</f>
        <v/>
      </c>
      <c r="K67" s="1">
        <f>IF(Data!K67&gt;0,Data!K67,"")</f>
        <v/>
      </c>
      <c r="L67" s="1">
        <f>IF(Data!L67&gt;0,Data!L67,"")</f>
        <v/>
      </c>
      <c r="M67" s="1">
        <f>IF(Data!M67&gt;0,Data!M67,"")</f>
        <v/>
      </c>
      <c r="N67" s="1">
        <f>IF(Data!N67&gt;0,Data!N67,"")</f>
        <v/>
      </c>
      <c r="O67" s="1">
        <f>IF(Data!O67&gt;0,Data!O67,"")</f>
        <v/>
      </c>
      <c r="P67" s="1">
        <f>IF(Data!P67&gt;0,Data!P67,"")</f>
        <v/>
      </c>
      <c r="Q67" s="1">
        <f>IF(Data!Q67&gt;0,Data!Q67,"")</f>
        <v/>
      </c>
      <c r="R67" s="1">
        <f>IF(Data!R67&gt;0,Data!R67,"")</f>
        <v/>
      </c>
      <c r="S67" s="1">
        <f>IF(Data!S67&gt;0,Data!S67,"")</f>
        <v/>
      </c>
      <c r="V67" s="3">
        <f>IF(COUNT(D67,J67,K67,L67,M67,O67)&gt;0,AVERAGE(D67,J67,K67,L67,M67,O67),"")</f>
        <v/>
      </c>
      <c r="W67" s="3">
        <f>IF(COUNT(C67,F67,G67,N67,Q67)&gt;0,AVERAGE(C67,F67,G67,N67,Q67),"")</f>
        <v/>
      </c>
      <c r="X67" s="3">
        <f>IF(COUNT(B67,E67,H67,I67,P67,R67,S67)&gt;0,AVERAGE(B67,E67,H67,I67,P67,R67,S67),"")</f>
        <v/>
      </c>
      <c r="Y67" s="3" t="n"/>
      <c r="AJ67">
        <f>IFERROR(AVERAGEIF($A$4:$A$1004,AI67,$V$4:$V$1004),"")</f>
        <v/>
      </c>
      <c r="AK67">
        <f>IFERROR(AVERAGEIF($A$4:$A$1004,AI67,$W$4:$W$1004),"")</f>
        <v/>
      </c>
      <c r="AL67">
        <f>IFERROR(AVERAGEIF($A$4:$A$1004,AI67,$X$4:$X$1004),"")</f>
        <v/>
      </c>
    </row>
    <row r="68">
      <c r="A68" s="1">
        <f>IF(Data!A68&gt;0,Data!A68,"")</f>
        <v/>
      </c>
      <c r="B68" s="1">
        <f>IF(Data!B68&gt;0,Data!B68,"")</f>
        <v/>
      </c>
      <c r="C68" s="1">
        <f>IF(Data!C68&gt;0,Data!C68,"")</f>
        <v/>
      </c>
      <c r="D68" s="1">
        <f>IF(Data!D68&gt;0,Data!D68,"")</f>
        <v/>
      </c>
      <c r="E68" s="1">
        <f>IF(Data!E68&gt;0,Data!E68,"")</f>
        <v/>
      </c>
      <c r="F68" s="1">
        <f>IF(Data!F68&gt;0,Data!F68,"")</f>
        <v/>
      </c>
      <c r="G68" s="1">
        <f>IF(Data!G68&gt;0,Data!G68,"")</f>
        <v/>
      </c>
      <c r="H68" s="1">
        <f>IF(Data!H68&gt;0,Data!H68,"")</f>
        <v/>
      </c>
      <c r="I68" s="1">
        <f>IF(Data!I68&gt;0,Data!I68,"")</f>
        <v/>
      </c>
      <c r="J68" s="1">
        <f>IF(Data!J68&gt;0,Data!J68,"")</f>
        <v/>
      </c>
      <c r="K68" s="1">
        <f>IF(Data!K68&gt;0,Data!K68,"")</f>
        <v/>
      </c>
      <c r="L68" s="1">
        <f>IF(Data!L68&gt;0,Data!L68,"")</f>
        <v/>
      </c>
      <c r="M68" s="1">
        <f>IF(Data!M68&gt;0,Data!M68,"")</f>
        <v/>
      </c>
      <c r="N68" s="1">
        <f>IF(Data!N68&gt;0,Data!N68,"")</f>
        <v/>
      </c>
      <c r="O68" s="1">
        <f>IF(Data!O68&gt;0,Data!O68,"")</f>
        <v/>
      </c>
      <c r="P68" s="1">
        <f>IF(Data!P68&gt;0,Data!P68,"")</f>
        <v/>
      </c>
      <c r="Q68" s="1">
        <f>IF(Data!Q68&gt;0,Data!Q68,"")</f>
        <v/>
      </c>
      <c r="R68" s="1">
        <f>IF(Data!R68&gt;0,Data!R68,"")</f>
        <v/>
      </c>
      <c r="S68" s="1">
        <f>IF(Data!S68&gt;0,Data!S68,"")</f>
        <v/>
      </c>
      <c r="V68" s="3">
        <f>IF(COUNT(D68,J68,K68,L68,M68,O68)&gt;0,AVERAGE(D68,J68,K68,L68,M68,O68),"")</f>
        <v/>
      </c>
      <c r="W68" s="3">
        <f>IF(COUNT(C68,F68,G68,N68,Q68)&gt;0,AVERAGE(C68,F68,G68,N68,Q68),"")</f>
        <v/>
      </c>
      <c r="X68" s="3">
        <f>IF(COUNT(B68,E68,H68,I68,P68,R68,S68)&gt;0,AVERAGE(B68,E68,H68,I68,P68,R68,S68),"")</f>
        <v/>
      </c>
      <c r="Y68" s="3" t="n"/>
      <c r="AJ68">
        <f>IFERROR(AVERAGEIF($A$4:$A$1004,AI68,$V$4:$V$1004),"")</f>
        <v/>
      </c>
      <c r="AK68">
        <f>IFERROR(AVERAGEIF($A$4:$A$1004,AI68,$W$4:$W$1004),"")</f>
        <v/>
      </c>
      <c r="AL68">
        <f>IFERROR(AVERAGEIF($A$4:$A$1004,AI68,$X$4:$X$1004),"")</f>
        <v/>
      </c>
    </row>
    <row r="69">
      <c r="A69" s="1">
        <f>IF(Data!A69&gt;0,Data!A69,"")</f>
        <v/>
      </c>
      <c r="B69" s="1">
        <f>IF(Data!B69&gt;0,Data!B69,"")</f>
        <v/>
      </c>
      <c r="C69" s="1">
        <f>IF(Data!C69&gt;0,Data!C69,"")</f>
        <v/>
      </c>
      <c r="D69" s="1">
        <f>IF(Data!D69&gt;0,Data!D69,"")</f>
        <v/>
      </c>
      <c r="E69" s="1">
        <f>IF(Data!E69&gt;0,Data!E69,"")</f>
        <v/>
      </c>
      <c r="F69" s="1">
        <f>IF(Data!F69&gt;0,Data!F69,"")</f>
        <v/>
      </c>
      <c r="G69" s="1">
        <f>IF(Data!G69&gt;0,Data!G69,"")</f>
        <v/>
      </c>
      <c r="H69" s="1">
        <f>IF(Data!H69&gt;0,Data!H69,"")</f>
        <v/>
      </c>
      <c r="I69" s="1">
        <f>IF(Data!I69&gt;0,Data!I69,"")</f>
        <v/>
      </c>
      <c r="J69" s="1">
        <f>IF(Data!J69&gt;0,Data!J69,"")</f>
        <v/>
      </c>
      <c r="K69" s="1">
        <f>IF(Data!K69&gt;0,Data!K69,"")</f>
        <v/>
      </c>
      <c r="L69" s="1">
        <f>IF(Data!L69&gt;0,Data!L69,"")</f>
        <v/>
      </c>
      <c r="M69" s="1">
        <f>IF(Data!M69&gt;0,Data!M69,"")</f>
        <v/>
      </c>
      <c r="N69" s="1">
        <f>IF(Data!N69&gt;0,Data!N69,"")</f>
        <v/>
      </c>
      <c r="O69" s="1">
        <f>IF(Data!O69&gt;0,Data!O69,"")</f>
        <v/>
      </c>
      <c r="P69" s="1">
        <f>IF(Data!P69&gt;0,Data!P69,"")</f>
        <v/>
      </c>
      <c r="Q69" s="1">
        <f>IF(Data!Q69&gt;0,Data!Q69,"")</f>
        <v/>
      </c>
      <c r="R69" s="1">
        <f>IF(Data!R69&gt;0,Data!R69,"")</f>
        <v/>
      </c>
      <c r="S69" s="1">
        <f>IF(Data!S69&gt;0,Data!S69,"")</f>
        <v/>
      </c>
      <c r="V69" s="3">
        <f>IF(COUNT(D69,J69,K69,L69,M69,O69)&gt;0,AVERAGE(D69,J69,K69,L69,M69,O69),"")</f>
        <v/>
      </c>
      <c r="W69" s="3">
        <f>IF(COUNT(C69,F69,G69,N69,Q69)&gt;0,AVERAGE(C69,F69,G69,N69,Q69),"")</f>
        <v/>
      </c>
      <c r="X69" s="3">
        <f>IF(COUNT(B69,E69,H69,I69,P69,R69,S69)&gt;0,AVERAGE(B69,E69,H69,I69,P69,R69,S69),"")</f>
        <v/>
      </c>
      <c r="Y69" s="3" t="n"/>
      <c r="AJ69">
        <f>IFERROR(AVERAGEIF($A$4:$A$1004,AI69,$V$4:$V$1004),"")</f>
        <v/>
      </c>
      <c r="AK69">
        <f>IFERROR(AVERAGEIF($A$4:$A$1004,AI69,$W$4:$W$1004),"")</f>
        <v/>
      </c>
      <c r="AL69">
        <f>IFERROR(AVERAGEIF($A$4:$A$1004,AI69,$X$4:$X$1004),"")</f>
        <v/>
      </c>
    </row>
    <row r="70">
      <c r="A70" s="1">
        <f>IF(Data!A70&gt;0,Data!A70,"")</f>
        <v/>
      </c>
      <c r="B70" s="1">
        <f>IF(Data!B70&gt;0,Data!B70,"")</f>
        <v/>
      </c>
      <c r="C70" s="1">
        <f>IF(Data!C70&gt;0,Data!C70,"")</f>
        <v/>
      </c>
      <c r="D70" s="1">
        <f>IF(Data!D70&gt;0,Data!D70,"")</f>
        <v/>
      </c>
      <c r="E70" s="1">
        <f>IF(Data!E70&gt;0,Data!E70,"")</f>
        <v/>
      </c>
      <c r="F70" s="1">
        <f>IF(Data!F70&gt;0,Data!F70,"")</f>
        <v/>
      </c>
      <c r="G70" s="1">
        <f>IF(Data!G70&gt;0,Data!G70,"")</f>
        <v/>
      </c>
      <c r="H70" s="1">
        <f>IF(Data!H70&gt;0,Data!H70,"")</f>
        <v/>
      </c>
      <c r="I70" s="1">
        <f>IF(Data!I70&gt;0,Data!I70,"")</f>
        <v/>
      </c>
      <c r="J70" s="1">
        <f>IF(Data!J70&gt;0,Data!J70,"")</f>
        <v/>
      </c>
      <c r="K70" s="1">
        <f>IF(Data!K70&gt;0,Data!K70,"")</f>
        <v/>
      </c>
      <c r="L70" s="1">
        <f>IF(Data!L70&gt;0,Data!L70,"")</f>
        <v/>
      </c>
      <c r="M70" s="1">
        <f>IF(Data!M70&gt;0,Data!M70,"")</f>
        <v/>
      </c>
      <c r="N70" s="1">
        <f>IF(Data!N70&gt;0,Data!N70,"")</f>
        <v/>
      </c>
      <c r="O70" s="1">
        <f>IF(Data!O70&gt;0,Data!O70,"")</f>
        <v/>
      </c>
      <c r="P70" s="1">
        <f>IF(Data!P70&gt;0,Data!P70,"")</f>
        <v/>
      </c>
      <c r="Q70" s="1">
        <f>IF(Data!Q70&gt;0,Data!Q70,"")</f>
        <v/>
      </c>
      <c r="R70" s="1">
        <f>IF(Data!R70&gt;0,Data!R70,"")</f>
        <v/>
      </c>
      <c r="S70" s="1">
        <f>IF(Data!S70&gt;0,Data!S70,"")</f>
        <v/>
      </c>
      <c r="V70" s="3">
        <f>IF(COUNT(D70,J70,K70,L70,M70,O70)&gt;0,AVERAGE(D70,J70,K70,L70,M70,O70),"")</f>
        <v/>
      </c>
      <c r="W70" s="3">
        <f>IF(COUNT(C70,F70,G70,N70,Q70)&gt;0,AVERAGE(C70,F70,G70,N70,Q70),"")</f>
        <v/>
      </c>
      <c r="X70" s="3">
        <f>IF(COUNT(B70,E70,H70,I70,P70,R70,S70)&gt;0,AVERAGE(B70,E70,H70,I70,P70,R70,S70),"")</f>
        <v/>
      </c>
      <c r="Y70" s="3" t="n"/>
      <c r="AJ70">
        <f>IFERROR(AVERAGEIF($A$4:$A$1004,AI70,$V$4:$V$1004),"")</f>
        <v/>
      </c>
      <c r="AK70">
        <f>IFERROR(AVERAGEIF($A$4:$A$1004,AI70,$W$4:$W$1004),"")</f>
        <v/>
      </c>
      <c r="AL70">
        <f>IFERROR(AVERAGEIF($A$4:$A$1004,AI70,$X$4:$X$1004),"")</f>
        <v/>
      </c>
    </row>
    <row r="71">
      <c r="A71" s="1">
        <f>IF(Data!A71&gt;0,Data!A71,"")</f>
        <v/>
      </c>
      <c r="B71" s="1">
        <f>IF(Data!B71&gt;0,Data!B71,"")</f>
        <v/>
      </c>
      <c r="C71" s="1">
        <f>IF(Data!C71&gt;0,Data!C71,"")</f>
        <v/>
      </c>
      <c r="D71" s="1">
        <f>IF(Data!D71&gt;0,Data!D71,"")</f>
        <v/>
      </c>
      <c r="E71" s="1">
        <f>IF(Data!E71&gt;0,Data!E71,"")</f>
        <v/>
      </c>
      <c r="F71" s="1">
        <f>IF(Data!F71&gt;0,Data!F71,"")</f>
        <v/>
      </c>
      <c r="G71" s="1">
        <f>IF(Data!G71&gt;0,Data!G71,"")</f>
        <v/>
      </c>
      <c r="H71" s="1">
        <f>IF(Data!H71&gt;0,Data!H71,"")</f>
        <v/>
      </c>
      <c r="I71" s="1">
        <f>IF(Data!I71&gt;0,Data!I71,"")</f>
        <v/>
      </c>
      <c r="J71" s="1">
        <f>IF(Data!J71&gt;0,Data!J71,"")</f>
        <v/>
      </c>
      <c r="K71" s="1">
        <f>IF(Data!K71&gt;0,Data!K71,"")</f>
        <v/>
      </c>
      <c r="L71" s="1">
        <f>IF(Data!L71&gt;0,Data!L71,"")</f>
        <v/>
      </c>
      <c r="M71" s="1">
        <f>IF(Data!M71&gt;0,Data!M71,"")</f>
        <v/>
      </c>
      <c r="N71" s="1">
        <f>IF(Data!N71&gt;0,Data!N71,"")</f>
        <v/>
      </c>
      <c r="O71" s="1">
        <f>IF(Data!O71&gt;0,Data!O71,"")</f>
        <v/>
      </c>
      <c r="P71" s="1">
        <f>IF(Data!P71&gt;0,Data!P71,"")</f>
        <v/>
      </c>
      <c r="Q71" s="1">
        <f>IF(Data!Q71&gt;0,Data!Q71,"")</f>
        <v/>
      </c>
      <c r="R71" s="1">
        <f>IF(Data!R71&gt;0,Data!R71,"")</f>
        <v/>
      </c>
      <c r="S71" s="1">
        <f>IF(Data!S71&gt;0,Data!S71,"")</f>
        <v/>
      </c>
      <c r="V71" s="3">
        <f>IF(COUNT(D71,J71,K71,L71,M71,O71)&gt;0,AVERAGE(D71,J71,K71,L71,M71,O71),"")</f>
        <v/>
      </c>
      <c r="W71" s="3">
        <f>IF(COUNT(C71,F71,G71,N71,Q71)&gt;0,AVERAGE(C71,F71,G71,N71,Q71),"")</f>
        <v/>
      </c>
      <c r="X71" s="3">
        <f>IF(COUNT(B71,E71,H71,I71,P71,R71,S71)&gt;0,AVERAGE(B71,E71,H71,I71,P71,R71,S71),"")</f>
        <v/>
      </c>
      <c r="Y71" s="3" t="n"/>
      <c r="AJ71">
        <f>IFERROR(AVERAGEIF($A$4:$A$1004,AI71,$V$4:$V$1004),"")</f>
        <v/>
      </c>
      <c r="AK71">
        <f>IFERROR(AVERAGEIF($A$4:$A$1004,AI71,$W$4:$W$1004),"")</f>
        <v/>
      </c>
      <c r="AL71">
        <f>IFERROR(AVERAGEIF($A$4:$A$1004,AI71,$X$4:$X$1004),"")</f>
        <v/>
      </c>
    </row>
    <row r="72">
      <c r="A72" s="1">
        <f>IF(Data!A72&gt;0,Data!A72,"")</f>
        <v/>
      </c>
      <c r="B72" s="1">
        <f>IF(Data!B72&gt;0,Data!B72,"")</f>
        <v/>
      </c>
      <c r="C72" s="1">
        <f>IF(Data!C72&gt;0,Data!C72,"")</f>
        <v/>
      </c>
      <c r="D72" s="1">
        <f>IF(Data!D72&gt;0,Data!D72,"")</f>
        <v/>
      </c>
      <c r="E72" s="1">
        <f>IF(Data!E72&gt;0,Data!E72,"")</f>
        <v/>
      </c>
      <c r="F72" s="1">
        <f>IF(Data!F72&gt;0,Data!F72,"")</f>
        <v/>
      </c>
      <c r="G72" s="1">
        <f>IF(Data!G72&gt;0,Data!G72,"")</f>
        <v/>
      </c>
      <c r="H72" s="1">
        <f>IF(Data!H72&gt;0,Data!H72,"")</f>
        <v/>
      </c>
      <c r="I72" s="1">
        <f>IF(Data!I72&gt;0,Data!I72,"")</f>
        <v/>
      </c>
      <c r="J72" s="1">
        <f>IF(Data!J72&gt;0,Data!J72,"")</f>
        <v/>
      </c>
      <c r="K72" s="1">
        <f>IF(Data!K72&gt;0,Data!K72,"")</f>
        <v/>
      </c>
      <c r="L72" s="1">
        <f>IF(Data!L72&gt;0,Data!L72,"")</f>
        <v/>
      </c>
      <c r="M72" s="1">
        <f>IF(Data!M72&gt;0,Data!M72,"")</f>
        <v/>
      </c>
      <c r="N72" s="1">
        <f>IF(Data!N72&gt;0,Data!N72,"")</f>
        <v/>
      </c>
      <c r="O72" s="1">
        <f>IF(Data!O72&gt;0,Data!O72,"")</f>
        <v/>
      </c>
      <c r="P72" s="1">
        <f>IF(Data!P72&gt;0,Data!P72,"")</f>
        <v/>
      </c>
      <c r="Q72" s="1">
        <f>IF(Data!Q72&gt;0,Data!Q72,"")</f>
        <v/>
      </c>
      <c r="R72" s="1">
        <f>IF(Data!R72&gt;0,Data!R72,"")</f>
        <v/>
      </c>
      <c r="S72" s="1">
        <f>IF(Data!S72&gt;0,Data!S72,"")</f>
        <v/>
      </c>
      <c r="V72" s="3">
        <f>IF(COUNT(D72,J72,K72,L72,M72,O72)&gt;0,AVERAGE(D72,J72,K72,L72,M72,O72),"")</f>
        <v/>
      </c>
      <c r="W72" s="3">
        <f>IF(COUNT(C72,F72,G72,N72,Q72)&gt;0,AVERAGE(C72,F72,G72,N72,Q72),"")</f>
        <v/>
      </c>
      <c r="X72" s="3">
        <f>IF(COUNT(B72,E72,H72,I72,P72,R72,S72)&gt;0,AVERAGE(B72,E72,H72,I72,P72,R72,S72),"")</f>
        <v/>
      </c>
      <c r="Y72" s="3" t="n"/>
      <c r="AJ72">
        <f>IFERROR(AVERAGEIF($A$4:$A$1004,AI72,$V$4:$V$1004),"")</f>
        <v/>
      </c>
      <c r="AK72">
        <f>IFERROR(AVERAGEIF($A$4:$A$1004,AI72,$W$4:$W$1004),"")</f>
        <v/>
      </c>
      <c r="AL72">
        <f>IFERROR(AVERAGEIF($A$4:$A$1004,AI72,$X$4:$X$1004),"")</f>
        <v/>
      </c>
    </row>
    <row r="73">
      <c r="A73" s="1">
        <f>IF(Data!A73&gt;0,Data!A73,"")</f>
        <v/>
      </c>
      <c r="B73" s="1">
        <f>IF(Data!B73&gt;0,Data!B73,"")</f>
        <v/>
      </c>
      <c r="C73" s="1">
        <f>IF(Data!C73&gt;0,Data!C73,"")</f>
        <v/>
      </c>
      <c r="D73" s="1">
        <f>IF(Data!D73&gt;0,Data!D73,"")</f>
        <v/>
      </c>
      <c r="E73" s="1">
        <f>IF(Data!E73&gt;0,Data!E73,"")</f>
        <v/>
      </c>
      <c r="F73" s="1">
        <f>IF(Data!F73&gt;0,Data!F73,"")</f>
        <v/>
      </c>
      <c r="G73" s="1">
        <f>IF(Data!G73&gt;0,Data!G73,"")</f>
        <v/>
      </c>
      <c r="H73" s="1">
        <f>IF(Data!H73&gt;0,Data!H73,"")</f>
        <v/>
      </c>
      <c r="I73" s="1">
        <f>IF(Data!I73&gt;0,Data!I73,"")</f>
        <v/>
      </c>
      <c r="J73" s="1">
        <f>IF(Data!J73&gt;0,Data!J73,"")</f>
        <v/>
      </c>
      <c r="K73" s="1">
        <f>IF(Data!K73&gt;0,Data!K73,"")</f>
        <v/>
      </c>
      <c r="L73" s="1">
        <f>IF(Data!L73&gt;0,Data!L73,"")</f>
        <v/>
      </c>
      <c r="M73" s="1">
        <f>IF(Data!M73&gt;0,Data!M73,"")</f>
        <v/>
      </c>
      <c r="N73" s="1">
        <f>IF(Data!N73&gt;0,Data!N73,"")</f>
        <v/>
      </c>
      <c r="O73" s="1">
        <f>IF(Data!O73&gt;0,Data!O73,"")</f>
        <v/>
      </c>
      <c r="P73" s="1">
        <f>IF(Data!P73&gt;0,Data!P73,"")</f>
        <v/>
      </c>
      <c r="Q73" s="1">
        <f>IF(Data!Q73&gt;0,Data!Q73,"")</f>
        <v/>
      </c>
      <c r="R73" s="1">
        <f>IF(Data!R73&gt;0,Data!R73,"")</f>
        <v/>
      </c>
      <c r="S73" s="1">
        <f>IF(Data!S73&gt;0,Data!S73,"")</f>
        <v/>
      </c>
      <c r="V73" s="3">
        <f>IF(COUNT(D73,J73,K73,L73,M73,O73)&gt;0,AVERAGE(D73,J73,K73,L73,M73,O73),"")</f>
        <v/>
      </c>
      <c r="W73" s="3">
        <f>IF(COUNT(C73,F73,G73,N73,Q73)&gt;0,AVERAGE(C73,F73,G73,N73,Q73),"")</f>
        <v/>
      </c>
      <c r="X73" s="3">
        <f>IF(COUNT(B73,E73,H73,I73,P73,R73,S73)&gt;0,AVERAGE(B73,E73,H73,I73,P73,R73,S73),"")</f>
        <v/>
      </c>
      <c r="Y73" s="3" t="n"/>
      <c r="AJ73">
        <f>IFERROR(AVERAGEIF($A$4:$A$1004,AI73,$V$4:$V$1004),"")</f>
        <v/>
      </c>
      <c r="AK73">
        <f>IFERROR(AVERAGEIF($A$4:$A$1004,AI73,$W$4:$W$1004),"")</f>
        <v/>
      </c>
      <c r="AL73">
        <f>IFERROR(AVERAGEIF($A$4:$A$1004,AI73,$X$4:$X$1004),"")</f>
        <v/>
      </c>
    </row>
    <row r="74">
      <c r="A74" s="1">
        <f>IF(Data!A74&gt;0,Data!A74,"")</f>
        <v/>
      </c>
      <c r="B74" s="1">
        <f>IF(Data!B74&gt;0,Data!B74,"")</f>
        <v/>
      </c>
      <c r="C74" s="1">
        <f>IF(Data!C74&gt;0,Data!C74,"")</f>
        <v/>
      </c>
      <c r="D74" s="1">
        <f>IF(Data!D74&gt;0,Data!D74,"")</f>
        <v/>
      </c>
      <c r="E74" s="1">
        <f>IF(Data!E74&gt;0,Data!E74,"")</f>
        <v/>
      </c>
      <c r="F74" s="1">
        <f>IF(Data!F74&gt;0,Data!F74,"")</f>
        <v/>
      </c>
      <c r="G74" s="1">
        <f>IF(Data!G74&gt;0,Data!G74,"")</f>
        <v/>
      </c>
      <c r="H74" s="1">
        <f>IF(Data!H74&gt;0,Data!H74,"")</f>
        <v/>
      </c>
      <c r="I74" s="1">
        <f>IF(Data!I74&gt;0,Data!I74,"")</f>
        <v/>
      </c>
      <c r="J74" s="1">
        <f>IF(Data!J74&gt;0,Data!J74,"")</f>
        <v/>
      </c>
      <c r="K74" s="1">
        <f>IF(Data!K74&gt;0,Data!K74,"")</f>
        <v/>
      </c>
      <c r="L74" s="1">
        <f>IF(Data!L74&gt;0,Data!L74,"")</f>
        <v/>
      </c>
      <c r="M74" s="1">
        <f>IF(Data!M74&gt;0,Data!M74,"")</f>
        <v/>
      </c>
      <c r="N74" s="1">
        <f>IF(Data!N74&gt;0,Data!N74,"")</f>
        <v/>
      </c>
      <c r="O74" s="1">
        <f>IF(Data!O74&gt;0,Data!O74,"")</f>
        <v/>
      </c>
      <c r="P74" s="1">
        <f>IF(Data!P74&gt;0,Data!P74,"")</f>
        <v/>
      </c>
      <c r="Q74" s="1">
        <f>IF(Data!Q74&gt;0,Data!Q74,"")</f>
        <v/>
      </c>
      <c r="R74" s="1">
        <f>IF(Data!R74&gt;0,Data!R74,"")</f>
        <v/>
      </c>
      <c r="S74" s="1">
        <f>IF(Data!S74&gt;0,Data!S74,"")</f>
        <v/>
      </c>
      <c r="V74" s="3">
        <f>IF(COUNT(D74,J74,K74,L74,M74,O74)&gt;0,AVERAGE(D74,J74,K74,L74,M74,O74),"")</f>
        <v/>
      </c>
      <c r="W74" s="3">
        <f>IF(COUNT(C74,F74,G74,N74,Q74)&gt;0,AVERAGE(C74,F74,G74,N74,Q74),"")</f>
        <v/>
      </c>
      <c r="X74" s="3">
        <f>IF(COUNT(B74,E74,H74,I74,P74,R74,S74)&gt;0,AVERAGE(B74,E74,H74,I74,P74,R74,S74),"")</f>
        <v/>
      </c>
      <c r="Y74" s="3" t="n"/>
      <c r="AJ74">
        <f>IFERROR(AVERAGEIF($A$4:$A$1004,AI74,$V$4:$V$1004),"")</f>
        <v/>
      </c>
      <c r="AK74">
        <f>IFERROR(AVERAGEIF($A$4:$A$1004,AI74,$W$4:$W$1004),"")</f>
        <v/>
      </c>
      <c r="AL74">
        <f>IFERROR(AVERAGEIF($A$4:$A$1004,AI74,$X$4:$X$1004),"")</f>
        <v/>
      </c>
    </row>
    <row r="75">
      <c r="A75" s="1">
        <f>IF(Data!A75&gt;0,Data!A75,"")</f>
        <v/>
      </c>
      <c r="B75" s="1">
        <f>IF(Data!B75&gt;0,Data!B75,"")</f>
        <v/>
      </c>
      <c r="C75" s="1">
        <f>IF(Data!C75&gt;0,Data!C75,"")</f>
        <v/>
      </c>
      <c r="D75" s="1">
        <f>IF(Data!D75&gt;0,Data!D75,"")</f>
        <v/>
      </c>
      <c r="E75" s="1">
        <f>IF(Data!E75&gt;0,Data!E75,"")</f>
        <v/>
      </c>
      <c r="F75" s="1">
        <f>IF(Data!F75&gt;0,Data!F75,"")</f>
        <v/>
      </c>
      <c r="G75" s="1">
        <f>IF(Data!G75&gt;0,Data!G75,"")</f>
        <v/>
      </c>
      <c r="H75" s="1">
        <f>IF(Data!H75&gt;0,Data!H75,"")</f>
        <v/>
      </c>
      <c r="I75" s="1">
        <f>IF(Data!I75&gt;0,Data!I75,"")</f>
        <v/>
      </c>
      <c r="J75" s="1">
        <f>IF(Data!J75&gt;0,Data!J75,"")</f>
        <v/>
      </c>
      <c r="K75" s="1">
        <f>IF(Data!K75&gt;0,Data!K75,"")</f>
        <v/>
      </c>
      <c r="L75" s="1">
        <f>IF(Data!L75&gt;0,Data!L75,"")</f>
        <v/>
      </c>
      <c r="M75" s="1">
        <f>IF(Data!M75&gt;0,Data!M75,"")</f>
        <v/>
      </c>
      <c r="N75" s="1">
        <f>IF(Data!N75&gt;0,Data!N75,"")</f>
        <v/>
      </c>
      <c r="O75" s="1">
        <f>IF(Data!O75&gt;0,Data!O75,"")</f>
        <v/>
      </c>
      <c r="P75" s="1">
        <f>IF(Data!P75&gt;0,Data!P75,"")</f>
        <v/>
      </c>
      <c r="Q75" s="1">
        <f>IF(Data!Q75&gt;0,Data!Q75,"")</f>
        <v/>
      </c>
      <c r="R75" s="1">
        <f>IF(Data!R75&gt;0,Data!R75,"")</f>
        <v/>
      </c>
      <c r="S75" s="1">
        <f>IF(Data!S75&gt;0,Data!S75,"")</f>
        <v/>
      </c>
      <c r="V75" s="3">
        <f>IF(COUNT(D75,J75,K75,L75,M75,O75)&gt;0,AVERAGE(D75,J75,K75,L75,M75,O75),"")</f>
        <v/>
      </c>
      <c r="W75" s="3">
        <f>IF(COUNT(C75,F75,G75,N75,Q75)&gt;0,AVERAGE(C75,F75,G75,N75,Q75),"")</f>
        <v/>
      </c>
      <c r="X75" s="3">
        <f>IF(COUNT(B75,E75,H75,I75,P75,R75,S75)&gt;0,AVERAGE(B75,E75,H75,I75,P75,R75,S75),"")</f>
        <v/>
      </c>
      <c r="Y75" s="3" t="n"/>
      <c r="AJ75">
        <f>IFERROR(AVERAGEIF($A$4:$A$1004,AI75,$V$4:$V$1004),"")</f>
        <v/>
      </c>
      <c r="AK75">
        <f>IFERROR(AVERAGEIF($A$4:$A$1004,AI75,$W$4:$W$1004),"")</f>
        <v/>
      </c>
      <c r="AL75">
        <f>IFERROR(AVERAGEIF($A$4:$A$1004,AI75,$X$4:$X$1004),"")</f>
        <v/>
      </c>
    </row>
    <row r="76">
      <c r="A76" s="1">
        <f>IF(Data!A76&gt;0,Data!A76,"")</f>
        <v/>
      </c>
      <c r="B76" s="1">
        <f>IF(Data!B76&gt;0,Data!B76,"")</f>
        <v/>
      </c>
      <c r="C76" s="1">
        <f>IF(Data!C76&gt;0,Data!C76,"")</f>
        <v/>
      </c>
      <c r="D76" s="1">
        <f>IF(Data!D76&gt;0,Data!D76,"")</f>
        <v/>
      </c>
      <c r="E76" s="1">
        <f>IF(Data!E76&gt;0,Data!E76,"")</f>
        <v/>
      </c>
      <c r="F76" s="1">
        <f>IF(Data!F76&gt;0,Data!F76,"")</f>
        <v/>
      </c>
      <c r="G76" s="1">
        <f>IF(Data!G76&gt;0,Data!G76,"")</f>
        <v/>
      </c>
      <c r="H76" s="1">
        <f>IF(Data!H76&gt;0,Data!H76,"")</f>
        <v/>
      </c>
      <c r="I76" s="1">
        <f>IF(Data!I76&gt;0,Data!I76,"")</f>
        <v/>
      </c>
      <c r="J76" s="1">
        <f>IF(Data!J76&gt;0,Data!J76,"")</f>
        <v/>
      </c>
      <c r="K76" s="1">
        <f>IF(Data!K76&gt;0,Data!K76,"")</f>
        <v/>
      </c>
      <c r="L76" s="1">
        <f>IF(Data!L76&gt;0,Data!L76,"")</f>
        <v/>
      </c>
      <c r="M76" s="1">
        <f>IF(Data!M76&gt;0,Data!M76,"")</f>
        <v/>
      </c>
      <c r="N76" s="1">
        <f>IF(Data!N76&gt;0,Data!N76,"")</f>
        <v/>
      </c>
      <c r="O76" s="1">
        <f>IF(Data!O76&gt;0,Data!O76,"")</f>
        <v/>
      </c>
      <c r="P76" s="1">
        <f>IF(Data!P76&gt;0,Data!P76,"")</f>
        <v/>
      </c>
      <c r="Q76" s="1">
        <f>IF(Data!Q76&gt;0,Data!Q76,"")</f>
        <v/>
      </c>
      <c r="R76" s="1">
        <f>IF(Data!R76&gt;0,Data!R76,"")</f>
        <v/>
      </c>
      <c r="S76" s="1">
        <f>IF(Data!S76&gt;0,Data!S76,"")</f>
        <v/>
      </c>
      <c r="V76" s="3">
        <f>IF(COUNT(D76,J76,K76,L76,M76,O76)&gt;0,AVERAGE(D76,J76,K76,L76,M76,O76),"")</f>
        <v/>
      </c>
      <c r="W76" s="3">
        <f>IF(COUNT(C76,F76,G76,N76,Q76)&gt;0,AVERAGE(C76,F76,G76,N76,Q76),"")</f>
        <v/>
      </c>
      <c r="X76" s="3">
        <f>IF(COUNT(B76,E76,H76,I76,P76,R76,S76)&gt;0,AVERAGE(B76,E76,H76,I76,P76,R76,S76),"")</f>
        <v/>
      </c>
      <c r="Y76" s="3" t="n"/>
      <c r="AJ76">
        <f>IFERROR(AVERAGEIF($A$4:$A$1004,AI76,$V$4:$V$1004),"")</f>
        <v/>
      </c>
      <c r="AK76">
        <f>IFERROR(AVERAGEIF($A$4:$A$1004,AI76,$W$4:$W$1004),"")</f>
        <v/>
      </c>
      <c r="AL76">
        <f>IFERROR(AVERAGEIF($A$4:$A$1004,AI76,$X$4:$X$1004),"")</f>
        <v/>
      </c>
    </row>
    <row r="77">
      <c r="A77" s="1">
        <f>IF(Data!A77&gt;0,Data!A77,"")</f>
        <v/>
      </c>
      <c r="B77" s="1">
        <f>IF(Data!B77&gt;0,Data!B77,"")</f>
        <v/>
      </c>
      <c r="C77" s="1">
        <f>IF(Data!C77&gt;0,Data!C77,"")</f>
        <v/>
      </c>
      <c r="D77" s="1">
        <f>IF(Data!D77&gt;0,Data!D77,"")</f>
        <v/>
      </c>
      <c r="E77" s="1">
        <f>IF(Data!E77&gt;0,Data!E77,"")</f>
        <v/>
      </c>
      <c r="F77" s="1">
        <f>IF(Data!F77&gt;0,Data!F77,"")</f>
        <v/>
      </c>
      <c r="G77" s="1">
        <f>IF(Data!G77&gt;0,Data!G77,"")</f>
        <v/>
      </c>
      <c r="H77" s="1">
        <f>IF(Data!H77&gt;0,Data!H77,"")</f>
        <v/>
      </c>
      <c r="I77" s="1">
        <f>IF(Data!I77&gt;0,Data!I77,"")</f>
        <v/>
      </c>
      <c r="J77" s="1">
        <f>IF(Data!J77&gt;0,Data!J77,"")</f>
        <v/>
      </c>
      <c r="K77" s="1">
        <f>IF(Data!K77&gt;0,Data!K77,"")</f>
        <v/>
      </c>
      <c r="L77" s="1">
        <f>IF(Data!L77&gt;0,Data!L77,"")</f>
        <v/>
      </c>
      <c r="M77" s="1">
        <f>IF(Data!M77&gt;0,Data!M77,"")</f>
        <v/>
      </c>
      <c r="N77" s="1">
        <f>IF(Data!N77&gt;0,Data!N77,"")</f>
        <v/>
      </c>
      <c r="O77" s="1">
        <f>IF(Data!O77&gt;0,Data!O77,"")</f>
        <v/>
      </c>
      <c r="P77" s="1">
        <f>IF(Data!P77&gt;0,Data!P77,"")</f>
        <v/>
      </c>
      <c r="Q77" s="1">
        <f>IF(Data!Q77&gt;0,Data!Q77,"")</f>
        <v/>
      </c>
      <c r="R77" s="1">
        <f>IF(Data!R77&gt;0,Data!R77,"")</f>
        <v/>
      </c>
      <c r="S77" s="1">
        <f>IF(Data!S77&gt;0,Data!S77,"")</f>
        <v/>
      </c>
      <c r="V77" s="3">
        <f>IF(COUNT(D77,J77,K77,L77,M77,O77)&gt;0,AVERAGE(D77,J77,K77,L77,M77,O77),"")</f>
        <v/>
      </c>
      <c r="W77" s="3">
        <f>IF(COUNT(C77,F77,G77,N77,Q77)&gt;0,AVERAGE(C77,F77,G77,N77,Q77),"")</f>
        <v/>
      </c>
      <c r="X77" s="3">
        <f>IF(COUNT(B77,E77,H77,I77,P77,R77,S77)&gt;0,AVERAGE(B77,E77,H77,I77,P77,R77,S77),"")</f>
        <v/>
      </c>
      <c r="Y77" s="3" t="n"/>
      <c r="AJ77">
        <f>IFERROR(AVERAGEIF($A$4:$A$1004,AI77,$V$4:$V$1004),"")</f>
        <v/>
      </c>
      <c r="AK77">
        <f>IFERROR(AVERAGEIF($A$4:$A$1004,AI77,$W$4:$W$1004),"")</f>
        <v/>
      </c>
      <c r="AL77">
        <f>IFERROR(AVERAGEIF($A$4:$A$1004,AI77,$X$4:$X$1004),"")</f>
        <v/>
      </c>
    </row>
    <row r="78">
      <c r="A78" s="1">
        <f>IF(Data!A78&gt;0,Data!A78,"")</f>
        <v/>
      </c>
      <c r="B78" s="1">
        <f>IF(Data!B78&gt;0,Data!B78,"")</f>
        <v/>
      </c>
      <c r="C78" s="1">
        <f>IF(Data!C78&gt;0,Data!C78,"")</f>
        <v/>
      </c>
      <c r="D78" s="1">
        <f>IF(Data!D78&gt;0,Data!D78,"")</f>
        <v/>
      </c>
      <c r="E78" s="1">
        <f>IF(Data!E78&gt;0,Data!E78,"")</f>
        <v/>
      </c>
      <c r="F78" s="1">
        <f>IF(Data!F78&gt;0,Data!F78,"")</f>
        <v/>
      </c>
      <c r="G78" s="1">
        <f>IF(Data!G78&gt;0,Data!G78,"")</f>
        <v/>
      </c>
      <c r="H78" s="1">
        <f>IF(Data!H78&gt;0,Data!H78,"")</f>
        <v/>
      </c>
      <c r="I78" s="1">
        <f>IF(Data!I78&gt;0,Data!I78,"")</f>
        <v/>
      </c>
      <c r="J78" s="1">
        <f>IF(Data!J78&gt;0,Data!J78,"")</f>
        <v/>
      </c>
      <c r="K78" s="1">
        <f>IF(Data!K78&gt;0,Data!K78,"")</f>
        <v/>
      </c>
      <c r="L78" s="1">
        <f>IF(Data!L78&gt;0,Data!L78,"")</f>
        <v/>
      </c>
      <c r="M78" s="1">
        <f>IF(Data!M78&gt;0,Data!M78,"")</f>
        <v/>
      </c>
      <c r="N78" s="1">
        <f>IF(Data!N78&gt;0,Data!N78,"")</f>
        <v/>
      </c>
      <c r="O78" s="1">
        <f>IF(Data!O78&gt;0,Data!O78,"")</f>
        <v/>
      </c>
      <c r="P78" s="1">
        <f>IF(Data!P78&gt;0,Data!P78,"")</f>
        <v/>
      </c>
      <c r="Q78" s="1">
        <f>IF(Data!Q78&gt;0,Data!Q78,"")</f>
        <v/>
      </c>
      <c r="R78" s="1">
        <f>IF(Data!R78&gt;0,Data!R78,"")</f>
        <v/>
      </c>
      <c r="S78" s="1">
        <f>IF(Data!S78&gt;0,Data!S78,"")</f>
        <v/>
      </c>
      <c r="V78" s="3">
        <f>IF(COUNT(D78,J78,K78,L78,M78,O78)&gt;0,AVERAGE(D78,J78,K78,L78,M78,O78),"")</f>
        <v/>
      </c>
      <c r="W78" s="3">
        <f>IF(COUNT(C78,F78,G78,N78,Q78)&gt;0,AVERAGE(C78,F78,G78,N78,Q78),"")</f>
        <v/>
      </c>
      <c r="X78" s="3">
        <f>IF(COUNT(B78,E78,H78,I78,P78,R78,S78)&gt;0,AVERAGE(B78,E78,H78,I78,P78,R78,S78),"")</f>
        <v/>
      </c>
      <c r="Y78" s="3" t="n"/>
      <c r="AJ78">
        <f>IFERROR(AVERAGEIF($A$4:$A$1004,AI78,$V$4:$V$1004),"")</f>
        <v/>
      </c>
      <c r="AK78">
        <f>IFERROR(AVERAGEIF($A$4:$A$1004,AI78,$W$4:$W$1004),"")</f>
        <v/>
      </c>
      <c r="AL78">
        <f>IFERROR(AVERAGEIF($A$4:$A$1004,AI78,$X$4:$X$1004),"")</f>
        <v/>
      </c>
    </row>
    <row r="79">
      <c r="A79" s="1">
        <f>IF(Data!A79&gt;0,Data!A79,"")</f>
        <v/>
      </c>
      <c r="B79" s="1">
        <f>IF(Data!B79&gt;0,Data!B79,"")</f>
        <v/>
      </c>
      <c r="C79" s="1">
        <f>IF(Data!C79&gt;0,Data!C79,"")</f>
        <v/>
      </c>
      <c r="D79" s="1">
        <f>IF(Data!D79&gt;0,Data!D79,"")</f>
        <v/>
      </c>
      <c r="E79" s="1">
        <f>IF(Data!E79&gt;0,Data!E79,"")</f>
        <v/>
      </c>
      <c r="F79" s="1">
        <f>IF(Data!F79&gt;0,Data!F79,"")</f>
        <v/>
      </c>
      <c r="G79" s="1">
        <f>IF(Data!G79&gt;0,Data!G79,"")</f>
        <v/>
      </c>
      <c r="H79" s="1">
        <f>IF(Data!H79&gt;0,Data!H79,"")</f>
        <v/>
      </c>
      <c r="I79" s="1">
        <f>IF(Data!I79&gt;0,Data!I79,"")</f>
        <v/>
      </c>
      <c r="J79" s="1">
        <f>IF(Data!J79&gt;0,Data!J79,"")</f>
        <v/>
      </c>
      <c r="K79" s="1">
        <f>IF(Data!K79&gt;0,Data!K79,"")</f>
        <v/>
      </c>
      <c r="L79" s="1">
        <f>IF(Data!L79&gt;0,Data!L79,"")</f>
        <v/>
      </c>
      <c r="M79" s="1">
        <f>IF(Data!M79&gt;0,Data!M79,"")</f>
        <v/>
      </c>
      <c r="N79" s="1">
        <f>IF(Data!N79&gt;0,Data!N79,"")</f>
        <v/>
      </c>
      <c r="O79" s="1">
        <f>IF(Data!O79&gt;0,Data!O79,"")</f>
        <v/>
      </c>
      <c r="P79" s="1">
        <f>IF(Data!P79&gt;0,Data!P79,"")</f>
        <v/>
      </c>
      <c r="Q79" s="1">
        <f>IF(Data!Q79&gt;0,Data!Q79,"")</f>
        <v/>
      </c>
      <c r="R79" s="1">
        <f>IF(Data!R79&gt;0,Data!R79,"")</f>
        <v/>
      </c>
      <c r="S79" s="1">
        <f>IF(Data!S79&gt;0,Data!S79,"")</f>
        <v/>
      </c>
      <c r="V79" s="3">
        <f>IF(COUNT(D79,J79,K79,L79,M79,O79)&gt;0,AVERAGE(D79,J79,K79,L79,M79,O79),"")</f>
        <v/>
      </c>
      <c r="W79" s="3">
        <f>IF(COUNT(C79,F79,G79,N79,Q79)&gt;0,AVERAGE(C79,F79,G79,N79,Q79),"")</f>
        <v/>
      </c>
      <c r="X79" s="3">
        <f>IF(COUNT(B79,E79,H79,I79,P79,R79,S79)&gt;0,AVERAGE(B79,E79,H79,I79,P79,R79,S79),"")</f>
        <v/>
      </c>
      <c r="Y79" s="3" t="n"/>
      <c r="AJ79">
        <f>IFERROR(AVERAGEIF($A$4:$A$1004,AI79,$V$4:$V$1004),"")</f>
        <v/>
      </c>
      <c r="AK79">
        <f>IFERROR(AVERAGEIF($A$4:$A$1004,AI79,$W$4:$W$1004),"")</f>
        <v/>
      </c>
      <c r="AL79">
        <f>IFERROR(AVERAGEIF($A$4:$A$1004,AI79,$X$4:$X$1004),"")</f>
        <v/>
      </c>
    </row>
    <row r="80">
      <c r="A80" s="1">
        <f>IF(Data!A80&gt;0,Data!A80,"")</f>
        <v/>
      </c>
      <c r="B80" s="1">
        <f>IF(Data!B80&gt;0,Data!B80,"")</f>
        <v/>
      </c>
      <c r="C80" s="1">
        <f>IF(Data!C80&gt;0,Data!C80,"")</f>
        <v/>
      </c>
      <c r="D80" s="1">
        <f>IF(Data!D80&gt;0,Data!D80,"")</f>
        <v/>
      </c>
      <c r="E80" s="1">
        <f>IF(Data!E80&gt;0,Data!E80,"")</f>
        <v/>
      </c>
      <c r="F80" s="1">
        <f>IF(Data!F80&gt;0,Data!F80,"")</f>
        <v/>
      </c>
      <c r="G80" s="1">
        <f>IF(Data!G80&gt;0,Data!G80,"")</f>
        <v/>
      </c>
      <c r="H80" s="1">
        <f>IF(Data!H80&gt;0,Data!H80,"")</f>
        <v/>
      </c>
      <c r="I80" s="1">
        <f>IF(Data!I80&gt;0,Data!I80,"")</f>
        <v/>
      </c>
      <c r="J80" s="1">
        <f>IF(Data!J80&gt;0,Data!J80,"")</f>
        <v/>
      </c>
      <c r="K80" s="1">
        <f>IF(Data!K80&gt;0,Data!K80,"")</f>
        <v/>
      </c>
      <c r="L80" s="1">
        <f>IF(Data!L80&gt;0,Data!L80,"")</f>
        <v/>
      </c>
      <c r="M80" s="1">
        <f>IF(Data!M80&gt;0,Data!M80,"")</f>
        <v/>
      </c>
      <c r="N80" s="1">
        <f>IF(Data!N80&gt;0,Data!N80,"")</f>
        <v/>
      </c>
      <c r="O80" s="1">
        <f>IF(Data!O80&gt;0,Data!O80,"")</f>
        <v/>
      </c>
      <c r="P80" s="1">
        <f>IF(Data!P80&gt;0,Data!P80,"")</f>
        <v/>
      </c>
      <c r="Q80" s="1">
        <f>IF(Data!Q80&gt;0,Data!Q80,"")</f>
        <v/>
      </c>
      <c r="R80" s="1">
        <f>IF(Data!R80&gt;0,Data!R80,"")</f>
        <v/>
      </c>
      <c r="S80" s="1">
        <f>IF(Data!S80&gt;0,Data!S80,"")</f>
        <v/>
      </c>
      <c r="V80" s="3">
        <f>IF(COUNT(D80,J80,K80,L80,M80,O80)&gt;0,AVERAGE(D80,J80,K80,L80,M80,O80),"")</f>
        <v/>
      </c>
      <c r="W80" s="3">
        <f>IF(COUNT(C80,F80,G80,N80,Q80)&gt;0,AVERAGE(C80,F80,G80,N80,Q80),"")</f>
        <v/>
      </c>
      <c r="X80" s="3">
        <f>IF(COUNT(B80,E80,H80,I80,P80,R80,S80)&gt;0,AVERAGE(B80,E80,H80,I80,P80,R80,S80),"")</f>
        <v/>
      </c>
      <c r="Y80" s="3" t="n"/>
      <c r="AJ80">
        <f>IFERROR(AVERAGEIF($A$4:$A$1004,AI80,$V$4:$V$1004),"")</f>
        <v/>
      </c>
      <c r="AK80">
        <f>IFERROR(AVERAGEIF($A$4:$A$1004,AI80,$W$4:$W$1004),"")</f>
        <v/>
      </c>
      <c r="AL80">
        <f>IFERROR(AVERAGEIF($A$4:$A$1004,AI80,$X$4:$X$1004),"")</f>
        <v/>
      </c>
    </row>
    <row r="81">
      <c r="A81" s="1">
        <f>IF(Data!A81&gt;0,Data!A81,"")</f>
        <v/>
      </c>
      <c r="B81" s="1">
        <f>IF(Data!B81&gt;0,Data!B81,"")</f>
        <v/>
      </c>
      <c r="C81" s="1">
        <f>IF(Data!C81&gt;0,Data!C81,"")</f>
        <v/>
      </c>
      <c r="D81" s="1">
        <f>IF(Data!D81&gt;0,Data!D81,"")</f>
        <v/>
      </c>
      <c r="E81" s="1">
        <f>IF(Data!E81&gt;0,Data!E81,"")</f>
        <v/>
      </c>
      <c r="F81" s="1">
        <f>IF(Data!F81&gt;0,Data!F81,"")</f>
        <v/>
      </c>
      <c r="G81" s="1">
        <f>IF(Data!G81&gt;0,Data!G81,"")</f>
        <v/>
      </c>
      <c r="H81" s="1">
        <f>IF(Data!H81&gt;0,Data!H81,"")</f>
        <v/>
      </c>
      <c r="I81" s="1">
        <f>IF(Data!I81&gt;0,Data!I81,"")</f>
        <v/>
      </c>
      <c r="J81" s="1">
        <f>IF(Data!J81&gt;0,Data!J81,"")</f>
        <v/>
      </c>
      <c r="K81" s="1">
        <f>IF(Data!K81&gt;0,Data!K81,"")</f>
        <v/>
      </c>
      <c r="L81" s="1">
        <f>IF(Data!L81&gt;0,Data!L81,"")</f>
        <v/>
      </c>
      <c r="M81" s="1">
        <f>IF(Data!M81&gt;0,Data!M81,"")</f>
        <v/>
      </c>
      <c r="N81" s="1">
        <f>IF(Data!N81&gt;0,Data!N81,"")</f>
        <v/>
      </c>
      <c r="O81" s="1">
        <f>IF(Data!O81&gt;0,Data!O81,"")</f>
        <v/>
      </c>
      <c r="P81" s="1">
        <f>IF(Data!P81&gt;0,Data!P81,"")</f>
        <v/>
      </c>
      <c r="Q81" s="1">
        <f>IF(Data!Q81&gt;0,Data!Q81,"")</f>
        <v/>
      </c>
      <c r="R81" s="1">
        <f>IF(Data!R81&gt;0,Data!R81,"")</f>
        <v/>
      </c>
      <c r="S81" s="1">
        <f>IF(Data!S81&gt;0,Data!S81,"")</f>
        <v/>
      </c>
      <c r="V81" s="3">
        <f>IF(COUNT(D81,J81,K81,L81,M81,O81)&gt;0,AVERAGE(D81,J81,K81,L81,M81,O81),"")</f>
        <v/>
      </c>
      <c r="W81" s="3">
        <f>IF(COUNT(C81,F81,G81,N81,Q81)&gt;0,AVERAGE(C81,F81,G81,N81,Q81),"")</f>
        <v/>
      </c>
      <c r="X81" s="3">
        <f>IF(COUNT(B81,E81,H81,I81,P81,R81,S81)&gt;0,AVERAGE(B81,E81,H81,I81,P81,R81,S81),"")</f>
        <v/>
      </c>
      <c r="Y81" s="3" t="n"/>
      <c r="AJ81">
        <f>IFERROR(AVERAGEIF($A$4:$A$1004,AI81,$V$4:$V$1004),"")</f>
        <v/>
      </c>
      <c r="AK81">
        <f>IFERROR(AVERAGEIF($A$4:$A$1004,AI81,$W$4:$W$1004),"")</f>
        <v/>
      </c>
      <c r="AL81">
        <f>IFERROR(AVERAGEIF($A$4:$A$1004,AI81,$X$4:$X$1004),"")</f>
        <v/>
      </c>
    </row>
    <row r="82">
      <c r="A82" s="1">
        <f>IF(Data!A82&gt;0,Data!A82,"")</f>
        <v/>
      </c>
      <c r="B82" s="1">
        <f>IF(Data!B82&gt;0,Data!B82,"")</f>
        <v/>
      </c>
      <c r="C82" s="1">
        <f>IF(Data!C82&gt;0,Data!C82,"")</f>
        <v/>
      </c>
      <c r="D82" s="1">
        <f>IF(Data!D82&gt;0,Data!D82,"")</f>
        <v/>
      </c>
      <c r="E82" s="1">
        <f>IF(Data!E82&gt;0,Data!E82,"")</f>
        <v/>
      </c>
      <c r="F82" s="1">
        <f>IF(Data!F82&gt;0,Data!F82,"")</f>
        <v/>
      </c>
      <c r="G82" s="1">
        <f>IF(Data!G82&gt;0,Data!G82,"")</f>
        <v/>
      </c>
      <c r="H82" s="1">
        <f>IF(Data!H82&gt;0,Data!H82,"")</f>
        <v/>
      </c>
      <c r="I82" s="1">
        <f>IF(Data!I82&gt;0,Data!I82,"")</f>
        <v/>
      </c>
      <c r="J82" s="1">
        <f>IF(Data!J82&gt;0,Data!J82,"")</f>
        <v/>
      </c>
      <c r="K82" s="1">
        <f>IF(Data!K82&gt;0,Data!K82,"")</f>
        <v/>
      </c>
      <c r="L82" s="1">
        <f>IF(Data!L82&gt;0,Data!L82,"")</f>
        <v/>
      </c>
      <c r="M82" s="1">
        <f>IF(Data!M82&gt;0,Data!M82,"")</f>
        <v/>
      </c>
      <c r="N82" s="1">
        <f>IF(Data!N82&gt;0,Data!N82,"")</f>
        <v/>
      </c>
      <c r="O82" s="1">
        <f>IF(Data!O82&gt;0,Data!O82,"")</f>
        <v/>
      </c>
      <c r="P82" s="1">
        <f>IF(Data!P82&gt;0,Data!P82,"")</f>
        <v/>
      </c>
      <c r="Q82" s="1">
        <f>IF(Data!Q82&gt;0,Data!Q82,"")</f>
        <v/>
      </c>
      <c r="R82" s="1">
        <f>IF(Data!R82&gt;0,Data!R82,"")</f>
        <v/>
      </c>
      <c r="S82" s="1">
        <f>IF(Data!S82&gt;0,Data!S82,"")</f>
        <v/>
      </c>
      <c r="V82" s="3">
        <f>IF(COUNT(D82,J82,K82,L82,M82,O82)&gt;0,AVERAGE(D82,J82,K82,L82,M82,O82),"")</f>
        <v/>
      </c>
      <c r="W82" s="3">
        <f>IF(COUNT(C82,F82,G82,N82,Q82)&gt;0,AVERAGE(C82,F82,G82,N82,Q82),"")</f>
        <v/>
      </c>
      <c r="X82" s="3">
        <f>IF(COUNT(B82,E82,H82,I82,P82,R82,S82)&gt;0,AVERAGE(B82,E82,H82,I82,P82,R82,S82),"")</f>
        <v/>
      </c>
      <c r="Y82" s="3" t="n"/>
      <c r="AJ82">
        <f>IFERROR(AVERAGEIF($A$4:$A$1004,AI82,$V$4:$V$1004),"")</f>
        <v/>
      </c>
      <c r="AK82">
        <f>IFERROR(AVERAGEIF($A$4:$A$1004,AI82,$W$4:$W$1004),"")</f>
        <v/>
      </c>
      <c r="AL82">
        <f>IFERROR(AVERAGEIF($A$4:$A$1004,AI82,$X$4:$X$1004),"")</f>
        <v/>
      </c>
    </row>
    <row r="83">
      <c r="A83" s="1">
        <f>IF(Data!A83&gt;0,Data!A83,"")</f>
        <v/>
      </c>
      <c r="B83" s="1">
        <f>IF(Data!B83&gt;0,Data!B83,"")</f>
        <v/>
      </c>
      <c r="C83" s="1">
        <f>IF(Data!C83&gt;0,Data!C83,"")</f>
        <v/>
      </c>
      <c r="D83" s="1">
        <f>IF(Data!D83&gt;0,Data!D83,"")</f>
        <v/>
      </c>
      <c r="E83" s="1">
        <f>IF(Data!E83&gt;0,Data!E83,"")</f>
        <v/>
      </c>
      <c r="F83" s="1">
        <f>IF(Data!F83&gt;0,Data!F83,"")</f>
        <v/>
      </c>
      <c r="G83" s="1">
        <f>IF(Data!G83&gt;0,Data!G83,"")</f>
        <v/>
      </c>
      <c r="H83" s="1">
        <f>IF(Data!H83&gt;0,Data!H83,"")</f>
        <v/>
      </c>
      <c r="I83" s="1">
        <f>IF(Data!I83&gt;0,Data!I83,"")</f>
        <v/>
      </c>
      <c r="J83" s="1">
        <f>IF(Data!J83&gt;0,Data!J83,"")</f>
        <v/>
      </c>
      <c r="K83" s="1">
        <f>IF(Data!K83&gt;0,Data!K83,"")</f>
        <v/>
      </c>
      <c r="L83" s="1">
        <f>IF(Data!L83&gt;0,Data!L83,"")</f>
        <v/>
      </c>
      <c r="M83" s="1">
        <f>IF(Data!M83&gt;0,Data!M83,"")</f>
        <v/>
      </c>
      <c r="N83" s="1">
        <f>IF(Data!N83&gt;0,Data!N83,"")</f>
        <v/>
      </c>
      <c r="O83" s="1">
        <f>IF(Data!O83&gt;0,Data!O83,"")</f>
        <v/>
      </c>
      <c r="P83" s="1">
        <f>IF(Data!P83&gt;0,Data!P83,"")</f>
        <v/>
      </c>
      <c r="Q83" s="1">
        <f>IF(Data!Q83&gt;0,Data!Q83,"")</f>
        <v/>
      </c>
      <c r="R83" s="1">
        <f>IF(Data!R83&gt;0,Data!R83,"")</f>
        <v/>
      </c>
      <c r="S83" s="1">
        <f>IF(Data!S83&gt;0,Data!S83,"")</f>
        <v/>
      </c>
      <c r="V83" s="3">
        <f>IF(COUNT(D83,J83,K83,L83,M83,O83)&gt;0,AVERAGE(D83,J83,K83,L83,M83,O83),"")</f>
        <v/>
      </c>
      <c r="W83" s="3">
        <f>IF(COUNT(C83,F83,G83,N83,Q83)&gt;0,AVERAGE(C83,F83,G83,N83,Q83),"")</f>
        <v/>
      </c>
      <c r="X83" s="3">
        <f>IF(COUNT(B83,E83,H83,I83,P83,R83,S83)&gt;0,AVERAGE(B83,E83,H83,I83,P83,R83,S83),"")</f>
        <v/>
      </c>
      <c r="Y83" s="3" t="n"/>
      <c r="AJ83">
        <f>IFERROR(AVERAGEIF($A$4:$A$1004,AI83,$V$4:$V$1004),"")</f>
        <v/>
      </c>
      <c r="AK83">
        <f>IFERROR(AVERAGEIF($A$4:$A$1004,AI83,$W$4:$W$1004),"")</f>
        <v/>
      </c>
      <c r="AL83">
        <f>IFERROR(AVERAGEIF($A$4:$A$1004,AI83,$X$4:$X$1004),"")</f>
        <v/>
      </c>
    </row>
    <row r="84">
      <c r="A84" s="1">
        <f>IF(Data!A84&gt;0,Data!A84,"")</f>
        <v/>
      </c>
      <c r="B84" s="1">
        <f>IF(Data!B84&gt;0,Data!B84,"")</f>
        <v/>
      </c>
      <c r="C84" s="1">
        <f>IF(Data!C84&gt;0,Data!C84,"")</f>
        <v/>
      </c>
      <c r="D84" s="1">
        <f>IF(Data!D84&gt;0,Data!D84,"")</f>
        <v/>
      </c>
      <c r="E84" s="1">
        <f>IF(Data!E84&gt;0,Data!E84,"")</f>
        <v/>
      </c>
      <c r="F84" s="1">
        <f>IF(Data!F84&gt;0,Data!F84,"")</f>
        <v/>
      </c>
      <c r="G84" s="1">
        <f>IF(Data!G84&gt;0,Data!G84,"")</f>
        <v/>
      </c>
      <c r="H84" s="1">
        <f>IF(Data!H84&gt;0,Data!H84,"")</f>
        <v/>
      </c>
      <c r="I84" s="1">
        <f>IF(Data!I84&gt;0,Data!I84,"")</f>
        <v/>
      </c>
      <c r="J84" s="1">
        <f>IF(Data!J84&gt;0,Data!J84,"")</f>
        <v/>
      </c>
      <c r="K84" s="1">
        <f>IF(Data!K84&gt;0,Data!K84,"")</f>
        <v/>
      </c>
      <c r="L84" s="1">
        <f>IF(Data!L84&gt;0,Data!L84,"")</f>
        <v/>
      </c>
      <c r="M84" s="1">
        <f>IF(Data!M84&gt;0,Data!M84,"")</f>
        <v/>
      </c>
      <c r="N84" s="1">
        <f>IF(Data!N84&gt;0,Data!N84,"")</f>
        <v/>
      </c>
      <c r="O84" s="1">
        <f>IF(Data!O84&gt;0,Data!O84,"")</f>
        <v/>
      </c>
      <c r="P84" s="1">
        <f>IF(Data!P84&gt;0,Data!P84,"")</f>
        <v/>
      </c>
      <c r="Q84" s="1">
        <f>IF(Data!Q84&gt;0,Data!Q84,"")</f>
        <v/>
      </c>
      <c r="R84" s="1">
        <f>IF(Data!R84&gt;0,Data!R84,"")</f>
        <v/>
      </c>
      <c r="S84" s="1">
        <f>IF(Data!S84&gt;0,Data!S84,"")</f>
        <v/>
      </c>
      <c r="V84" s="3">
        <f>IF(COUNT(D84,J84,K84,L84,M84,O84)&gt;0,AVERAGE(D84,J84,K84,L84,M84,O84),"")</f>
        <v/>
      </c>
      <c r="W84" s="3">
        <f>IF(COUNT(C84,F84,G84,N84,Q84)&gt;0,AVERAGE(C84,F84,G84,N84,Q84),"")</f>
        <v/>
      </c>
      <c r="X84" s="3">
        <f>IF(COUNT(B84,E84,H84,I84,P84,R84,S84)&gt;0,AVERAGE(B84,E84,H84,I84,P84,R84,S84),"")</f>
        <v/>
      </c>
      <c r="Y84" s="3" t="n"/>
      <c r="AJ84">
        <f>IFERROR(AVERAGEIF($A$4:$A$1004,AI84,$V$4:$V$1004),"")</f>
        <v/>
      </c>
      <c r="AK84">
        <f>IFERROR(AVERAGEIF($A$4:$A$1004,AI84,$W$4:$W$1004),"")</f>
        <v/>
      </c>
      <c r="AL84">
        <f>IFERROR(AVERAGEIF($A$4:$A$1004,AI84,$X$4:$X$1004),"")</f>
        <v/>
      </c>
    </row>
    <row r="85">
      <c r="A85" s="1">
        <f>IF(Data!A85&gt;0,Data!A85,"")</f>
        <v/>
      </c>
      <c r="B85" s="1">
        <f>IF(Data!B85&gt;0,Data!B85,"")</f>
        <v/>
      </c>
      <c r="C85" s="1">
        <f>IF(Data!C85&gt;0,Data!C85,"")</f>
        <v/>
      </c>
      <c r="D85" s="1">
        <f>IF(Data!D85&gt;0,Data!D85,"")</f>
        <v/>
      </c>
      <c r="E85" s="1">
        <f>IF(Data!E85&gt;0,Data!E85,"")</f>
        <v/>
      </c>
      <c r="F85" s="1">
        <f>IF(Data!F85&gt;0,Data!F85,"")</f>
        <v/>
      </c>
      <c r="G85" s="1">
        <f>IF(Data!G85&gt;0,Data!G85,"")</f>
        <v/>
      </c>
      <c r="H85" s="1">
        <f>IF(Data!H85&gt;0,Data!H85,"")</f>
        <v/>
      </c>
      <c r="I85" s="1">
        <f>IF(Data!I85&gt;0,Data!I85,"")</f>
        <v/>
      </c>
      <c r="J85" s="1">
        <f>IF(Data!J85&gt;0,Data!J85,"")</f>
        <v/>
      </c>
      <c r="K85" s="1">
        <f>IF(Data!K85&gt;0,Data!K85,"")</f>
        <v/>
      </c>
      <c r="L85" s="1">
        <f>IF(Data!L85&gt;0,Data!L85,"")</f>
        <v/>
      </c>
      <c r="M85" s="1">
        <f>IF(Data!M85&gt;0,Data!M85,"")</f>
        <v/>
      </c>
      <c r="N85" s="1">
        <f>IF(Data!N85&gt;0,Data!N85,"")</f>
        <v/>
      </c>
      <c r="O85" s="1">
        <f>IF(Data!O85&gt;0,Data!O85,"")</f>
        <v/>
      </c>
      <c r="P85" s="1">
        <f>IF(Data!P85&gt;0,Data!P85,"")</f>
        <v/>
      </c>
      <c r="Q85" s="1">
        <f>IF(Data!Q85&gt;0,Data!Q85,"")</f>
        <v/>
      </c>
      <c r="R85" s="1">
        <f>IF(Data!R85&gt;0,Data!R85,"")</f>
        <v/>
      </c>
      <c r="S85" s="1">
        <f>IF(Data!S85&gt;0,Data!S85,"")</f>
        <v/>
      </c>
      <c r="V85" s="3">
        <f>IF(COUNT(D85,J85,K85,L85,M85,O85)&gt;0,AVERAGE(D85,J85,K85,L85,M85,O85),"")</f>
        <v/>
      </c>
      <c r="W85" s="3">
        <f>IF(COUNT(C85,F85,G85,N85,Q85)&gt;0,AVERAGE(C85,F85,G85,N85,Q85),"")</f>
        <v/>
      </c>
      <c r="X85" s="3">
        <f>IF(COUNT(B85,E85,H85,I85,P85,R85,S85)&gt;0,AVERAGE(B85,E85,H85,I85,P85,R85,S85),"")</f>
        <v/>
      </c>
      <c r="Y85" s="3" t="n"/>
      <c r="AJ85">
        <f>IFERROR(AVERAGEIF($A$4:$A$1004,AI85,$V$4:$V$1004),"")</f>
        <v/>
      </c>
      <c r="AK85">
        <f>IFERROR(AVERAGEIF($A$4:$A$1004,AI85,$W$4:$W$1004),"")</f>
        <v/>
      </c>
      <c r="AL85">
        <f>IFERROR(AVERAGEIF($A$4:$A$1004,AI85,$X$4:$X$1004),"")</f>
        <v/>
      </c>
    </row>
    <row r="86">
      <c r="A86" s="1">
        <f>IF(Data!A86&gt;0,Data!A86,"")</f>
        <v/>
      </c>
      <c r="B86" s="1">
        <f>IF(Data!B86&gt;0,Data!B86,"")</f>
        <v/>
      </c>
      <c r="C86" s="1">
        <f>IF(Data!C86&gt;0,Data!C86,"")</f>
        <v/>
      </c>
      <c r="D86" s="1">
        <f>IF(Data!D86&gt;0,Data!D86,"")</f>
        <v/>
      </c>
      <c r="E86" s="1">
        <f>IF(Data!E86&gt;0,Data!E86,"")</f>
        <v/>
      </c>
      <c r="F86" s="1">
        <f>IF(Data!F86&gt;0,Data!F86,"")</f>
        <v/>
      </c>
      <c r="G86" s="1">
        <f>IF(Data!G86&gt;0,Data!G86,"")</f>
        <v/>
      </c>
      <c r="H86" s="1">
        <f>IF(Data!H86&gt;0,Data!H86,"")</f>
        <v/>
      </c>
      <c r="I86" s="1">
        <f>IF(Data!I86&gt;0,Data!I86,"")</f>
        <v/>
      </c>
      <c r="J86" s="1">
        <f>IF(Data!J86&gt;0,Data!J86,"")</f>
        <v/>
      </c>
      <c r="K86" s="1">
        <f>IF(Data!K86&gt;0,Data!K86,"")</f>
        <v/>
      </c>
      <c r="L86" s="1">
        <f>IF(Data!L86&gt;0,Data!L86,"")</f>
        <v/>
      </c>
      <c r="M86" s="1">
        <f>IF(Data!M86&gt;0,Data!M86,"")</f>
        <v/>
      </c>
      <c r="N86" s="1">
        <f>IF(Data!N86&gt;0,Data!N86,"")</f>
        <v/>
      </c>
      <c r="O86" s="1">
        <f>IF(Data!O86&gt;0,Data!O86,"")</f>
        <v/>
      </c>
      <c r="P86" s="1">
        <f>IF(Data!P86&gt;0,Data!P86,"")</f>
        <v/>
      </c>
      <c r="Q86" s="1">
        <f>IF(Data!Q86&gt;0,Data!Q86,"")</f>
        <v/>
      </c>
      <c r="R86" s="1">
        <f>IF(Data!R86&gt;0,Data!R86,"")</f>
        <v/>
      </c>
      <c r="S86" s="1">
        <f>IF(Data!S86&gt;0,Data!S86,"")</f>
        <v/>
      </c>
      <c r="V86" s="3">
        <f>IF(COUNT(D86,J86,K86,L86,M86,O86)&gt;0,AVERAGE(D86,J86,K86,L86,M86,O86),"")</f>
        <v/>
      </c>
      <c r="W86" s="3">
        <f>IF(COUNT(C86,F86,G86,N86,Q86)&gt;0,AVERAGE(C86,F86,G86,N86,Q86),"")</f>
        <v/>
      </c>
      <c r="X86" s="3">
        <f>IF(COUNT(B86,E86,H86,I86,P86,R86,S86)&gt;0,AVERAGE(B86,E86,H86,I86,P86,R86,S86),"")</f>
        <v/>
      </c>
      <c r="Y86" s="3" t="n"/>
      <c r="AJ86">
        <f>IFERROR(AVERAGEIF($A$4:$A$1004,AI86,$V$4:$V$1004),"")</f>
        <v/>
      </c>
      <c r="AK86">
        <f>IFERROR(AVERAGEIF($A$4:$A$1004,AI86,$W$4:$W$1004),"")</f>
        <v/>
      </c>
      <c r="AL86">
        <f>IFERROR(AVERAGEIF($A$4:$A$1004,AI86,$X$4:$X$1004),"")</f>
        <v/>
      </c>
    </row>
    <row r="87">
      <c r="A87" s="1">
        <f>IF(Data!A87&gt;0,Data!A87,"")</f>
        <v/>
      </c>
      <c r="B87" s="1">
        <f>IF(Data!B87&gt;0,Data!B87,"")</f>
        <v/>
      </c>
      <c r="C87" s="1">
        <f>IF(Data!C87&gt;0,Data!C87,"")</f>
        <v/>
      </c>
      <c r="D87" s="1">
        <f>IF(Data!D87&gt;0,Data!D87,"")</f>
        <v/>
      </c>
      <c r="E87" s="1">
        <f>IF(Data!E87&gt;0,Data!E87,"")</f>
        <v/>
      </c>
      <c r="F87" s="1">
        <f>IF(Data!F87&gt;0,Data!F87,"")</f>
        <v/>
      </c>
      <c r="G87" s="1">
        <f>IF(Data!G87&gt;0,Data!G87,"")</f>
        <v/>
      </c>
      <c r="H87" s="1">
        <f>IF(Data!H87&gt;0,Data!H87,"")</f>
        <v/>
      </c>
      <c r="I87" s="1">
        <f>IF(Data!I87&gt;0,Data!I87,"")</f>
        <v/>
      </c>
      <c r="J87" s="1">
        <f>IF(Data!J87&gt;0,Data!J87,"")</f>
        <v/>
      </c>
      <c r="K87" s="1">
        <f>IF(Data!K87&gt;0,Data!K87,"")</f>
        <v/>
      </c>
      <c r="L87" s="1">
        <f>IF(Data!L87&gt;0,Data!L87,"")</f>
        <v/>
      </c>
      <c r="M87" s="1">
        <f>IF(Data!M87&gt;0,Data!M87,"")</f>
        <v/>
      </c>
      <c r="N87" s="1">
        <f>IF(Data!N87&gt;0,Data!N87,"")</f>
        <v/>
      </c>
      <c r="O87" s="1">
        <f>IF(Data!O87&gt;0,Data!O87,"")</f>
        <v/>
      </c>
      <c r="P87" s="1">
        <f>IF(Data!P87&gt;0,Data!P87,"")</f>
        <v/>
      </c>
      <c r="Q87" s="1">
        <f>IF(Data!Q87&gt;0,Data!Q87,"")</f>
        <v/>
      </c>
      <c r="R87" s="1">
        <f>IF(Data!R87&gt;0,Data!R87,"")</f>
        <v/>
      </c>
      <c r="S87" s="1">
        <f>IF(Data!S87&gt;0,Data!S87,"")</f>
        <v/>
      </c>
      <c r="V87" s="3">
        <f>IF(COUNT(D87,J87,K87,L87,M87,O87)&gt;0,AVERAGE(D87,J87,K87,L87,M87,O87),"")</f>
        <v/>
      </c>
      <c r="W87" s="3">
        <f>IF(COUNT(C87,F87,G87,N87,Q87)&gt;0,AVERAGE(C87,F87,G87,N87,Q87),"")</f>
        <v/>
      </c>
      <c r="X87" s="3">
        <f>IF(COUNT(B87,E87,H87,I87,P87,R87,S87)&gt;0,AVERAGE(B87,E87,H87,I87,P87,R87,S87),"")</f>
        <v/>
      </c>
      <c r="Y87" s="3" t="n"/>
      <c r="AJ87">
        <f>IFERROR(AVERAGEIF($A$4:$A$1004,AI87,$V$4:$V$1004),"")</f>
        <v/>
      </c>
      <c r="AK87">
        <f>IFERROR(AVERAGEIF($A$4:$A$1004,AI87,$W$4:$W$1004),"")</f>
        <v/>
      </c>
      <c r="AL87">
        <f>IFERROR(AVERAGEIF($A$4:$A$1004,AI87,$X$4:$X$1004),"")</f>
        <v/>
      </c>
    </row>
    <row r="88">
      <c r="A88" s="1">
        <f>IF(Data!A88&gt;0,Data!A88,"")</f>
        <v/>
      </c>
      <c r="B88" s="1">
        <f>IF(Data!B88&gt;0,Data!B88,"")</f>
        <v/>
      </c>
      <c r="C88" s="1">
        <f>IF(Data!C88&gt;0,Data!C88,"")</f>
        <v/>
      </c>
      <c r="D88" s="1">
        <f>IF(Data!D88&gt;0,Data!D88,"")</f>
        <v/>
      </c>
      <c r="E88" s="1">
        <f>IF(Data!E88&gt;0,Data!E88,"")</f>
        <v/>
      </c>
      <c r="F88" s="1">
        <f>IF(Data!F88&gt;0,Data!F88,"")</f>
        <v/>
      </c>
      <c r="G88" s="1">
        <f>IF(Data!G88&gt;0,Data!G88,"")</f>
        <v/>
      </c>
      <c r="H88" s="1">
        <f>IF(Data!H88&gt;0,Data!H88,"")</f>
        <v/>
      </c>
      <c r="I88" s="1">
        <f>IF(Data!I88&gt;0,Data!I88,"")</f>
        <v/>
      </c>
      <c r="J88" s="1">
        <f>IF(Data!J88&gt;0,Data!J88,"")</f>
        <v/>
      </c>
      <c r="K88" s="1">
        <f>IF(Data!K88&gt;0,Data!K88,"")</f>
        <v/>
      </c>
      <c r="L88" s="1">
        <f>IF(Data!L88&gt;0,Data!L88,"")</f>
        <v/>
      </c>
      <c r="M88" s="1">
        <f>IF(Data!M88&gt;0,Data!M88,"")</f>
        <v/>
      </c>
      <c r="N88" s="1">
        <f>IF(Data!N88&gt;0,Data!N88,"")</f>
        <v/>
      </c>
      <c r="O88" s="1">
        <f>IF(Data!O88&gt;0,Data!O88,"")</f>
        <v/>
      </c>
      <c r="P88" s="1">
        <f>IF(Data!P88&gt;0,Data!P88,"")</f>
        <v/>
      </c>
      <c r="Q88" s="1">
        <f>IF(Data!Q88&gt;0,Data!Q88,"")</f>
        <v/>
      </c>
      <c r="R88" s="1">
        <f>IF(Data!R88&gt;0,Data!R88,"")</f>
        <v/>
      </c>
      <c r="S88" s="1">
        <f>IF(Data!S88&gt;0,Data!S88,"")</f>
        <v/>
      </c>
      <c r="V88" s="3">
        <f>IF(COUNT(D88,J88,K88,L88,M88,O88)&gt;0,AVERAGE(D88,J88,K88,L88,M88,O88),"")</f>
        <v/>
      </c>
      <c r="W88" s="3">
        <f>IF(COUNT(C88,F88,G88,N88,Q88)&gt;0,AVERAGE(C88,F88,G88,N88,Q88),"")</f>
        <v/>
      </c>
      <c r="X88" s="3">
        <f>IF(COUNT(B88,E88,H88,I88,P88,R88,S88)&gt;0,AVERAGE(B88,E88,H88,I88,P88,R88,S88),"")</f>
        <v/>
      </c>
      <c r="Y88" s="3" t="n"/>
      <c r="AJ88">
        <f>IFERROR(AVERAGEIF($A$4:$A$1004,AI88,$V$4:$V$1004),"")</f>
        <v/>
      </c>
      <c r="AK88">
        <f>IFERROR(AVERAGEIF($A$4:$A$1004,AI88,$W$4:$W$1004),"")</f>
        <v/>
      </c>
      <c r="AL88">
        <f>IFERROR(AVERAGEIF($A$4:$A$1004,AI88,$X$4:$X$1004),"")</f>
        <v/>
      </c>
    </row>
    <row r="89">
      <c r="A89" s="1">
        <f>IF(Data!A89&gt;0,Data!A89,"")</f>
        <v/>
      </c>
      <c r="B89" s="1">
        <f>IF(Data!B89&gt;0,Data!B89,"")</f>
        <v/>
      </c>
      <c r="C89" s="1">
        <f>IF(Data!C89&gt;0,Data!C89,"")</f>
        <v/>
      </c>
      <c r="D89" s="1">
        <f>IF(Data!D89&gt;0,Data!D89,"")</f>
        <v/>
      </c>
      <c r="E89" s="1">
        <f>IF(Data!E89&gt;0,Data!E89,"")</f>
        <v/>
      </c>
      <c r="F89" s="1">
        <f>IF(Data!F89&gt;0,Data!F89,"")</f>
        <v/>
      </c>
      <c r="G89" s="1">
        <f>IF(Data!G89&gt;0,Data!G89,"")</f>
        <v/>
      </c>
      <c r="H89" s="1">
        <f>IF(Data!H89&gt;0,Data!H89,"")</f>
        <v/>
      </c>
      <c r="I89" s="1">
        <f>IF(Data!I89&gt;0,Data!I89,"")</f>
        <v/>
      </c>
      <c r="J89" s="1">
        <f>IF(Data!J89&gt;0,Data!J89,"")</f>
        <v/>
      </c>
      <c r="K89" s="1">
        <f>IF(Data!K89&gt;0,Data!K89,"")</f>
        <v/>
      </c>
      <c r="L89" s="1">
        <f>IF(Data!L89&gt;0,Data!L89,"")</f>
        <v/>
      </c>
      <c r="M89" s="1">
        <f>IF(Data!M89&gt;0,Data!M89,"")</f>
        <v/>
      </c>
      <c r="N89" s="1">
        <f>IF(Data!N89&gt;0,Data!N89,"")</f>
        <v/>
      </c>
      <c r="O89" s="1">
        <f>IF(Data!O89&gt;0,Data!O89,"")</f>
        <v/>
      </c>
      <c r="P89" s="1">
        <f>IF(Data!P89&gt;0,Data!P89,"")</f>
        <v/>
      </c>
      <c r="Q89" s="1">
        <f>IF(Data!Q89&gt;0,Data!Q89,"")</f>
        <v/>
      </c>
      <c r="R89" s="1">
        <f>IF(Data!R89&gt;0,Data!R89,"")</f>
        <v/>
      </c>
      <c r="S89" s="1">
        <f>IF(Data!S89&gt;0,Data!S89,"")</f>
        <v/>
      </c>
      <c r="V89" s="3">
        <f>IF(COUNT(D89,J89,K89,L89,M89,O89)&gt;0,AVERAGE(D89,J89,K89,L89,M89,O89),"")</f>
        <v/>
      </c>
      <c r="W89" s="3">
        <f>IF(COUNT(C89,F89,G89,N89,Q89)&gt;0,AVERAGE(C89,F89,G89,N89,Q89),"")</f>
        <v/>
      </c>
      <c r="X89" s="3">
        <f>IF(COUNT(B89,E89,H89,I89,P89,R89,S89)&gt;0,AVERAGE(B89,E89,H89,I89,P89,R89,S89),"")</f>
        <v/>
      </c>
      <c r="Y89" s="3" t="n"/>
      <c r="AJ89">
        <f>IFERROR(AVERAGEIF($A$4:$A$1004,AI89,$V$4:$V$1004),"")</f>
        <v/>
      </c>
      <c r="AK89">
        <f>IFERROR(AVERAGEIF($A$4:$A$1004,AI89,$W$4:$W$1004),"")</f>
        <v/>
      </c>
      <c r="AL89">
        <f>IFERROR(AVERAGEIF($A$4:$A$1004,AI89,$X$4:$X$1004),"")</f>
        <v/>
      </c>
    </row>
    <row r="90">
      <c r="A90" s="1">
        <f>IF(Data!A90&gt;0,Data!A90,"")</f>
        <v/>
      </c>
      <c r="B90" s="1">
        <f>IF(Data!B90&gt;0,Data!B90,"")</f>
        <v/>
      </c>
      <c r="C90" s="1">
        <f>IF(Data!C90&gt;0,Data!C90,"")</f>
        <v/>
      </c>
      <c r="D90" s="1">
        <f>IF(Data!D90&gt;0,Data!D90,"")</f>
        <v/>
      </c>
      <c r="E90" s="1">
        <f>IF(Data!E90&gt;0,Data!E90,"")</f>
        <v/>
      </c>
      <c r="F90" s="1">
        <f>IF(Data!F90&gt;0,Data!F90,"")</f>
        <v/>
      </c>
      <c r="G90" s="1">
        <f>IF(Data!G90&gt;0,Data!G90,"")</f>
        <v/>
      </c>
      <c r="H90" s="1">
        <f>IF(Data!H90&gt;0,Data!H90,"")</f>
        <v/>
      </c>
      <c r="I90" s="1">
        <f>IF(Data!I90&gt;0,Data!I90,"")</f>
        <v/>
      </c>
      <c r="J90" s="1">
        <f>IF(Data!J90&gt;0,Data!J90,"")</f>
        <v/>
      </c>
      <c r="K90" s="1">
        <f>IF(Data!K90&gt;0,Data!K90,"")</f>
        <v/>
      </c>
      <c r="L90" s="1">
        <f>IF(Data!L90&gt;0,Data!L90,"")</f>
        <v/>
      </c>
      <c r="M90" s="1">
        <f>IF(Data!M90&gt;0,Data!M90,"")</f>
        <v/>
      </c>
      <c r="N90" s="1">
        <f>IF(Data!N90&gt;0,Data!N90,"")</f>
        <v/>
      </c>
      <c r="O90" s="1">
        <f>IF(Data!O90&gt;0,Data!O90,"")</f>
        <v/>
      </c>
      <c r="P90" s="1">
        <f>IF(Data!P90&gt;0,Data!P90,"")</f>
        <v/>
      </c>
      <c r="Q90" s="1">
        <f>IF(Data!Q90&gt;0,Data!Q90,"")</f>
        <v/>
      </c>
      <c r="R90" s="1">
        <f>IF(Data!R90&gt;0,Data!R90,"")</f>
        <v/>
      </c>
      <c r="S90" s="1">
        <f>IF(Data!S90&gt;0,Data!S90,"")</f>
        <v/>
      </c>
      <c r="V90" s="3">
        <f>IF(COUNT(D90,J90,K90,L90,M90,O90)&gt;0,AVERAGE(D90,J90,K90,L90,M90,O90),"")</f>
        <v/>
      </c>
      <c r="W90" s="3">
        <f>IF(COUNT(C90,F90,G90,N90,Q90)&gt;0,AVERAGE(C90,F90,G90,N90,Q90),"")</f>
        <v/>
      </c>
      <c r="X90" s="3">
        <f>IF(COUNT(B90,E90,H90,I90,P90,R90,S90)&gt;0,AVERAGE(B90,E90,H90,I90,P90,R90,S90),"")</f>
        <v/>
      </c>
      <c r="Y90" s="3" t="n"/>
      <c r="AJ90">
        <f>IFERROR(AVERAGEIF($A$4:$A$1004,AI90,$V$4:$V$1004),"")</f>
        <v/>
      </c>
      <c r="AK90">
        <f>IFERROR(AVERAGEIF($A$4:$A$1004,AI90,$W$4:$W$1004),"")</f>
        <v/>
      </c>
      <c r="AL90">
        <f>IFERROR(AVERAGEIF($A$4:$A$1004,AI90,$X$4:$X$1004),"")</f>
        <v/>
      </c>
    </row>
    <row r="91">
      <c r="A91" s="1">
        <f>IF(Data!A91&gt;0,Data!A91,"")</f>
        <v/>
      </c>
      <c r="B91" s="1">
        <f>IF(Data!B91&gt;0,Data!B91,"")</f>
        <v/>
      </c>
      <c r="C91" s="1">
        <f>IF(Data!C91&gt;0,Data!C91,"")</f>
        <v/>
      </c>
      <c r="D91" s="1">
        <f>IF(Data!D91&gt;0,Data!D91,"")</f>
        <v/>
      </c>
      <c r="E91" s="1">
        <f>IF(Data!E91&gt;0,Data!E91,"")</f>
        <v/>
      </c>
      <c r="F91" s="1">
        <f>IF(Data!F91&gt;0,Data!F91,"")</f>
        <v/>
      </c>
      <c r="G91" s="1">
        <f>IF(Data!G91&gt;0,Data!G91,"")</f>
        <v/>
      </c>
      <c r="H91" s="1">
        <f>IF(Data!H91&gt;0,Data!H91,"")</f>
        <v/>
      </c>
      <c r="I91" s="1">
        <f>IF(Data!I91&gt;0,Data!I91,"")</f>
        <v/>
      </c>
      <c r="J91" s="1">
        <f>IF(Data!J91&gt;0,Data!J91,"")</f>
        <v/>
      </c>
      <c r="K91" s="1">
        <f>IF(Data!K91&gt;0,Data!K91,"")</f>
        <v/>
      </c>
      <c r="L91" s="1">
        <f>IF(Data!L91&gt;0,Data!L91,"")</f>
        <v/>
      </c>
      <c r="M91" s="1">
        <f>IF(Data!M91&gt;0,Data!M91,"")</f>
        <v/>
      </c>
      <c r="N91" s="1">
        <f>IF(Data!N91&gt;0,Data!N91,"")</f>
        <v/>
      </c>
      <c r="O91" s="1">
        <f>IF(Data!O91&gt;0,Data!O91,"")</f>
        <v/>
      </c>
      <c r="P91" s="1">
        <f>IF(Data!P91&gt;0,Data!P91,"")</f>
        <v/>
      </c>
      <c r="Q91" s="1">
        <f>IF(Data!Q91&gt;0,Data!Q91,"")</f>
        <v/>
      </c>
      <c r="R91" s="1">
        <f>IF(Data!R91&gt;0,Data!R91,"")</f>
        <v/>
      </c>
      <c r="S91" s="1">
        <f>IF(Data!S91&gt;0,Data!S91,"")</f>
        <v/>
      </c>
      <c r="V91" s="3">
        <f>IF(COUNT(D91,J91,K91,L91,M91,O91)&gt;0,AVERAGE(D91,J91,K91,L91,M91,O91),"")</f>
        <v/>
      </c>
      <c r="W91" s="3">
        <f>IF(COUNT(C91,F91,G91,N91,Q91)&gt;0,AVERAGE(C91,F91,G91,N91,Q91),"")</f>
        <v/>
      </c>
      <c r="X91" s="3">
        <f>IF(COUNT(B91,E91,H91,I91,P91,R91,S91)&gt;0,AVERAGE(B91,E91,H91,I91,P91,R91,S91),"")</f>
        <v/>
      </c>
      <c r="Y91" s="3" t="n"/>
      <c r="AJ91">
        <f>IFERROR(AVERAGEIF($A$4:$A$1004,AI91,$V$4:$V$1004),"")</f>
        <v/>
      </c>
      <c r="AK91">
        <f>IFERROR(AVERAGEIF($A$4:$A$1004,AI91,$W$4:$W$1004),"")</f>
        <v/>
      </c>
      <c r="AL91">
        <f>IFERROR(AVERAGEIF($A$4:$A$1004,AI91,$X$4:$X$1004),"")</f>
        <v/>
      </c>
    </row>
    <row r="92">
      <c r="A92" s="1">
        <f>IF(Data!A92&gt;0,Data!A92,"")</f>
        <v/>
      </c>
      <c r="B92" s="1">
        <f>IF(Data!B92&gt;0,Data!B92,"")</f>
        <v/>
      </c>
      <c r="C92" s="1">
        <f>IF(Data!C92&gt;0,Data!C92,"")</f>
        <v/>
      </c>
      <c r="D92" s="1">
        <f>IF(Data!D92&gt;0,Data!D92,"")</f>
        <v/>
      </c>
      <c r="E92" s="1">
        <f>IF(Data!E92&gt;0,Data!E92,"")</f>
        <v/>
      </c>
      <c r="F92" s="1">
        <f>IF(Data!F92&gt;0,Data!F92,"")</f>
        <v/>
      </c>
      <c r="G92" s="1">
        <f>IF(Data!G92&gt;0,Data!G92,"")</f>
        <v/>
      </c>
      <c r="H92" s="1">
        <f>IF(Data!H92&gt;0,Data!H92,"")</f>
        <v/>
      </c>
      <c r="I92" s="1">
        <f>IF(Data!I92&gt;0,Data!I92,"")</f>
        <v/>
      </c>
      <c r="J92" s="1">
        <f>IF(Data!J92&gt;0,Data!J92,"")</f>
        <v/>
      </c>
      <c r="K92" s="1">
        <f>IF(Data!K92&gt;0,Data!K92,"")</f>
        <v/>
      </c>
      <c r="L92" s="1">
        <f>IF(Data!L92&gt;0,Data!L92,"")</f>
        <v/>
      </c>
      <c r="M92" s="1">
        <f>IF(Data!M92&gt;0,Data!M92,"")</f>
        <v/>
      </c>
      <c r="N92" s="1">
        <f>IF(Data!N92&gt;0,Data!N92,"")</f>
        <v/>
      </c>
      <c r="O92" s="1">
        <f>IF(Data!O92&gt;0,Data!O92,"")</f>
        <v/>
      </c>
      <c r="P92" s="1">
        <f>IF(Data!P92&gt;0,Data!P92,"")</f>
        <v/>
      </c>
      <c r="Q92" s="1">
        <f>IF(Data!Q92&gt;0,Data!Q92,"")</f>
        <v/>
      </c>
      <c r="R92" s="1">
        <f>IF(Data!R92&gt;0,Data!R92,"")</f>
        <v/>
      </c>
      <c r="S92" s="1">
        <f>IF(Data!S92&gt;0,Data!S92,"")</f>
        <v/>
      </c>
      <c r="V92" s="3">
        <f>IF(COUNT(D92,J92,K92,L92,M92,O92)&gt;0,AVERAGE(D92,J92,K92,L92,M92,O92),"")</f>
        <v/>
      </c>
      <c r="W92" s="3">
        <f>IF(COUNT(C92,F92,G92,N92,Q92)&gt;0,AVERAGE(C92,F92,G92,N92,Q92),"")</f>
        <v/>
      </c>
      <c r="X92" s="3">
        <f>IF(COUNT(B92,E92,H92,I92,P92,R92,S92)&gt;0,AVERAGE(B92,E92,H92,I92,P92,R92,S92),"")</f>
        <v/>
      </c>
      <c r="Y92" s="3" t="n"/>
      <c r="AJ92">
        <f>IFERROR(AVERAGEIF($A$4:$A$1004,AI92,$V$4:$V$1004),"")</f>
        <v/>
      </c>
      <c r="AK92">
        <f>IFERROR(AVERAGEIF($A$4:$A$1004,AI92,$W$4:$W$1004),"")</f>
        <v/>
      </c>
      <c r="AL92">
        <f>IFERROR(AVERAGEIF($A$4:$A$1004,AI92,$X$4:$X$1004),"")</f>
        <v/>
      </c>
    </row>
    <row r="93">
      <c r="A93" s="1">
        <f>IF(Data!A93&gt;0,Data!A93,"")</f>
        <v/>
      </c>
      <c r="B93" s="1">
        <f>IF(Data!B93&gt;0,Data!B93,"")</f>
        <v/>
      </c>
      <c r="C93" s="1">
        <f>IF(Data!C93&gt;0,Data!C93,"")</f>
        <v/>
      </c>
      <c r="D93" s="1">
        <f>IF(Data!D93&gt;0,Data!D93,"")</f>
        <v/>
      </c>
      <c r="E93" s="1">
        <f>IF(Data!E93&gt;0,Data!E93,"")</f>
        <v/>
      </c>
      <c r="F93" s="1">
        <f>IF(Data!F93&gt;0,Data!F93,"")</f>
        <v/>
      </c>
      <c r="G93" s="1">
        <f>IF(Data!G93&gt;0,Data!G93,"")</f>
        <v/>
      </c>
      <c r="H93" s="1">
        <f>IF(Data!H93&gt;0,Data!H93,"")</f>
        <v/>
      </c>
      <c r="I93" s="1">
        <f>IF(Data!I93&gt;0,Data!I93,"")</f>
        <v/>
      </c>
      <c r="J93" s="1">
        <f>IF(Data!J93&gt;0,Data!J93,"")</f>
        <v/>
      </c>
      <c r="K93" s="1">
        <f>IF(Data!K93&gt;0,Data!K93,"")</f>
        <v/>
      </c>
      <c r="L93" s="1">
        <f>IF(Data!L93&gt;0,Data!L93,"")</f>
        <v/>
      </c>
      <c r="M93" s="1">
        <f>IF(Data!M93&gt;0,Data!M93,"")</f>
        <v/>
      </c>
      <c r="N93" s="1">
        <f>IF(Data!N93&gt;0,Data!N93,"")</f>
        <v/>
      </c>
      <c r="O93" s="1">
        <f>IF(Data!O93&gt;0,Data!O93,"")</f>
        <v/>
      </c>
      <c r="P93" s="1">
        <f>IF(Data!P93&gt;0,Data!P93,"")</f>
        <v/>
      </c>
      <c r="Q93" s="1">
        <f>IF(Data!Q93&gt;0,Data!Q93,"")</f>
        <v/>
      </c>
      <c r="R93" s="1">
        <f>IF(Data!R93&gt;0,Data!R93,"")</f>
        <v/>
      </c>
      <c r="S93" s="1">
        <f>IF(Data!S93&gt;0,Data!S93,"")</f>
        <v/>
      </c>
      <c r="V93" s="3">
        <f>IF(COUNT(D93,J93,K93,L93,M93,O93)&gt;0,AVERAGE(D93,J93,K93,L93,M93,O93),"")</f>
        <v/>
      </c>
      <c r="W93" s="3">
        <f>IF(COUNT(C93,F93,G93,N93,Q93)&gt;0,AVERAGE(C93,F93,G93,N93,Q93),"")</f>
        <v/>
      </c>
      <c r="X93" s="3">
        <f>IF(COUNT(B93,E93,H93,I93,P93,R93,S93)&gt;0,AVERAGE(B93,E93,H93,I93,P93,R93,S93),"")</f>
        <v/>
      </c>
      <c r="Y93" s="3" t="n"/>
      <c r="AJ93">
        <f>IFERROR(AVERAGEIF($A$4:$A$1004,AI93,$V$4:$V$1004),"")</f>
        <v/>
      </c>
      <c r="AK93">
        <f>IFERROR(AVERAGEIF($A$4:$A$1004,AI93,$W$4:$W$1004),"")</f>
        <v/>
      </c>
      <c r="AL93">
        <f>IFERROR(AVERAGEIF($A$4:$A$1004,AI93,$X$4:$X$1004),"")</f>
        <v/>
      </c>
    </row>
    <row r="94">
      <c r="A94" s="1">
        <f>IF(Data!A94&gt;0,Data!A94,"")</f>
        <v/>
      </c>
      <c r="B94" s="1">
        <f>IF(Data!B94&gt;0,Data!B94,"")</f>
        <v/>
      </c>
      <c r="C94" s="1">
        <f>IF(Data!C94&gt;0,Data!C94,"")</f>
        <v/>
      </c>
      <c r="D94" s="1">
        <f>IF(Data!D94&gt;0,Data!D94,"")</f>
        <v/>
      </c>
      <c r="E94" s="1">
        <f>IF(Data!E94&gt;0,Data!E94,"")</f>
        <v/>
      </c>
      <c r="F94" s="1">
        <f>IF(Data!F94&gt;0,Data!F94,"")</f>
        <v/>
      </c>
      <c r="G94" s="1">
        <f>IF(Data!G94&gt;0,Data!G94,"")</f>
        <v/>
      </c>
      <c r="H94" s="1">
        <f>IF(Data!H94&gt;0,Data!H94,"")</f>
        <v/>
      </c>
      <c r="I94" s="1">
        <f>IF(Data!I94&gt;0,Data!I94,"")</f>
        <v/>
      </c>
      <c r="J94" s="1">
        <f>IF(Data!J94&gt;0,Data!J94,"")</f>
        <v/>
      </c>
      <c r="K94" s="1">
        <f>IF(Data!K94&gt;0,Data!K94,"")</f>
        <v/>
      </c>
      <c r="L94" s="1">
        <f>IF(Data!L94&gt;0,Data!L94,"")</f>
        <v/>
      </c>
      <c r="M94" s="1">
        <f>IF(Data!M94&gt;0,Data!M94,"")</f>
        <v/>
      </c>
      <c r="N94" s="1">
        <f>IF(Data!N94&gt;0,Data!N94,"")</f>
        <v/>
      </c>
      <c r="O94" s="1">
        <f>IF(Data!O94&gt;0,Data!O94,"")</f>
        <v/>
      </c>
      <c r="P94" s="1">
        <f>IF(Data!P94&gt;0,Data!P94,"")</f>
        <v/>
      </c>
      <c r="Q94" s="1">
        <f>IF(Data!Q94&gt;0,Data!Q94,"")</f>
        <v/>
      </c>
      <c r="R94" s="1">
        <f>IF(Data!R94&gt;0,Data!R94,"")</f>
        <v/>
      </c>
      <c r="S94" s="1">
        <f>IF(Data!S94&gt;0,Data!S94,"")</f>
        <v/>
      </c>
      <c r="V94" s="3">
        <f>IF(COUNT(D94,J94,K94,L94,M94,O94)&gt;0,AVERAGE(D94,J94,K94,L94,M94,O94),"")</f>
        <v/>
      </c>
      <c r="W94" s="3">
        <f>IF(COUNT(C94,F94,G94,N94,Q94)&gt;0,AVERAGE(C94,F94,G94,N94,Q94),"")</f>
        <v/>
      </c>
      <c r="X94" s="3">
        <f>IF(COUNT(B94,E94,H94,I94,P94,R94,S94)&gt;0,AVERAGE(B94,E94,H94,I94,P94,R94,S94),"")</f>
        <v/>
      </c>
      <c r="Y94" s="3" t="n"/>
      <c r="AJ94">
        <f>IFERROR(AVERAGEIF($A$4:$A$1004,AI94,$V$4:$V$1004),"")</f>
        <v/>
      </c>
      <c r="AK94">
        <f>IFERROR(AVERAGEIF($A$4:$A$1004,AI94,$W$4:$W$1004),"")</f>
        <v/>
      </c>
      <c r="AL94">
        <f>IFERROR(AVERAGEIF($A$4:$A$1004,AI94,$X$4:$X$1004),"")</f>
        <v/>
      </c>
    </row>
    <row r="95">
      <c r="A95" s="1">
        <f>IF(Data!A95&gt;0,Data!A95,"")</f>
        <v/>
      </c>
      <c r="B95" s="1">
        <f>IF(Data!B95&gt;0,Data!B95,"")</f>
        <v/>
      </c>
      <c r="C95" s="1">
        <f>IF(Data!C95&gt;0,Data!C95,"")</f>
        <v/>
      </c>
      <c r="D95" s="1">
        <f>IF(Data!D95&gt;0,Data!D95,"")</f>
        <v/>
      </c>
      <c r="E95" s="1">
        <f>IF(Data!E95&gt;0,Data!E95,"")</f>
        <v/>
      </c>
      <c r="F95" s="1">
        <f>IF(Data!F95&gt;0,Data!F95,"")</f>
        <v/>
      </c>
      <c r="G95" s="1">
        <f>IF(Data!G95&gt;0,Data!G95,"")</f>
        <v/>
      </c>
      <c r="H95" s="1">
        <f>IF(Data!H95&gt;0,Data!H95,"")</f>
        <v/>
      </c>
      <c r="I95" s="1">
        <f>IF(Data!I95&gt;0,Data!I95,"")</f>
        <v/>
      </c>
      <c r="J95" s="1">
        <f>IF(Data!J95&gt;0,Data!J95,"")</f>
        <v/>
      </c>
      <c r="K95" s="1">
        <f>IF(Data!K95&gt;0,Data!K95,"")</f>
        <v/>
      </c>
      <c r="L95" s="1">
        <f>IF(Data!L95&gt;0,Data!L95,"")</f>
        <v/>
      </c>
      <c r="M95" s="1">
        <f>IF(Data!M95&gt;0,Data!M95,"")</f>
        <v/>
      </c>
      <c r="N95" s="1">
        <f>IF(Data!N95&gt;0,Data!N95,"")</f>
        <v/>
      </c>
      <c r="O95" s="1">
        <f>IF(Data!O95&gt;0,Data!O95,"")</f>
        <v/>
      </c>
      <c r="P95" s="1">
        <f>IF(Data!P95&gt;0,Data!P95,"")</f>
        <v/>
      </c>
      <c r="Q95" s="1">
        <f>IF(Data!Q95&gt;0,Data!Q95,"")</f>
        <v/>
      </c>
      <c r="R95" s="1">
        <f>IF(Data!R95&gt;0,Data!R95,"")</f>
        <v/>
      </c>
      <c r="S95" s="1">
        <f>IF(Data!S95&gt;0,Data!S95,"")</f>
        <v/>
      </c>
      <c r="V95" s="3">
        <f>IF(COUNT(D95,J95,K95,L95,M95,O95)&gt;0,AVERAGE(D95,J95,K95,L95,M95,O95),"")</f>
        <v/>
      </c>
      <c r="W95" s="3">
        <f>IF(COUNT(C95,F95,G95,N95,Q95)&gt;0,AVERAGE(C95,F95,G95,N95,Q95),"")</f>
        <v/>
      </c>
      <c r="X95" s="3">
        <f>IF(COUNT(B95,E95,H95,I95,P95,R95,S95)&gt;0,AVERAGE(B95,E95,H95,I95,P95,R95,S95),"")</f>
        <v/>
      </c>
      <c r="Y95" s="3" t="n"/>
      <c r="AJ95">
        <f>IFERROR(AVERAGEIF($A$4:$A$1004,AI95,$V$4:$V$1004),"")</f>
        <v/>
      </c>
      <c r="AK95">
        <f>IFERROR(AVERAGEIF($A$4:$A$1004,AI95,$W$4:$W$1004),"")</f>
        <v/>
      </c>
      <c r="AL95">
        <f>IFERROR(AVERAGEIF($A$4:$A$1004,AI95,$X$4:$X$1004),"")</f>
        <v/>
      </c>
    </row>
    <row r="96">
      <c r="A96" s="1">
        <f>IF(Data!A96&gt;0,Data!A96,"")</f>
        <v/>
      </c>
      <c r="B96" s="1">
        <f>IF(Data!B96&gt;0,Data!B96,"")</f>
        <v/>
      </c>
      <c r="C96" s="1">
        <f>IF(Data!C96&gt;0,Data!C96,"")</f>
        <v/>
      </c>
      <c r="D96" s="1">
        <f>IF(Data!D96&gt;0,Data!D96,"")</f>
        <v/>
      </c>
      <c r="E96" s="1">
        <f>IF(Data!E96&gt;0,Data!E96,"")</f>
        <v/>
      </c>
      <c r="F96" s="1">
        <f>IF(Data!F96&gt;0,Data!F96,"")</f>
        <v/>
      </c>
      <c r="G96" s="1">
        <f>IF(Data!G96&gt;0,Data!G96,"")</f>
        <v/>
      </c>
      <c r="H96" s="1">
        <f>IF(Data!H96&gt;0,Data!H96,"")</f>
        <v/>
      </c>
      <c r="I96" s="1">
        <f>IF(Data!I96&gt;0,Data!I96,"")</f>
        <v/>
      </c>
      <c r="J96" s="1">
        <f>IF(Data!J96&gt;0,Data!J96,"")</f>
        <v/>
      </c>
      <c r="K96" s="1">
        <f>IF(Data!K96&gt;0,Data!K96,"")</f>
        <v/>
      </c>
      <c r="L96" s="1">
        <f>IF(Data!L96&gt;0,Data!L96,"")</f>
        <v/>
      </c>
      <c r="M96" s="1">
        <f>IF(Data!M96&gt;0,Data!M96,"")</f>
        <v/>
      </c>
      <c r="N96" s="1">
        <f>IF(Data!N96&gt;0,Data!N96,"")</f>
        <v/>
      </c>
      <c r="O96" s="1">
        <f>IF(Data!O96&gt;0,Data!O96,"")</f>
        <v/>
      </c>
      <c r="P96" s="1">
        <f>IF(Data!P96&gt;0,Data!P96,"")</f>
        <v/>
      </c>
      <c r="Q96" s="1">
        <f>IF(Data!Q96&gt;0,Data!Q96,"")</f>
        <v/>
      </c>
      <c r="R96" s="1">
        <f>IF(Data!R96&gt;0,Data!R96,"")</f>
        <v/>
      </c>
      <c r="S96" s="1">
        <f>IF(Data!S96&gt;0,Data!S96,"")</f>
        <v/>
      </c>
      <c r="V96" s="3">
        <f>IF(COUNT(D96,J96,K96,L96,M96,O96)&gt;0,AVERAGE(D96,J96,K96,L96,M96,O96),"")</f>
        <v/>
      </c>
      <c r="W96" s="3">
        <f>IF(COUNT(C96,F96,G96,N96,Q96)&gt;0,AVERAGE(C96,F96,G96,N96,Q96),"")</f>
        <v/>
      </c>
      <c r="X96" s="3">
        <f>IF(COUNT(B96,E96,H96,I96,P96,R96,S96)&gt;0,AVERAGE(B96,E96,H96,I96,P96,R96,S96),"")</f>
        <v/>
      </c>
      <c r="Y96" s="3" t="n"/>
      <c r="AJ96">
        <f>IFERROR(AVERAGEIF($A$4:$A$1004,AI96,$V$4:$V$1004),"")</f>
        <v/>
      </c>
      <c r="AK96">
        <f>IFERROR(AVERAGEIF($A$4:$A$1004,AI96,$W$4:$W$1004),"")</f>
        <v/>
      </c>
      <c r="AL96">
        <f>IFERROR(AVERAGEIF($A$4:$A$1004,AI96,$X$4:$X$1004),"")</f>
        <v/>
      </c>
    </row>
    <row r="97">
      <c r="A97" s="1">
        <f>IF(Data!A97&gt;0,Data!A97,"")</f>
        <v/>
      </c>
      <c r="B97" s="1">
        <f>IF(Data!B97&gt;0,Data!B97,"")</f>
        <v/>
      </c>
      <c r="C97" s="1">
        <f>IF(Data!C97&gt;0,Data!C97,"")</f>
        <v/>
      </c>
      <c r="D97" s="1">
        <f>IF(Data!D97&gt;0,Data!D97,"")</f>
        <v/>
      </c>
      <c r="E97" s="1">
        <f>IF(Data!E97&gt;0,Data!E97,"")</f>
        <v/>
      </c>
      <c r="F97" s="1">
        <f>IF(Data!F97&gt;0,Data!F97,"")</f>
        <v/>
      </c>
      <c r="G97" s="1">
        <f>IF(Data!G97&gt;0,Data!G97,"")</f>
        <v/>
      </c>
      <c r="H97" s="1">
        <f>IF(Data!H97&gt;0,Data!H97,"")</f>
        <v/>
      </c>
      <c r="I97" s="1">
        <f>IF(Data!I97&gt;0,Data!I97,"")</f>
        <v/>
      </c>
      <c r="J97" s="1">
        <f>IF(Data!J97&gt;0,Data!J97,"")</f>
        <v/>
      </c>
      <c r="K97" s="1">
        <f>IF(Data!K97&gt;0,Data!K97,"")</f>
        <v/>
      </c>
      <c r="L97" s="1">
        <f>IF(Data!L97&gt;0,Data!L97,"")</f>
        <v/>
      </c>
      <c r="M97" s="1">
        <f>IF(Data!M97&gt;0,Data!M97,"")</f>
        <v/>
      </c>
      <c r="N97" s="1">
        <f>IF(Data!N97&gt;0,Data!N97,"")</f>
        <v/>
      </c>
      <c r="O97" s="1">
        <f>IF(Data!O97&gt;0,Data!O97,"")</f>
        <v/>
      </c>
      <c r="P97" s="1">
        <f>IF(Data!P97&gt;0,Data!P97,"")</f>
        <v/>
      </c>
      <c r="Q97" s="1">
        <f>IF(Data!Q97&gt;0,Data!Q97,"")</f>
        <v/>
      </c>
      <c r="R97" s="1">
        <f>IF(Data!R97&gt;0,Data!R97,"")</f>
        <v/>
      </c>
      <c r="S97" s="1">
        <f>IF(Data!S97&gt;0,Data!S97,"")</f>
        <v/>
      </c>
      <c r="V97" s="3">
        <f>IF(COUNT(D97,J97,K97,L97,M97,O97)&gt;0,AVERAGE(D97,J97,K97,L97,M97,O97),"")</f>
        <v/>
      </c>
      <c r="W97" s="3">
        <f>IF(COUNT(C97,F97,G97,N97,Q97)&gt;0,AVERAGE(C97,F97,G97,N97,Q97),"")</f>
        <v/>
      </c>
      <c r="X97" s="3">
        <f>IF(COUNT(B97,E97,H97,I97,P97,R97,S97)&gt;0,AVERAGE(B97,E97,H97,I97,P97,R97,S97),"")</f>
        <v/>
      </c>
      <c r="Y97" s="3" t="n"/>
      <c r="AJ97">
        <f>IFERROR(AVERAGEIF($A$4:$A$1004,AI97,$V$4:$V$1004),"")</f>
        <v/>
      </c>
      <c r="AK97">
        <f>IFERROR(AVERAGEIF($A$4:$A$1004,AI97,$W$4:$W$1004),"")</f>
        <v/>
      </c>
      <c r="AL97">
        <f>IFERROR(AVERAGEIF($A$4:$A$1004,AI97,$X$4:$X$1004),"")</f>
        <v/>
      </c>
    </row>
    <row r="98">
      <c r="A98" s="1">
        <f>IF(Data!A98&gt;0,Data!A98,"")</f>
        <v/>
      </c>
      <c r="B98" s="1">
        <f>IF(Data!B98&gt;0,Data!B98,"")</f>
        <v/>
      </c>
      <c r="C98" s="1">
        <f>IF(Data!C98&gt;0,Data!C98,"")</f>
        <v/>
      </c>
      <c r="D98" s="1">
        <f>IF(Data!D98&gt;0,Data!D98,"")</f>
        <v/>
      </c>
      <c r="E98" s="1">
        <f>IF(Data!E98&gt;0,Data!E98,"")</f>
        <v/>
      </c>
      <c r="F98" s="1">
        <f>IF(Data!F98&gt;0,Data!F98,"")</f>
        <v/>
      </c>
      <c r="G98" s="1">
        <f>IF(Data!G98&gt;0,Data!G98,"")</f>
        <v/>
      </c>
      <c r="H98" s="1">
        <f>IF(Data!H98&gt;0,Data!H98,"")</f>
        <v/>
      </c>
      <c r="I98" s="1">
        <f>IF(Data!I98&gt;0,Data!I98,"")</f>
        <v/>
      </c>
      <c r="J98" s="1">
        <f>IF(Data!J98&gt;0,Data!J98,"")</f>
        <v/>
      </c>
      <c r="K98" s="1">
        <f>IF(Data!K98&gt;0,Data!K98,"")</f>
        <v/>
      </c>
      <c r="L98" s="1">
        <f>IF(Data!L98&gt;0,Data!L98,"")</f>
        <v/>
      </c>
      <c r="M98" s="1">
        <f>IF(Data!M98&gt;0,Data!M98,"")</f>
        <v/>
      </c>
      <c r="N98" s="1">
        <f>IF(Data!N98&gt;0,Data!N98,"")</f>
        <v/>
      </c>
      <c r="O98" s="1">
        <f>IF(Data!O98&gt;0,Data!O98,"")</f>
        <v/>
      </c>
      <c r="P98" s="1">
        <f>IF(Data!P98&gt;0,Data!P98,"")</f>
        <v/>
      </c>
      <c r="Q98" s="1">
        <f>IF(Data!Q98&gt;0,Data!Q98,"")</f>
        <v/>
      </c>
      <c r="R98" s="1">
        <f>IF(Data!R98&gt;0,Data!R98,"")</f>
        <v/>
      </c>
      <c r="S98" s="1">
        <f>IF(Data!S98&gt;0,Data!S98,"")</f>
        <v/>
      </c>
      <c r="V98" s="3">
        <f>IF(COUNT(D98,J98,K98,L98,M98,O98)&gt;0,AVERAGE(D98,J98,K98,L98,M98,O98),"")</f>
        <v/>
      </c>
      <c r="W98" s="3">
        <f>IF(COUNT(C98,F98,G98,N98,Q98)&gt;0,AVERAGE(C98,F98,G98,N98,Q98),"")</f>
        <v/>
      </c>
      <c r="X98" s="3">
        <f>IF(COUNT(B98,E98,H98,I98,P98,R98,S98)&gt;0,AVERAGE(B98,E98,H98,I98,P98,R98,S98),"")</f>
        <v/>
      </c>
      <c r="Y98" s="3" t="n"/>
      <c r="AJ98">
        <f>IFERROR(AVERAGEIF($A$4:$A$1004,AI98,$V$4:$V$1004),"")</f>
        <v/>
      </c>
      <c r="AK98">
        <f>IFERROR(AVERAGEIF($A$4:$A$1004,AI98,$W$4:$W$1004),"")</f>
        <v/>
      </c>
      <c r="AL98">
        <f>IFERROR(AVERAGEIF($A$4:$A$1004,AI98,$X$4:$X$1004),"")</f>
        <v/>
      </c>
    </row>
    <row r="99">
      <c r="A99" s="1">
        <f>IF(Data!A99&gt;0,Data!A99,"")</f>
        <v/>
      </c>
      <c r="B99" s="1">
        <f>IF(Data!B99&gt;0,Data!B99,"")</f>
        <v/>
      </c>
      <c r="C99" s="1">
        <f>IF(Data!C99&gt;0,Data!C99,"")</f>
        <v/>
      </c>
      <c r="D99" s="1">
        <f>IF(Data!D99&gt;0,Data!D99,"")</f>
        <v/>
      </c>
      <c r="E99" s="1">
        <f>IF(Data!E99&gt;0,Data!E99,"")</f>
        <v/>
      </c>
      <c r="F99" s="1">
        <f>IF(Data!F99&gt;0,Data!F99,"")</f>
        <v/>
      </c>
      <c r="G99" s="1">
        <f>IF(Data!G99&gt;0,Data!G99,"")</f>
        <v/>
      </c>
      <c r="H99" s="1">
        <f>IF(Data!H99&gt;0,Data!H99,"")</f>
        <v/>
      </c>
      <c r="I99" s="1">
        <f>IF(Data!I99&gt;0,Data!I99,"")</f>
        <v/>
      </c>
      <c r="J99" s="1">
        <f>IF(Data!J99&gt;0,Data!J99,"")</f>
        <v/>
      </c>
      <c r="K99" s="1">
        <f>IF(Data!K99&gt;0,Data!K99,"")</f>
        <v/>
      </c>
      <c r="L99" s="1">
        <f>IF(Data!L99&gt;0,Data!L99,"")</f>
        <v/>
      </c>
      <c r="M99" s="1">
        <f>IF(Data!M99&gt;0,Data!M99,"")</f>
        <v/>
      </c>
      <c r="N99" s="1">
        <f>IF(Data!N99&gt;0,Data!N99,"")</f>
        <v/>
      </c>
      <c r="O99" s="1">
        <f>IF(Data!O99&gt;0,Data!O99,"")</f>
        <v/>
      </c>
      <c r="P99" s="1">
        <f>IF(Data!P99&gt;0,Data!P99,"")</f>
        <v/>
      </c>
      <c r="Q99" s="1">
        <f>IF(Data!Q99&gt;0,Data!Q99,"")</f>
        <v/>
      </c>
      <c r="R99" s="1">
        <f>IF(Data!R99&gt;0,Data!R99,"")</f>
        <v/>
      </c>
      <c r="S99" s="1">
        <f>IF(Data!S99&gt;0,Data!S99,"")</f>
        <v/>
      </c>
      <c r="V99" s="3">
        <f>IF(COUNT(D99,J99,K99,L99,M99,O99)&gt;0,AVERAGE(D99,J99,K99,L99,M99,O99),"")</f>
        <v/>
      </c>
      <c r="W99" s="3">
        <f>IF(COUNT(C99,F99,G99,N99,Q99)&gt;0,AVERAGE(C99,F99,G99,N99,Q99),"")</f>
        <v/>
      </c>
      <c r="X99" s="3">
        <f>IF(COUNT(B99,E99,H99,I99,P99,R99,S99)&gt;0,AVERAGE(B99,E99,H99,I99,P99,R99,S99),"")</f>
        <v/>
      </c>
      <c r="Y99" s="3" t="n"/>
      <c r="AJ99">
        <f>IFERROR(AVERAGEIF($A$4:$A$1004,AI99,$V$4:$V$1004),"")</f>
        <v/>
      </c>
      <c r="AK99">
        <f>IFERROR(AVERAGEIF($A$4:$A$1004,AI99,$W$4:$W$1004),"")</f>
        <v/>
      </c>
      <c r="AL99">
        <f>IFERROR(AVERAGEIF($A$4:$A$1004,AI99,$X$4:$X$1004),"")</f>
        <v/>
      </c>
    </row>
    <row r="100">
      <c r="A100" s="1">
        <f>IF(Data!A100&gt;0,Data!A100,"")</f>
        <v/>
      </c>
      <c r="B100" s="1">
        <f>IF(Data!B100&gt;0,Data!B100,"")</f>
        <v/>
      </c>
      <c r="C100" s="1">
        <f>IF(Data!C100&gt;0,Data!C100,"")</f>
        <v/>
      </c>
      <c r="D100" s="1">
        <f>IF(Data!D100&gt;0,Data!D100,"")</f>
        <v/>
      </c>
      <c r="E100" s="1">
        <f>IF(Data!E100&gt;0,Data!E100,"")</f>
        <v/>
      </c>
      <c r="F100" s="1">
        <f>IF(Data!F100&gt;0,Data!F100,"")</f>
        <v/>
      </c>
      <c r="G100" s="1">
        <f>IF(Data!G100&gt;0,Data!G100,"")</f>
        <v/>
      </c>
      <c r="H100" s="1">
        <f>IF(Data!H100&gt;0,Data!H100,"")</f>
        <v/>
      </c>
      <c r="I100" s="1">
        <f>IF(Data!I100&gt;0,Data!I100,"")</f>
        <v/>
      </c>
      <c r="J100" s="1">
        <f>IF(Data!J100&gt;0,Data!J100,"")</f>
        <v/>
      </c>
      <c r="K100" s="1">
        <f>IF(Data!K100&gt;0,Data!K100,"")</f>
        <v/>
      </c>
      <c r="L100" s="1">
        <f>IF(Data!L100&gt;0,Data!L100,"")</f>
        <v/>
      </c>
      <c r="M100" s="1">
        <f>IF(Data!M100&gt;0,Data!M100,"")</f>
        <v/>
      </c>
      <c r="N100" s="1">
        <f>IF(Data!N100&gt;0,Data!N100,"")</f>
        <v/>
      </c>
      <c r="O100" s="1">
        <f>IF(Data!O100&gt;0,Data!O100,"")</f>
        <v/>
      </c>
      <c r="P100" s="1">
        <f>IF(Data!P100&gt;0,Data!P100,"")</f>
        <v/>
      </c>
      <c r="Q100" s="1">
        <f>IF(Data!Q100&gt;0,Data!Q100,"")</f>
        <v/>
      </c>
      <c r="R100" s="1">
        <f>IF(Data!R100&gt;0,Data!R100,"")</f>
        <v/>
      </c>
      <c r="S100" s="1">
        <f>IF(Data!S100&gt;0,Data!S100,"")</f>
        <v/>
      </c>
      <c r="V100" s="3">
        <f>IF(COUNT(D100,J100,K100,L100,M100,O100)&gt;0,AVERAGE(D100,J100,K100,L100,M100,O100),"")</f>
        <v/>
      </c>
      <c r="W100" s="3">
        <f>IF(COUNT(C100,F100,G100,N100,Q100)&gt;0,AVERAGE(C100,F100,G100,N100,Q100),"")</f>
        <v/>
      </c>
      <c r="X100" s="3">
        <f>IF(COUNT(B100,E100,H100,I100,P100,R100,S100)&gt;0,AVERAGE(B100,E100,H100,I100,P100,R100,S100),"")</f>
        <v/>
      </c>
      <c r="Y100" s="3" t="n"/>
      <c r="AJ100">
        <f>IFERROR(AVERAGEIF($A$4:$A$1004,AI100,$V$4:$V$1004),"")</f>
        <v/>
      </c>
      <c r="AK100">
        <f>IFERROR(AVERAGEIF($A$4:$A$1004,AI100,$W$4:$W$1004),"")</f>
        <v/>
      </c>
      <c r="AL100">
        <f>IFERROR(AVERAGEIF($A$4:$A$1004,AI100,$X$4:$X$1004),"")</f>
        <v/>
      </c>
    </row>
    <row r="101">
      <c r="A101" s="1">
        <f>IF(Data!A101&gt;0,Data!A101,"")</f>
        <v/>
      </c>
      <c r="B101" s="1">
        <f>IF(Data!B101&gt;0,Data!B101,"")</f>
        <v/>
      </c>
      <c r="C101" s="1">
        <f>IF(Data!C101&gt;0,Data!C101,"")</f>
        <v/>
      </c>
      <c r="D101" s="1">
        <f>IF(Data!D101&gt;0,Data!D101,"")</f>
        <v/>
      </c>
      <c r="E101" s="1">
        <f>IF(Data!E101&gt;0,Data!E101,"")</f>
        <v/>
      </c>
      <c r="F101" s="1">
        <f>IF(Data!F101&gt;0,Data!F101,"")</f>
        <v/>
      </c>
      <c r="G101" s="1">
        <f>IF(Data!G101&gt;0,Data!G101,"")</f>
        <v/>
      </c>
      <c r="H101" s="1">
        <f>IF(Data!H101&gt;0,Data!H101,"")</f>
        <v/>
      </c>
      <c r="I101" s="1">
        <f>IF(Data!I101&gt;0,Data!I101,"")</f>
        <v/>
      </c>
      <c r="J101" s="1">
        <f>IF(Data!J101&gt;0,Data!J101,"")</f>
        <v/>
      </c>
      <c r="K101" s="1">
        <f>IF(Data!K101&gt;0,Data!K101,"")</f>
        <v/>
      </c>
      <c r="L101" s="1">
        <f>IF(Data!L101&gt;0,Data!L101,"")</f>
        <v/>
      </c>
      <c r="M101" s="1">
        <f>IF(Data!M101&gt;0,Data!M101,"")</f>
        <v/>
      </c>
      <c r="N101" s="1">
        <f>IF(Data!N101&gt;0,Data!N101,"")</f>
        <v/>
      </c>
      <c r="O101" s="1">
        <f>IF(Data!O101&gt;0,Data!O101,"")</f>
        <v/>
      </c>
      <c r="P101" s="1">
        <f>IF(Data!P101&gt;0,Data!P101,"")</f>
        <v/>
      </c>
      <c r="Q101" s="1">
        <f>IF(Data!Q101&gt;0,Data!Q101,"")</f>
        <v/>
      </c>
      <c r="R101" s="1">
        <f>IF(Data!R101&gt;0,Data!R101,"")</f>
        <v/>
      </c>
      <c r="S101" s="1">
        <f>IF(Data!S101&gt;0,Data!S101,"")</f>
        <v/>
      </c>
      <c r="V101" s="3">
        <f>IF(COUNT(D101,J101,K101,L101,M101,O101)&gt;0,AVERAGE(D101,J101,K101,L101,M101,O101),"")</f>
        <v/>
      </c>
      <c r="W101" s="3">
        <f>IF(COUNT(C101,F101,G101,N101,Q101)&gt;0,AVERAGE(C101,F101,G101,N101,Q101),"")</f>
        <v/>
      </c>
      <c r="X101" s="3">
        <f>IF(COUNT(B101,E101,H101,I101,P101,R101,S101)&gt;0,AVERAGE(B101,E101,H101,I101,P101,R101,S101),"")</f>
        <v/>
      </c>
      <c r="Y101" s="3" t="n"/>
      <c r="AJ101">
        <f>IFERROR(AVERAGEIF($A$4:$A$1004,AI101,$V$4:$V$1004),"")</f>
        <v/>
      </c>
      <c r="AK101">
        <f>IFERROR(AVERAGEIF($A$4:$A$1004,AI101,$W$4:$W$1004),"")</f>
        <v/>
      </c>
      <c r="AL101">
        <f>IFERROR(AVERAGEIF($A$4:$A$1004,AI101,$X$4:$X$1004),"")</f>
        <v/>
      </c>
    </row>
    <row r="102">
      <c r="A102" s="1">
        <f>IF(Data!A102&gt;0,Data!A102,"")</f>
        <v/>
      </c>
      <c r="B102" s="1">
        <f>IF(Data!B102&gt;0,Data!B102,"")</f>
        <v/>
      </c>
      <c r="C102" s="1">
        <f>IF(Data!C102&gt;0,Data!C102,"")</f>
        <v/>
      </c>
      <c r="D102" s="1">
        <f>IF(Data!D102&gt;0,Data!D102,"")</f>
        <v/>
      </c>
      <c r="E102" s="1">
        <f>IF(Data!E102&gt;0,Data!E102,"")</f>
        <v/>
      </c>
      <c r="F102" s="1">
        <f>IF(Data!F102&gt;0,Data!F102,"")</f>
        <v/>
      </c>
      <c r="G102" s="1">
        <f>IF(Data!G102&gt;0,Data!G102,"")</f>
        <v/>
      </c>
      <c r="H102" s="1">
        <f>IF(Data!H102&gt;0,Data!H102,"")</f>
        <v/>
      </c>
      <c r="I102" s="1">
        <f>IF(Data!I102&gt;0,Data!I102,"")</f>
        <v/>
      </c>
      <c r="J102" s="1">
        <f>IF(Data!J102&gt;0,Data!J102,"")</f>
        <v/>
      </c>
      <c r="K102" s="1">
        <f>IF(Data!K102&gt;0,Data!K102,"")</f>
        <v/>
      </c>
      <c r="L102" s="1">
        <f>IF(Data!L102&gt;0,Data!L102,"")</f>
        <v/>
      </c>
      <c r="M102" s="1">
        <f>IF(Data!M102&gt;0,Data!M102,"")</f>
        <v/>
      </c>
      <c r="N102" s="1">
        <f>IF(Data!N102&gt;0,Data!N102,"")</f>
        <v/>
      </c>
      <c r="O102" s="1">
        <f>IF(Data!O102&gt;0,Data!O102,"")</f>
        <v/>
      </c>
      <c r="P102" s="1">
        <f>IF(Data!P102&gt;0,Data!P102,"")</f>
        <v/>
      </c>
      <c r="Q102" s="1">
        <f>IF(Data!Q102&gt;0,Data!Q102,"")</f>
        <v/>
      </c>
      <c r="R102" s="1">
        <f>IF(Data!R102&gt;0,Data!R102,"")</f>
        <v/>
      </c>
      <c r="S102" s="1">
        <f>IF(Data!S102&gt;0,Data!S102,"")</f>
        <v/>
      </c>
      <c r="V102" s="3">
        <f>IF(COUNT(D102,J102,K102,L102,M102,O102)&gt;0,AVERAGE(D102,J102,K102,L102,M102,O102),"")</f>
        <v/>
      </c>
      <c r="W102" s="3">
        <f>IF(COUNT(C102,F102,G102,N102,Q102)&gt;0,AVERAGE(C102,F102,G102,N102,Q102),"")</f>
        <v/>
      </c>
      <c r="X102" s="3">
        <f>IF(COUNT(B102,E102,H102,I102,P102,R102,S102)&gt;0,AVERAGE(B102,E102,H102,I102,P102,R102,S102),"")</f>
        <v/>
      </c>
      <c r="Y102" s="3" t="n"/>
      <c r="AJ102">
        <f>IFERROR(AVERAGEIF($A$4:$A$1004,AI102,$V$4:$V$1004),"")</f>
        <v/>
      </c>
      <c r="AK102">
        <f>IFERROR(AVERAGEIF($A$4:$A$1004,AI102,$W$4:$W$1004),"")</f>
        <v/>
      </c>
      <c r="AL102">
        <f>IFERROR(AVERAGEIF($A$4:$A$1004,AI102,$X$4:$X$1004),"")</f>
        <v/>
      </c>
    </row>
    <row r="103">
      <c r="A103" s="1">
        <f>IF(Data!A103&gt;0,Data!A103,"")</f>
        <v/>
      </c>
      <c r="B103" s="1">
        <f>IF(Data!B103&gt;0,Data!B103,"")</f>
        <v/>
      </c>
      <c r="C103" s="1">
        <f>IF(Data!C103&gt;0,Data!C103,"")</f>
        <v/>
      </c>
      <c r="D103" s="1">
        <f>IF(Data!D103&gt;0,Data!D103,"")</f>
        <v/>
      </c>
      <c r="E103" s="1">
        <f>IF(Data!E103&gt;0,Data!E103,"")</f>
        <v/>
      </c>
      <c r="F103" s="1">
        <f>IF(Data!F103&gt;0,Data!F103,"")</f>
        <v/>
      </c>
      <c r="G103" s="1">
        <f>IF(Data!G103&gt;0,Data!G103,"")</f>
        <v/>
      </c>
      <c r="H103" s="1">
        <f>IF(Data!H103&gt;0,Data!H103,"")</f>
        <v/>
      </c>
      <c r="I103" s="1">
        <f>IF(Data!I103&gt;0,Data!I103,"")</f>
        <v/>
      </c>
      <c r="J103" s="1">
        <f>IF(Data!J103&gt;0,Data!J103,"")</f>
        <v/>
      </c>
      <c r="K103" s="1">
        <f>IF(Data!K103&gt;0,Data!K103,"")</f>
        <v/>
      </c>
      <c r="L103" s="1">
        <f>IF(Data!L103&gt;0,Data!L103,"")</f>
        <v/>
      </c>
      <c r="M103" s="1">
        <f>IF(Data!M103&gt;0,Data!M103,"")</f>
        <v/>
      </c>
      <c r="N103" s="1">
        <f>IF(Data!N103&gt;0,Data!N103,"")</f>
        <v/>
      </c>
      <c r="O103" s="1">
        <f>IF(Data!O103&gt;0,Data!O103,"")</f>
        <v/>
      </c>
      <c r="P103" s="1">
        <f>IF(Data!P103&gt;0,Data!P103,"")</f>
        <v/>
      </c>
      <c r="Q103" s="1">
        <f>IF(Data!Q103&gt;0,Data!Q103,"")</f>
        <v/>
      </c>
      <c r="R103" s="1">
        <f>IF(Data!R103&gt;0,Data!R103,"")</f>
        <v/>
      </c>
      <c r="S103" s="1">
        <f>IF(Data!S103&gt;0,Data!S103,"")</f>
        <v/>
      </c>
      <c r="V103" s="3">
        <f>IF(COUNT(D103,J103,K103,L103,M103,O103)&gt;0,AVERAGE(D103,J103,K103,L103,M103,O103),"")</f>
        <v/>
      </c>
      <c r="W103" s="3">
        <f>IF(COUNT(C103,F103,G103,N103,Q103)&gt;0,AVERAGE(C103,F103,G103,N103,Q103),"")</f>
        <v/>
      </c>
      <c r="X103" s="3">
        <f>IF(COUNT(B103,E103,H103,I103,P103,R103,S103)&gt;0,AVERAGE(B103,E103,H103,I103,P103,R103,S103),"")</f>
        <v/>
      </c>
      <c r="Y103" s="3" t="n"/>
      <c r="AJ103">
        <f>IFERROR(AVERAGEIF($A$4:$A$1004,AI103,$V$4:$V$1004),"")</f>
        <v/>
      </c>
      <c r="AK103">
        <f>IFERROR(AVERAGEIF($A$4:$A$1004,AI103,$W$4:$W$1004),"")</f>
        <v/>
      </c>
      <c r="AL103">
        <f>IFERROR(AVERAGEIF($A$4:$A$1004,AI103,$X$4:$X$1004),"")</f>
        <v/>
      </c>
    </row>
    <row r="104">
      <c r="A104" s="1">
        <f>IF(Data!A104&gt;0,Data!A104,"")</f>
        <v/>
      </c>
      <c r="B104" s="1">
        <f>IF(Data!B104&gt;0,Data!B104,"")</f>
        <v/>
      </c>
      <c r="C104" s="1">
        <f>IF(Data!C104&gt;0,Data!C104,"")</f>
        <v/>
      </c>
      <c r="D104" s="1">
        <f>IF(Data!D104&gt;0,Data!D104,"")</f>
        <v/>
      </c>
      <c r="E104" s="1">
        <f>IF(Data!E104&gt;0,Data!E104,"")</f>
        <v/>
      </c>
      <c r="F104" s="1">
        <f>IF(Data!F104&gt;0,Data!F104,"")</f>
        <v/>
      </c>
      <c r="G104" s="1">
        <f>IF(Data!G104&gt;0,Data!G104,"")</f>
        <v/>
      </c>
      <c r="H104" s="1">
        <f>IF(Data!H104&gt;0,Data!H104,"")</f>
        <v/>
      </c>
      <c r="I104" s="1">
        <f>IF(Data!I104&gt;0,Data!I104,"")</f>
        <v/>
      </c>
      <c r="J104" s="1">
        <f>IF(Data!J104&gt;0,Data!J104,"")</f>
        <v/>
      </c>
      <c r="K104" s="1">
        <f>IF(Data!K104&gt;0,Data!K104,"")</f>
        <v/>
      </c>
      <c r="L104" s="1">
        <f>IF(Data!L104&gt;0,Data!L104,"")</f>
        <v/>
      </c>
      <c r="M104" s="1">
        <f>IF(Data!M104&gt;0,Data!M104,"")</f>
        <v/>
      </c>
      <c r="N104" s="1">
        <f>IF(Data!N104&gt;0,Data!N104,"")</f>
        <v/>
      </c>
      <c r="O104" s="1">
        <f>IF(Data!O104&gt;0,Data!O104,"")</f>
        <v/>
      </c>
      <c r="P104" s="1">
        <f>IF(Data!P104&gt;0,Data!P104,"")</f>
        <v/>
      </c>
      <c r="Q104" s="1">
        <f>IF(Data!Q104&gt;0,Data!Q104,"")</f>
        <v/>
      </c>
      <c r="R104" s="1">
        <f>IF(Data!R104&gt;0,Data!R104,"")</f>
        <v/>
      </c>
      <c r="S104" s="1">
        <f>IF(Data!S104&gt;0,Data!S104,"")</f>
        <v/>
      </c>
      <c r="V104" s="3">
        <f>IF(COUNT(D104,J104,K104,L104,M104,O104)&gt;0,AVERAGE(D104,J104,K104,L104,M104,O104),"")</f>
        <v/>
      </c>
      <c r="W104" s="3">
        <f>IF(COUNT(C104,F104,G104,N104,Q104)&gt;0,AVERAGE(C104,F104,G104,N104,Q104),"")</f>
        <v/>
      </c>
      <c r="X104" s="3">
        <f>IF(COUNT(B104,E104,H104,I104,P104,R104,S104)&gt;0,AVERAGE(B104,E104,H104,I104,P104,R104,S104),"")</f>
        <v/>
      </c>
      <c r="Y104" s="3" t="n"/>
      <c r="AJ104">
        <f>IFERROR(AVERAGEIF($A$4:$A$1004,AI104,$V$4:$V$1004),"")</f>
        <v/>
      </c>
      <c r="AK104">
        <f>IFERROR(AVERAGEIF($A$4:$A$1004,AI104,$W$4:$W$1004),"")</f>
        <v/>
      </c>
      <c r="AL104">
        <f>IFERROR(AVERAGEIF($A$4:$A$1004,AI104,$X$4:$X$1004),"")</f>
        <v/>
      </c>
    </row>
    <row r="105">
      <c r="A105" s="1">
        <f>IF(Data!A105&gt;0,Data!A105,"")</f>
        <v/>
      </c>
      <c r="B105" s="1">
        <f>IF(Data!B105&gt;0,Data!B105,"")</f>
        <v/>
      </c>
      <c r="C105" s="1">
        <f>IF(Data!C105&gt;0,Data!C105,"")</f>
        <v/>
      </c>
      <c r="D105" s="1">
        <f>IF(Data!D105&gt;0,Data!D105,"")</f>
        <v/>
      </c>
      <c r="E105" s="1">
        <f>IF(Data!E105&gt;0,Data!E105,"")</f>
        <v/>
      </c>
      <c r="F105" s="1">
        <f>IF(Data!F105&gt;0,Data!F105,"")</f>
        <v/>
      </c>
      <c r="G105" s="1">
        <f>IF(Data!G105&gt;0,Data!G105,"")</f>
        <v/>
      </c>
      <c r="H105" s="1">
        <f>IF(Data!H105&gt;0,Data!H105,"")</f>
        <v/>
      </c>
      <c r="I105" s="1">
        <f>IF(Data!I105&gt;0,Data!I105,"")</f>
        <v/>
      </c>
      <c r="J105" s="1">
        <f>IF(Data!J105&gt;0,Data!J105,"")</f>
        <v/>
      </c>
      <c r="K105" s="1">
        <f>IF(Data!K105&gt;0,Data!K105,"")</f>
        <v/>
      </c>
      <c r="L105" s="1">
        <f>IF(Data!L105&gt;0,Data!L105,"")</f>
        <v/>
      </c>
      <c r="M105" s="1">
        <f>IF(Data!M105&gt;0,Data!M105,"")</f>
        <v/>
      </c>
      <c r="N105" s="1">
        <f>IF(Data!N105&gt;0,Data!N105,"")</f>
        <v/>
      </c>
      <c r="O105" s="1">
        <f>IF(Data!O105&gt;0,Data!O105,"")</f>
        <v/>
      </c>
      <c r="P105" s="1">
        <f>IF(Data!P105&gt;0,Data!P105,"")</f>
        <v/>
      </c>
      <c r="Q105" s="1">
        <f>IF(Data!Q105&gt;0,Data!Q105,"")</f>
        <v/>
      </c>
      <c r="R105" s="1">
        <f>IF(Data!R105&gt;0,Data!R105,"")</f>
        <v/>
      </c>
      <c r="S105" s="1">
        <f>IF(Data!S105&gt;0,Data!S105,"")</f>
        <v/>
      </c>
      <c r="V105" s="3">
        <f>IF(COUNT(D105,J105,K105,L105,M105,O105)&gt;0,AVERAGE(D105,J105,K105,L105,M105,O105),"")</f>
        <v/>
      </c>
      <c r="W105" s="3">
        <f>IF(COUNT(C105,F105,G105,N105,Q105)&gt;0,AVERAGE(C105,F105,G105,N105,Q105),"")</f>
        <v/>
      </c>
      <c r="X105" s="3">
        <f>IF(COUNT(B105,E105,H105,I105,P105,R105,S105)&gt;0,AVERAGE(B105,E105,H105,I105,P105,R105,S105),"")</f>
        <v/>
      </c>
      <c r="Y105" s="3" t="n"/>
      <c r="AJ105">
        <f>IFERROR(AVERAGEIF($A$4:$A$1004,AI105,$V$4:$V$1004),"")</f>
        <v/>
      </c>
      <c r="AK105">
        <f>IFERROR(AVERAGEIF($A$4:$A$1004,AI105,$W$4:$W$1004),"")</f>
        <v/>
      </c>
      <c r="AL105">
        <f>IFERROR(AVERAGEIF($A$4:$A$1004,AI105,$X$4:$X$1004),"")</f>
        <v/>
      </c>
    </row>
    <row r="106">
      <c r="A106" s="1">
        <f>IF(Data!A106&gt;0,Data!A106,"")</f>
        <v/>
      </c>
      <c r="B106" s="1">
        <f>IF(Data!B106&gt;0,Data!B106,"")</f>
        <v/>
      </c>
      <c r="C106" s="1">
        <f>IF(Data!C106&gt;0,Data!C106,"")</f>
        <v/>
      </c>
      <c r="D106" s="1">
        <f>IF(Data!D106&gt;0,Data!D106,"")</f>
        <v/>
      </c>
      <c r="E106" s="1">
        <f>IF(Data!E106&gt;0,Data!E106,"")</f>
        <v/>
      </c>
      <c r="F106" s="1">
        <f>IF(Data!F106&gt;0,Data!F106,"")</f>
        <v/>
      </c>
      <c r="G106" s="1">
        <f>IF(Data!G106&gt;0,Data!G106,"")</f>
        <v/>
      </c>
      <c r="H106" s="1">
        <f>IF(Data!H106&gt;0,Data!H106,"")</f>
        <v/>
      </c>
      <c r="I106" s="1">
        <f>IF(Data!I106&gt;0,Data!I106,"")</f>
        <v/>
      </c>
      <c r="J106" s="1">
        <f>IF(Data!J106&gt;0,Data!J106,"")</f>
        <v/>
      </c>
      <c r="K106" s="1">
        <f>IF(Data!K106&gt;0,Data!K106,"")</f>
        <v/>
      </c>
      <c r="L106" s="1">
        <f>IF(Data!L106&gt;0,Data!L106,"")</f>
        <v/>
      </c>
      <c r="M106" s="1">
        <f>IF(Data!M106&gt;0,Data!M106,"")</f>
        <v/>
      </c>
      <c r="N106" s="1">
        <f>IF(Data!N106&gt;0,Data!N106,"")</f>
        <v/>
      </c>
      <c r="O106" s="1">
        <f>IF(Data!O106&gt;0,Data!O106,"")</f>
        <v/>
      </c>
      <c r="P106" s="1">
        <f>IF(Data!P106&gt;0,Data!P106,"")</f>
        <v/>
      </c>
      <c r="Q106" s="1">
        <f>IF(Data!Q106&gt;0,Data!Q106,"")</f>
        <v/>
      </c>
      <c r="R106" s="1">
        <f>IF(Data!R106&gt;0,Data!R106,"")</f>
        <v/>
      </c>
      <c r="S106" s="1">
        <f>IF(Data!S106&gt;0,Data!S106,"")</f>
        <v/>
      </c>
      <c r="V106" s="3">
        <f>IF(COUNT(D106,J106,K106,L106,M106,O106)&gt;0,AVERAGE(D106,J106,K106,L106,M106,O106),"")</f>
        <v/>
      </c>
      <c r="W106" s="3">
        <f>IF(COUNT(C106,F106,G106,N106,Q106)&gt;0,AVERAGE(C106,F106,G106,N106,Q106),"")</f>
        <v/>
      </c>
      <c r="X106" s="3">
        <f>IF(COUNT(B106,E106,H106,I106,P106,R106,S106)&gt;0,AVERAGE(B106,E106,H106,I106,P106,R106,S106),"")</f>
        <v/>
      </c>
      <c r="Y106" s="3" t="n"/>
      <c r="AJ106">
        <f>IFERROR(AVERAGEIF($A$4:$A$1004,AI106,$V$4:$V$1004),"")</f>
        <v/>
      </c>
      <c r="AK106">
        <f>IFERROR(AVERAGEIF($A$4:$A$1004,AI106,$W$4:$W$1004),"")</f>
        <v/>
      </c>
      <c r="AL106">
        <f>IFERROR(AVERAGEIF($A$4:$A$1004,AI106,$X$4:$X$1004),"")</f>
        <v/>
      </c>
    </row>
    <row r="107">
      <c r="A107" s="1">
        <f>IF(Data!A107&gt;0,Data!A107,"")</f>
        <v/>
      </c>
      <c r="B107" s="1">
        <f>IF(Data!B107&gt;0,Data!B107,"")</f>
        <v/>
      </c>
      <c r="C107" s="1">
        <f>IF(Data!C107&gt;0,Data!C107,"")</f>
        <v/>
      </c>
      <c r="D107" s="1">
        <f>IF(Data!D107&gt;0,Data!D107,"")</f>
        <v/>
      </c>
      <c r="E107" s="1">
        <f>IF(Data!E107&gt;0,Data!E107,"")</f>
        <v/>
      </c>
      <c r="F107" s="1">
        <f>IF(Data!F107&gt;0,Data!F107,"")</f>
        <v/>
      </c>
      <c r="G107" s="1">
        <f>IF(Data!G107&gt;0,Data!G107,"")</f>
        <v/>
      </c>
      <c r="H107" s="1">
        <f>IF(Data!H107&gt;0,Data!H107,"")</f>
        <v/>
      </c>
      <c r="I107" s="1">
        <f>IF(Data!I107&gt;0,Data!I107,"")</f>
        <v/>
      </c>
      <c r="J107" s="1">
        <f>IF(Data!J107&gt;0,Data!J107,"")</f>
        <v/>
      </c>
      <c r="K107" s="1">
        <f>IF(Data!K107&gt;0,Data!K107,"")</f>
        <v/>
      </c>
      <c r="L107" s="1">
        <f>IF(Data!L107&gt;0,Data!L107,"")</f>
        <v/>
      </c>
      <c r="M107" s="1">
        <f>IF(Data!M107&gt;0,Data!M107,"")</f>
        <v/>
      </c>
      <c r="N107" s="1">
        <f>IF(Data!N107&gt;0,Data!N107,"")</f>
        <v/>
      </c>
      <c r="O107" s="1">
        <f>IF(Data!O107&gt;0,Data!O107,"")</f>
        <v/>
      </c>
      <c r="P107" s="1">
        <f>IF(Data!P107&gt;0,Data!P107,"")</f>
        <v/>
      </c>
      <c r="Q107" s="1">
        <f>IF(Data!Q107&gt;0,Data!Q107,"")</f>
        <v/>
      </c>
      <c r="R107" s="1">
        <f>IF(Data!R107&gt;0,Data!R107,"")</f>
        <v/>
      </c>
      <c r="S107" s="1">
        <f>IF(Data!S107&gt;0,Data!S107,"")</f>
        <v/>
      </c>
      <c r="V107" s="3">
        <f>IF(COUNT(D107,J107,K107,L107,M107,O107)&gt;0,AVERAGE(D107,J107,K107,L107,M107,O107),"")</f>
        <v/>
      </c>
      <c r="W107" s="3">
        <f>IF(COUNT(C107,F107,G107,N107,Q107)&gt;0,AVERAGE(C107,F107,G107,N107,Q107),"")</f>
        <v/>
      </c>
      <c r="X107" s="3">
        <f>IF(COUNT(B107,E107,H107,I107,P107,R107,S107)&gt;0,AVERAGE(B107,E107,H107,I107,P107,R107,S107),"")</f>
        <v/>
      </c>
      <c r="Y107" s="3" t="n"/>
      <c r="AJ107">
        <f>IFERROR(AVERAGEIF($A$4:$A$1004,AI107,$V$4:$V$1004),"")</f>
        <v/>
      </c>
      <c r="AK107">
        <f>IFERROR(AVERAGEIF($A$4:$A$1004,AI107,$W$4:$W$1004),"")</f>
        <v/>
      </c>
      <c r="AL107">
        <f>IFERROR(AVERAGEIF($A$4:$A$1004,AI107,$X$4:$X$1004),"")</f>
        <v/>
      </c>
    </row>
    <row r="108">
      <c r="A108" s="1">
        <f>IF(Data!A108&gt;0,Data!A108,"")</f>
        <v/>
      </c>
      <c r="B108" s="1">
        <f>IF(Data!B108&gt;0,Data!B108,"")</f>
        <v/>
      </c>
      <c r="C108" s="1">
        <f>IF(Data!C108&gt;0,Data!C108,"")</f>
        <v/>
      </c>
      <c r="D108" s="1">
        <f>IF(Data!D108&gt;0,Data!D108,"")</f>
        <v/>
      </c>
      <c r="E108" s="1">
        <f>IF(Data!E108&gt;0,Data!E108,"")</f>
        <v/>
      </c>
      <c r="F108" s="1">
        <f>IF(Data!F108&gt;0,Data!F108,"")</f>
        <v/>
      </c>
      <c r="G108" s="1">
        <f>IF(Data!G108&gt;0,Data!G108,"")</f>
        <v/>
      </c>
      <c r="H108" s="1">
        <f>IF(Data!H108&gt;0,Data!H108,"")</f>
        <v/>
      </c>
      <c r="I108" s="1">
        <f>IF(Data!I108&gt;0,Data!I108,"")</f>
        <v/>
      </c>
      <c r="J108" s="1">
        <f>IF(Data!J108&gt;0,Data!J108,"")</f>
        <v/>
      </c>
      <c r="K108" s="1">
        <f>IF(Data!K108&gt;0,Data!K108,"")</f>
        <v/>
      </c>
      <c r="L108" s="1">
        <f>IF(Data!L108&gt;0,Data!L108,"")</f>
        <v/>
      </c>
      <c r="M108" s="1">
        <f>IF(Data!M108&gt;0,Data!M108,"")</f>
        <v/>
      </c>
      <c r="N108" s="1">
        <f>IF(Data!N108&gt;0,Data!N108,"")</f>
        <v/>
      </c>
      <c r="O108" s="1">
        <f>IF(Data!O108&gt;0,Data!O108,"")</f>
        <v/>
      </c>
      <c r="P108" s="1">
        <f>IF(Data!P108&gt;0,Data!P108,"")</f>
        <v/>
      </c>
      <c r="Q108" s="1">
        <f>IF(Data!Q108&gt;0,Data!Q108,"")</f>
        <v/>
      </c>
      <c r="R108" s="1">
        <f>IF(Data!R108&gt;0,Data!R108,"")</f>
        <v/>
      </c>
      <c r="S108" s="1">
        <f>IF(Data!S108&gt;0,Data!S108,"")</f>
        <v/>
      </c>
      <c r="V108" s="3">
        <f>IF(COUNT(D108,J108,K108,L108,M108,O108)&gt;0,AVERAGE(D108,J108,K108,L108,M108,O108),"")</f>
        <v/>
      </c>
      <c r="W108" s="3">
        <f>IF(COUNT(C108,F108,G108,N108,Q108)&gt;0,AVERAGE(C108,F108,G108,N108,Q108),"")</f>
        <v/>
      </c>
      <c r="X108" s="3">
        <f>IF(COUNT(B108,E108,H108,I108,P108,R108,S108)&gt;0,AVERAGE(B108,E108,H108,I108,P108,R108,S108),"")</f>
        <v/>
      </c>
      <c r="Y108" s="3" t="n"/>
      <c r="AJ108">
        <f>IFERROR(AVERAGEIF($A$4:$A$1004,AI108,$V$4:$V$1004),"")</f>
        <v/>
      </c>
      <c r="AK108">
        <f>IFERROR(AVERAGEIF($A$4:$A$1004,AI108,$W$4:$W$1004),"")</f>
        <v/>
      </c>
      <c r="AL108">
        <f>IFERROR(AVERAGEIF($A$4:$A$1004,AI108,$X$4:$X$1004),"")</f>
        <v/>
      </c>
    </row>
    <row r="109">
      <c r="A109" s="1">
        <f>IF(Data!A109&gt;0,Data!A109,"")</f>
        <v/>
      </c>
      <c r="B109" s="1">
        <f>IF(Data!B109&gt;0,Data!B109,"")</f>
        <v/>
      </c>
      <c r="C109" s="1">
        <f>IF(Data!C109&gt;0,Data!C109,"")</f>
        <v/>
      </c>
      <c r="D109" s="1">
        <f>IF(Data!D109&gt;0,Data!D109,"")</f>
        <v/>
      </c>
      <c r="E109" s="1">
        <f>IF(Data!E109&gt;0,Data!E109,"")</f>
        <v/>
      </c>
      <c r="F109" s="1">
        <f>IF(Data!F109&gt;0,Data!F109,"")</f>
        <v/>
      </c>
      <c r="G109" s="1">
        <f>IF(Data!G109&gt;0,Data!G109,"")</f>
        <v/>
      </c>
      <c r="H109" s="1">
        <f>IF(Data!H109&gt;0,Data!H109,"")</f>
        <v/>
      </c>
      <c r="I109" s="1">
        <f>IF(Data!I109&gt;0,Data!I109,"")</f>
        <v/>
      </c>
      <c r="J109" s="1">
        <f>IF(Data!J109&gt;0,Data!J109,"")</f>
        <v/>
      </c>
      <c r="K109" s="1">
        <f>IF(Data!K109&gt;0,Data!K109,"")</f>
        <v/>
      </c>
      <c r="L109" s="1">
        <f>IF(Data!L109&gt;0,Data!L109,"")</f>
        <v/>
      </c>
      <c r="M109" s="1">
        <f>IF(Data!M109&gt;0,Data!M109,"")</f>
        <v/>
      </c>
      <c r="N109" s="1">
        <f>IF(Data!N109&gt;0,Data!N109,"")</f>
        <v/>
      </c>
      <c r="O109" s="1">
        <f>IF(Data!O109&gt;0,Data!O109,"")</f>
        <v/>
      </c>
      <c r="P109" s="1">
        <f>IF(Data!P109&gt;0,Data!P109,"")</f>
        <v/>
      </c>
      <c r="Q109" s="1">
        <f>IF(Data!Q109&gt;0,Data!Q109,"")</f>
        <v/>
      </c>
      <c r="R109" s="1">
        <f>IF(Data!R109&gt;0,Data!R109,"")</f>
        <v/>
      </c>
      <c r="S109" s="1">
        <f>IF(Data!S109&gt;0,Data!S109,"")</f>
        <v/>
      </c>
      <c r="V109" s="3">
        <f>IF(COUNT(D109,J109,K109,L109,M109,O109)&gt;0,AVERAGE(D109,J109,K109,L109,M109,O109),"")</f>
        <v/>
      </c>
      <c r="W109" s="3">
        <f>IF(COUNT(C109,F109,G109,N109,Q109)&gt;0,AVERAGE(C109,F109,G109,N109,Q109),"")</f>
        <v/>
      </c>
      <c r="X109" s="3">
        <f>IF(COUNT(B109,E109,H109,I109,P109,R109,S109)&gt;0,AVERAGE(B109,E109,H109,I109,P109,R109,S109),"")</f>
        <v/>
      </c>
      <c r="Y109" s="3" t="n"/>
      <c r="AJ109">
        <f>IFERROR(AVERAGEIF($A$4:$A$1004,AI109,$V$4:$V$1004),"")</f>
        <v/>
      </c>
      <c r="AK109">
        <f>IFERROR(AVERAGEIF($A$4:$A$1004,AI109,$W$4:$W$1004),"")</f>
        <v/>
      </c>
      <c r="AL109">
        <f>IFERROR(AVERAGEIF($A$4:$A$1004,AI109,$X$4:$X$1004),"")</f>
        <v/>
      </c>
    </row>
    <row r="110">
      <c r="A110" s="1">
        <f>IF(Data!A110&gt;0,Data!A110,"")</f>
        <v/>
      </c>
      <c r="B110" s="1">
        <f>IF(Data!B110&gt;0,Data!B110,"")</f>
        <v/>
      </c>
      <c r="C110" s="1">
        <f>IF(Data!C110&gt;0,Data!C110,"")</f>
        <v/>
      </c>
      <c r="D110" s="1">
        <f>IF(Data!D110&gt;0,Data!D110,"")</f>
        <v/>
      </c>
      <c r="E110" s="1">
        <f>IF(Data!E110&gt;0,Data!E110,"")</f>
        <v/>
      </c>
      <c r="F110" s="1">
        <f>IF(Data!F110&gt;0,Data!F110,"")</f>
        <v/>
      </c>
      <c r="G110" s="1">
        <f>IF(Data!G110&gt;0,Data!G110,"")</f>
        <v/>
      </c>
      <c r="H110" s="1">
        <f>IF(Data!H110&gt;0,Data!H110,"")</f>
        <v/>
      </c>
      <c r="I110" s="1">
        <f>IF(Data!I110&gt;0,Data!I110,"")</f>
        <v/>
      </c>
      <c r="J110" s="1">
        <f>IF(Data!J110&gt;0,Data!J110,"")</f>
        <v/>
      </c>
      <c r="K110" s="1">
        <f>IF(Data!K110&gt;0,Data!K110,"")</f>
        <v/>
      </c>
      <c r="L110" s="1">
        <f>IF(Data!L110&gt;0,Data!L110,"")</f>
        <v/>
      </c>
      <c r="M110" s="1">
        <f>IF(Data!M110&gt;0,Data!M110,"")</f>
        <v/>
      </c>
      <c r="N110" s="1">
        <f>IF(Data!N110&gt;0,Data!N110,"")</f>
        <v/>
      </c>
      <c r="O110" s="1">
        <f>IF(Data!O110&gt;0,Data!O110,"")</f>
        <v/>
      </c>
      <c r="P110" s="1">
        <f>IF(Data!P110&gt;0,Data!P110,"")</f>
        <v/>
      </c>
      <c r="Q110" s="1">
        <f>IF(Data!Q110&gt;0,Data!Q110,"")</f>
        <v/>
      </c>
      <c r="R110" s="1">
        <f>IF(Data!R110&gt;0,Data!R110,"")</f>
        <v/>
      </c>
      <c r="S110" s="1">
        <f>IF(Data!S110&gt;0,Data!S110,"")</f>
        <v/>
      </c>
      <c r="V110" s="3">
        <f>IF(COUNT(D110,J110,K110,L110,M110,O110)&gt;0,AVERAGE(D110,J110,K110,L110,M110,O110),"")</f>
        <v/>
      </c>
      <c r="W110" s="3">
        <f>IF(COUNT(C110,F110,G110,N110,Q110)&gt;0,AVERAGE(C110,F110,G110,N110,Q110),"")</f>
        <v/>
      </c>
      <c r="X110" s="3">
        <f>IF(COUNT(B110,E110,H110,I110,P110,R110,S110)&gt;0,AVERAGE(B110,E110,H110,I110,P110,R110,S110),"")</f>
        <v/>
      </c>
      <c r="Y110" s="3" t="n"/>
      <c r="AJ110">
        <f>IFERROR(AVERAGEIF($A$4:$A$1004,AI110,$V$4:$V$1004),"")</f>
        <v/>
      </c>
      <c r="AK110">
        <f>IFERROR(AVERAGEIF($A$4:$A$1004,AI110,$W$4:$W$1004),"")</f>
        <v/>
      </c>
      <c r="AL110">
        <f>IFERROR(AVERAGEIF($A$4:$A$1004,AI110,$X$4:$X$1004),"")</f>
        <v/>
      </c>
    </row>
    <row r="111">
      <c r="A111" s="1">
        <f>IF(Data!A111&gt;0,Data!A111,"")</f>
        <v/>
      </c>
      <c r="B111" s="1">
        <f>IF(Data!B111&gt;0,Data!B111,"")</f>
        <v/>
      </c>
      <c r="C111" s="1">
        <f>IF(Data!C111&gt;0,Data!C111,"")</f>
        <v/>
      </c>
      <c r="D111" s="1">
        <f>IF(Data!D111&gt;0,Data!D111,"")</f>
        <v/>
      </c>
      <c r="E111" s="1">
        <f>IF(Data!E111&gt;0,Data!E111,"")</f>
        <v/>
      </c>
      <c r="F111" s="1">
        <f>IF(Data!F111&gt;0,Data!F111,"")</f>
        <v/>
      </c>
      <c r="G111" s="1">
        <f>IF(Data!G111&gt;0,Data!G111,"")</f>
        <v/>
      </c>
      <c r="H111" s="1">
        <f>IF(Data!H111&gt;0,Data!H111,"")</f>
        <v/>
      </c>
      <c r="I111" s="1">
        <f>IF(Data!I111&gt;0,Data!I111,"")</f>
        <v/>
      </c>
      <c r="J111" s="1">
        <f>IF(Data!J111&gt;0,Data!J111,"")</f>
        <v/>
      </c>
      <c r="K111" s="1">
        <f>IF(Data!K111&gt;0,Data!K111,"")</f>
        <v/>
      </c>
      <c r="L111" s="1">
        <f>IF(Data!L111&gt;0,Data!L111,"")</f>
        <v/>
      </c>
      <c r="M111" s="1">
        <f>IF(Data!M111&gt;0,Data!M111,"")</f>
        <v/>
      </c>
      <c r="N111" s="1">
        <f>IF(Data!N111&gt;0,Data!N111,"")</f>
        <v/>
      </c>
      <c r="O111" s="1">
        <f>IF(Data!O111&gt;0,Data!O111,"")</f>
        <v/>
      </c>
      <c r="P111" s="1">
        <f>IF(Data!P111&gt;0,Data!P111,"")</f>
        <v/>
      </c>
      <c r="Q111" s="1">
        <f>IF(Data!Q111&gt;0,Data!Q111,"")</f>
        <v/>
      </c>
      <c r="R111" s="1">
        <f>IF(Data!R111&gt;0,Data!R111,"")</f>
        <v/>
      </c>
      <c r="S111" s="1">
        <f>IF(Data!S111&gt;0,Data!S111,"")</f>
        <v/>
      </c>
      <c r="V111" s="3">
        <f>IF(COUNT(D111,J111,K111,L111,M111,O111)&gt;0,AVERAGE(D111,J111,K111,L111,M111,O111),"")</f>
        <v/>
      </c>
      <c r="W111" s="3">
        <f>IF(COUNT(C111,F111,G111,N111,Q111)&gt;0,AVERAGE(C111,F111,G111,N111,Q111),"")</f>
        <v/>
      </c>
      <c r="X111" s="3">
        <f>IF(COUNT(B111,E111,H111,I111,P111,R111,S111)&gt;0,AVERAGE(B111,E111,H111,I111,P111,R111,S111),"")</f>
        <v/>
      </c>
      <c r="Y111" s="3" t="n"/>
      <c r="AJ111">
        <f>IFERROR(AVERAGEIF($A$4:$A$1004,AI111,$V$4:$V$1004),"")</f>
        <v/>
      </c>
      <c r="AK111">
        <f>IFERROR(AVERAGEIF($A$4:$A$1004,AI111,$W$4:$W$1004),"")</f>
        <v/>
      </c>
      <c r="AL111">
        <f>IFERROR(AVERAGEIF($A$4:$A$1004,AI111,$X$4:$X$1004),"")</f>
        <v/>
      </c>
    </row>
    <row r="112">
      <c r="A112" s="1">
        <f>IF(Data!A112&gt;0,Data!A112,"")</f>
        <v/>
      </c>
      <c r="B112" s="1">
        <f>IF(Data!B112&gt;0,Data!B112,"")</f>
        <v/>
      </c>
      <c r="C112" s="1">
        <f>IF(Data!C112&gt;0,Data!C112,"")</f>
        <v/>
      </c>
      <c r="D112" s="1">
        <f>IF(Data!D112&gt;0,Data!D112,"")</f>
        <v/>
      </c>
      <c r="E112" s="1">
        <f>IF(Data!E112&gt;0,Data!E112,"")</f>
        <v/>
      </c>
      <c r="F112" s="1">
        <f>IF(Data!F112&gt;0,Data!F112,"")</f>
        <v/>
      </c>
      <c r="G112" s="1">
        <f>IF(Data!G112&gt;0,Data!G112,"")</f>
        <v/>
      </c>
      <c r="H112" s="1">
        <f>IF(Data!H112&gt;0,Data!H112,"")</f>
        <v/>
      </c>
      <c r="I112" s="1">
        <f>IF(Data!I112&gt;0,Data!I112,"")</f>
        <v/>
      </c>
      <c r="J112" s="1">
        <f>IF(Data!J112&gt;0,Data!J112,"")</f>
        <v/>
      </c>
      <c r="K112" s="1">
        <f>IF(Data!K112&gt;0,Data!K112,"")</f>
        <v/>
      </c>
      <c r="L112" s="1">
        <f>IF(Data!L112&gt;0,Data!L112,"")</f>
        <v/>
      </c>
      <c r="M112" s="1">
        <f>IF(Data!M112&gt;0,Data!M112,"")</f>
        <v/>
      </c>
      <c r="N112" s="1">
        <f>IF(Data!N112&gt;0,Data!N112,"")</f>
        <v/>
      </c>
      <c r="O112" s="1">
        <f>IF(Data!O112&gt;0,Data!O112,"")</f>
        <v/>
      </c>
      <c r="P112" s="1">
        <f>IF(Data!P112&gt;0,Data!P112,"")</f>
        <v/>
      </c>
      <c r="Q112" s="1">
        <f>IF(Data!Q112&gt;0,Data!Q112,"")</f>
        <v/>
      </c>
      <c r="R112" s="1">
        <f>IF(Data!R112&gt;0,Data!R112,"")</f>
        <v/>
      </c>
      <c r="S112" s="1">
        <f>IF(Data!S112&gt;0,Data!S112,"")</f>
        <v/>
      </c>
      <c r="V112" s="3">
        <f>IF(COUNT(D112,J112,K112,L112,M112,O112)&gt;0,AVERAGE(D112,J112,K112,L112,M112,O112),"")</f>
        <v/>
      </c>
      <c r="W112" s="3">
        <f>IF(COUNT(C112,F112,G112,N112,Q112)&gt;0,AVERAGE(C112,F112,G112,N112,Q112),"")</f>
        <v/>
      </c>
      <c r="X112" s="3">
        <f>IF(COUNT(B112,E112,H112,I112,P112,R112,S112)&gt;0,AVERAGE(B112,E112,H112,I112,P112,R112,S112),"")</f>
        <v/>
      </c>
      <c r="Y112" s="3" t="n"/>
      <c r="AJ112">
        <f>IFERROR(AVERAGEIF($A$4:$A$1004,AI112,$V$4:$V$1004),"")</f>
        <v/>
      </c>
      <c r="AK112">
        <f>IFERROR(AVERAGEIF($A$4:$A$1004,AI112,$W$4:$W$1004),"")</f>
        <v/>
      </c>
      <c r="AL112">
        <f>IFERROR(AVERAGEIF($A$4:$A$1004,AI112,$X$4:$X$1004),"")</f>
        <v/>
      </c>
    </row>
    <row r="113">
      <c r="A113" s="1">
        <f>IF(Data!A113&gt;0,Data!A113,"")</f>
        <v/>
      </c>
      <c r="B113" s="1">
        <f>IF(Data!B113&gt;0,Data!B113,"")</f>
        <v/>
      </c>
      <c r="C113" s="1">
        <f>IF(Data!C113&gt;0,Data!C113,"")</f>
        <v/>
      </c>
      <c r="D113" s="1">
        <f>IF(Data!D113&gt;0,Data!D113,"")</f>
        <v/>
      </c>
      <c r="E113" s="1">
        <f>IF(Data!E113&gt;0,Data!E113,"")</f>
        <v/>
      </c>
      <c r="F113" s="1">
        <f>IF(Data!F113&gt;0,Data!F113,"")</f>
        <v/>
      </c>
      <c r="G113" s="1">
        <f>IF(Data!G113&gt;0,Data!G113,"")</f>
        <v/>
      </c>
      <c r="H113" s="1">
        <f>IF(Data!H113&gt;0,Data!H113,"")</f>
        <v/>
      </c>
      <c r="I113" s="1">
        <f>IF(Data!I113&gt;0,Data!I113,"")</f>
        <v/>
      </c>
      <c r="J113" s="1">
        <f>IF(Data!J113&gt;0,Data!J113,"")</f>
        <v/>
      </c>
      <c r="K113" s="1">
        <f>IF(Data!K113&gt;0,Data!K113,"")</f>
        <v/>
      </c>
      <c r="L113" s="1">
        <f>IF(Data!L113&gt;0,Data!L113,"")</f>
        <v/>
      </c>
      <c r="M113" s="1">
        <f>IF(Data!M113&gt;0,Data!M113,"")</f>
        <v/>
      </c>
      <c r="N113" s="1">
        <f>IF(Data!N113&gt;0,Data!N113,"")</f>
        <v/>
      </c>
      <c r="O113" s="1">
        <f>IF(Data!O113&gt;0,Data!O113,"")</f>
        <v/>
      </c>
      <c r="P113" s="1">
        <f>IF(Data!P113&gt;0,Data!P113,"")</f>
        <v/>
      </c>
      <c r="Q113" s="1">
        <f>IF(Data!Q113&gt;0,Data!Q113,"")</f>
        <v/>
      </c>
      <c r="R113" s="1">
        <f>IF(Data!R113&gt;0,Data!R113,"")</f>
        <v/>
      </c>
      <c r="S113" s="1">
        <f>IF(Data!S113&gt;0,Data!S113,"")</f>
        <v/>
      </c>
      <c r="V113" s="3">
        <f>IF(COUNT(D113,J113,K113,L113,M113,O113)&gt;0,AVERAGE(D113,J113,K113,L113,M113,O113),"")</f>
        <v/>
      </c>
      <c r="W113" s="3">
        <f>IF(COUNT(C113,F113,G113,N113,Q113)&gt;0,AVERAGE(C113,F113,G113,N113,Q113),"")</f>
        <v/>
      </c>
      <c r="X113" s="3">
        <f>IF(COUNT(B113,E113,H113,I113,P113,R113,S113)&gt;0,AVERAGE(B113,E113,H113,I113,P113,R113,S113),"")</f>
        <v/>
      </c>
      <c r="Y113" s="3" t="n"/>
      <c r="AJ113">
        <f>IFERROR(AVERAGEIF($A$4:$A$1004,AI113,$V$4:$V$1004),"")</f>
        <v/>
      </c>
      <c r="AK113">
        <f>IFERROR(AVERAGEIF($A$4:$A$1004,AI113,$W$4:$W$1004),"")</f>
        <v/>
      </c>
      <c r="AL113">
        <f>IFERROR(AVERAGEIF($A$4:$A$1004,AI113,$X$4:$X$1004),"")</f>
        <v/>
      </c>
    </row>
    <row r="114">
      <c r="A114" s="1">
        <f>IF(Data!A114&gt;0,Data!A114,"")</f>
        <v/>
      </c>
      <c r="B114" s="1">
        <f>IF(Data!B114&gt;0,Data!B114,"")</f>
        <v/>
      </c>
      <c r="C114" s="1">
        <f>IF(Data!C114&gt;0,Data!C114,"")</f>
        <v/>
      </c>
      <c r="D114" s="1">
        <f>IF(Data!D114&gt;0,Data!D114,"")</f>
        <v/>
      </c>
      <c r="E114" s="1">
        <f>IF(Data!E114&gt;0,Data!E114,"")</f>
        <v/>
      </c>
      <c r="F114" s="1">
        <f>IF(Data!F114&gt;0,Data!F114,"")</f>
        <v/>
      </c>
      <c r="G114" s="1">
        <f>IF(Data!G114&gt;0,Data!G114,"")</f>
        <v/>
      </c>
      <c r="H114" s="1">
        <f>IF(Data!H114&gt;0,Data!H114,"")</f>
        <v/>
      </c>
      <c r="I114" s="1">
        <f>IF(Data!I114&gt;0,Data!I114,"")</f>
        <v/>
      </c>
      <c r="J114" s="1">
        <f>IF(Data!J114&gt;0,Data!J114,"")</f>
        <v/>
      </c>
      <c r="K114" s="1">
        <f>IF(Data!K114&gt;0,Data!K114,"")</f>
        <v/>
      </c>
      <c r="L114" s="1">
        <f>IF(Data!L114&gt;0,Data!L114,"")</f>
        <v/>
      </c>
      <c r="M114" s="1">
        <f>IF(Data!M114&gt;0,Data!M114,"")</f>
        <v/>
      </c>
      <c r="N114" s="1">
        <f>IF(Data!N114&gt;0,Data!N114,"")</f>
        <v/>
      </c>
      <c r="O114" s="1">
        <f>IF(Data!O114&gt;0,Data!O114,"")</f>
        <v/>
      </c>
      <c r="P114" s="1">
        <f>IF(Data!P114&gt;0,Data!P114,"")</f>
        <v/>
      </c>
      <c r="Q114" s="1">
        <f>IF(Data!Q114&gt;0,Data!Q114,"")</f>
        <v/>
      </c>
      <c r="R114" s="1">
        <f>IF(Data!R114&gt;0,Data!R114,"")</f>
        <v/>
      </c>
      <c r="S114" s="1">
        <f>IF(Data!S114&gt;0,Data!S114,"")</f>
        <v/>
      </c>
      <c r="V114" s="3">
        <f>IF(COUNT(D114,J114,K114,L114,M114,O114)&gt;0,AVERAGE(D114,J114,K114,L114,M114,O114),"")</f>
        <v/>
      </c>
      <c r="W114" s="3">
        <f>IF(COUNT(C114,F114,G114,N114,Q114)&gt;0,AVERAGE(C114,F114,G114,N114,Q114),"")</f>
        <v/>
      </c>
      <c r="X114" s="3">
        <f>IF(COUNT(B114,E114,H114,I114,P114,R114,S114)&gt;0,AVERAGE(B114,E114,H114,I114,P114,R114,S114),"")</f>
        <v/>
      </c>
      <c r="Y114" s="3" t="n"/>
      <c r="AJ114">
        <f>IFERROR(AVERAGEIF($A$4:$A$1004,AI114,$V$4:$V$1004),"")</f>
        <v/>
      </c>
      <c r="AK114">
        <f>IFERROR(AVERAGEIF($A$4:$A$1004,AI114,$W$4:$W$1004),"")</f>
        <v/>
      </c>
      <c r="AL114">
        <f>IFERROR(AVERAGEIF($A$4:$A$1004,AI114,$X$4:$X$1004),"")</f>
        <v/>
      </c>
    </row>
    <row r="115">
      <c r="A115" s="1">
        <f>IF(Data!A115&gt;0,Data!A115,"")</f>
        <v/>
      </c>
      <c r="B115" s="1">
        <f>IF(Data!B115&gt;0,Data!B115,"")</f>
        <v/>
      </c>
      <c r="C115" s="1">
        <f>IF(Data!C115&gt;0,Data!C115,"")</f>
        <v/>
      </c>
      <c r="D115" s="1">
        <f>IF(Data!D115&gt;0,Data!D115,"")</f>
        <v/>
      </c>
      <c r="E115" s="1">
        <f>IF(Data!E115&gt;0,Data!E115,"")</f>
        <v/>
      </c>
      <c r="F115" s="1">
        <f>IF(Data!F115&gt;0,Data!F115,"")</f>
        <v/>
      </c>
      <c r="G115" s="1">
        <f>IF(Data!G115&gt;0,Data!G115,"")</f>
        <v/>
      </c>
      <c r="H115" s="1">
        <f>IF(Data!H115&gt;0,Data!H115,"")</f>
        <v/>
      </c>
      <c r="I115" s="1">
        <f>IF(Data!I115&gt;0,Data!I115,"")</f>
        <v/>
      </c>
      <c r="J115" s="1">
        <f>IF(Data!J115&gt;0,Data!J115,"")</f>
        <v/>
      </c>
      <c r="K115" s="1">
        <f>IF(Data!K115&gt;0,Data!K115,"")</f>
        <v/>
      </c>
      <c r="L115" s="1">
        <f>IF(Data!L115&gt;0,Data!L115,"")</f>
        <v/>
      </c>
      <c r="M115" s="1">
        <f>IF(Data!M115&gt;0,Data!M115,"")</f>
        <v/>
      </c>
      <c r="N115" s="1">
        <f>IF(Data!N115&gt;0,Data!N115,"")</f>
        <v/>
      </c>
      <c r="O115" s="1">
        <f>IF(Data!O115&gt;0,Data!O115,"")</f>
        <v/>
      </c>
      <c r="P115" s="1">
        <f>IF(Data!P115&gt;0,Data!P115,"")</f>
        <v/>
      </c>
      <c r="Q115" s="1">
        <f>IF(Data!Q115&gt;0,Data!Q115,"")</f>
        <v/>
      </c>
      <c r="R115" s="1">
        <f>IF(Data!R115&gt;0,Data!R115,"")</f>
        <v/>
      </c>
      <c r="S115" s="1">
        <f>IF(Data!S115&gt;0,Data!S115,"")</f>
        <v/>
      </c>
      <c r="V115" s="3">
        <f>IF(COUNT(D115,J115,K115,L115,M115,O115)&gt;0,AVERAGE(D115,J115,K115,L115,M115,O115),"")</f>
        <v/>
      </c>
      <c r="W115" s="3">
        <f>IF(COUNT(C115,F115,G115,N115,Q115)&gt;0,AVERAGE(C115,F115,G115,N115,Q115),"")</f>
        <v/>
      </c>
      <c r="X115" s="3">
        <f>IF(COUNT(B115,E115,H115,I115,P115,R115,S115)&gt;0,AVERAGE(B115,E115,H115,I115,P115,R115,S115),"")</f>
        <v/>
      </c>
      <c r="Y115" s="3" t="n"/>
      <c r="AJ115">
        <f>IFERROR(AVERAGEIF($A$4:$A$1004,AI115,$V$4:$V$1004),"")</f>
        <v/>
      </c>
      <c r="AK115">
        <f>IFERROR(AVERAGEIF($A$4:$A$1004,AI115,$W$4:$W$1004),"")</f>
        <v/>
      </c>
      <c r="AL115">
        <f>IFERROR(AVERAGEIF($A$4:$A$1004,AI115,$X$4:$X$1004),"")</f>
        <v/>
      </c>
    </row>
    <row r="116">
      <c r="A116" s="1">
        <f>IF(Data!A116&gt;0,Data!A116,"")</f>
        <v/>
      </c>
      <c r="B116" s="1">
        <f>IF(Data!B116&gt;0,Data!B116,"")</f>
        <v/>
      </c>
      <c r="C116" s="1">
        <f>IF(Data!C116&gt;0,Data!C116,"")</f>
        <v/>
      </c>
      <c r="D116" s="1">
        <f>IF(Data!D116&gt;0,Data!D116,"")</f>
        <v/>
      </c>
      <c r="E116" s="1">
        <f>IF(Data!E116&gt;0,Data!E116,"")</f>
        <v/>
      </c>
      <c r="F116" s="1">
        <f>IF(Data!F116&gt;0,Data!F116,"")</f>
        <v/>
      </c>
      <c r="G116" s="1">
        <f>IF(Data!G116&gt;0,Data!G116,"")</f>
        <v/>
      </c>
      <c r="H116" s="1">
        <f>IF(Data!H116&gt;0,Data!H116,"")</f>
        <v/>
      </c>
      <c r="I116" s="1">
        <f>IF(Data!I116&gt;0,Data!I116,"")</f>
        <v/>
      </c>
      <c r="J116" s="1">
        <f>IF(Data!J116&gt;0,Data!J116,"")</f>
        <v/>
      </c>
      <c r="K116" s="1">
        <f>IF(Data!K116&gt;0,Data!K116,"")</f>
        <v/>
      </c>
      <c r="L116" s="1">
        <f>IF(Data!L116&gt;0,Data!L116,"")</f>
        <v/>
      </c>
      <c r="M116" s="1">
        <f>IF(Data!M116&gt;0,Data!M116,"")</f>
        <v/>
      </c>
      <c r="N116" s="1">
        <f>IF(Data!N116&gt;0,Data!N116,"")</f>
        <v/>
      </c>
      <c r="O116" s="1">
        <f>IF(Data!O116&gt;0,Data!O116,"")</f>
        <v/>
      </c>
      <c r="P116" s="1">
        <f>IF(Data!P116&gt;0,Data!P116,"")</f>
        <v/>
      </c>
      <c r="Q116" s="1">
        <f>IF(Data!Q116&gt;0,Data!Q116,"")</f>
        <v/>
      </c>
      <c r="R116" s="1">
        <f>IF(Data!R116&gt;0,Data!R116,"")</f>
        <v/>
      </c>
      <c r="S116" s="1">
        <f>IF(Data!S116&gt;0,Data!S116,"")</f>
        <v/>
      </c>
      <c r="V116" s="3">
        <f>IF(COUNT(D116,J116,K116,L116,M116,O116)&gt;0,AVERAGE(D116,J116,K116,L116,M116,O116),"")</f>
        <v/>
      </c>
      <c r="W116" s="3">
        <f>IF(COUNT(C116,F116,G116,N116,Q116)&gt;0,AVERAGE(C116,F116,G116,N116,Q116),"")</f>
        <v/>
      </c>
      <c r="X116" s="3">
        <f>IF(COUNT(B116,E116,H116,I116,P116,R116,S116)&gt;0,AVERAGE(B116,E116,H116,I116,P116,R116,S116),"")</f>
        <v/>
      </c>
      <c r="Y116" s="3" t="n"/>
      <c r="AJ116">
        <f>IFERROR(AVERAGEIF($A$4:$A$1004,AI116,$V$4:$V$1004),"")</f>
        <v/>
      </c>
      <c r="AK116">
        <f>IFERROR(AVERAGEIF($A$4:$A$1004,AI116,$W$4:$W$1004),"")</f>
        <v/>
      </c>
      <c r="AL116">
        <f>IFERROR(AVERAGEIF($A$4:$A$1004,AI116,$X$4:$X$1004),"")</f>
        <v/>
      </c>
    </row>
    <row r="117">
      <c r="A117" s="1">
        <f>IF(Data!A117&gt;0,Data!A117,"")</f>
        <v/>
      </c>
      <c r="B117" s="1">
        <f>IF(Data!B117&gt;0,Data!B117,"")</f>
        <v/>
      </c>
      <c r="C117" s="1">
        <f>IF(Data!C117&gt;0,Data!C117,"")</f>
        <v/>
      </c>
      <c r="D117" s="1">
        <f>IF(Data!D117&gt;0,Data!D117,"")</f>
        <v/>
      </c>
      <c r="E117" s="1">
        <f>IF(Data!E117&gt;0,Data!E117,"")</f>
        <v/>
      </c>
      <c r="F117" s="1">
        <f>IF(Data!F117&gt;0,Data!F117,"")</f>
        <v/>
      </c>
      <c r="G117" s="1">
        <f>IF(Data!G117&gt;0,Data!G117,"")</f>
        <v/>
      </c>
      <c r="H117" s="1">
        <f>IF(Data!H117&gt;0,Data!H117,"")</f>
        <v/>
      </c>
      <c r="I117" s="1">
        <f>IF(Data!I117&gt;0,Data!I117,"")</f>
        <v/>
      </c>
      <c r="J117" s="1">
        <f>IF(Data!J117&gt;0,Data!J117,"")</f>
        <v/>
      </c>
      <c r="K117" s="1">
        <f>IF(Data!K117&gt;0,Data!K117,"")</f>
        <v/>
      </c>
      <c r="L117" s="1">
        <f>IF(Data!L117&gt;0,Data!L117,"")</f>
        <v/>
      </c>
      <c r="M117" s="1">
        <f>IF(Data!M117&gt;0,Data!M117,"")</f>
        <v/>
      </c>
      <c r="N117" s="1">
        <f>IF(Data!N117&gt;0,Data!N117,"")</f>
        <v/>
      </c>
      <c r="O117" s="1">
        <f>IF(Data!O117&gt;0,Data!O117,"")</f>
        <v/>
      </c>
      <c r="P117" s="1">
        <f>IF(Data!P117&gt;0,Data!P117,"")</f>
        <v/>
      </c>
      <c r="Q117" s="1">
        <f>IF(Data!Q117&gt;0,Data!Q117,"")</f>
        <v/>
      </c>
      <c r="R117" s="1">
        <f>IF(Data!R117&gt;0,Data!R117,"")</f>
        <v/>
      </c>
      <c r="S117" s="1">
        <f>IF(Data!S117&gt;0,Data!S117,"")</f>
        <v/>
      </c>
      <c r="V117" s="3">
        <f>IF(COUNT(D117,J117,K117,L117,M117,O117)&gt;0,AVERAGE(D117,J117,K117,L117,M117,O117),"")</f>
        <v/>
      </c>
      <c r="W117" s="3">
        <f>IF(COUNT(C117,F117,G117,N117,Q117)&gt;0,AVERAGE(C117,F117,G117,N117,Q117),"")</f>
        <v/>
      </c>
      <c r="X117" s="3">
        <f>IF(COUNT(B117,E117,H117,I117,P117,R117,S117)&gt;0,AVERAGE(B117,E117,H117,I117,P117,R117,S117),"")</f>
        <v/>
      </c>
      <c r="Y117" s="3" t="n"/>
      <c r="AJ117">
        <f>IFERROR(AVERAGEIF($A$4:$A$1004,AI117,$V$4:$V$1004),"")</f>
        <v/>
      </c>
      <c r="AK117">
        <f>IFERROR(AVERAGEIF($A$4:$A$1004,AI117,$W$4:$W$1004),"")</f>
        <v/>
      </c>
      <c r="AL117">
        <f>IFERROR(AVERAGEIF($A$4:$A$1004,AI117,$X$4:$X$1004),"")</f>
        <v/>
      </c>
    </row>
    <row r="118">
      <c r="A118" s="1">
        <f>IF(Data!A118&gt;0,Data!A118,"")</f>
        <v/>
      </c>
      <c r="B118" s="1">
        <f>IF(Data!B118&gt;0,Data!B118,"")</f>
        <v/>
      </c>
      <c r="C118" s="1">
        <f>IF(Data!C118&gt;0,Data!C118,"")</f>
        <v/>
      </c>
      <c r="D118" s="1">
        <f>IF(Data!D118&gt;0,Data!D118,"")</f>
        <v/>
      </c>
      <c r="E118" s="1">
        <f>IF(Data!E118&gt;0,Data!E118,"")</f>
        <v/>
      </c>
      <c r="F118" s="1">
        <f>IF(Data!F118&gt;0,Data!F118,"")</f>
        <v/>
      </c>
      <c r="G118" s="1">
        <f>IF(Data!G118&gt;0,Data!G118,"")</f>
        <v/>
      </c>
      <c r="H118" s="1">
        <f>IF(Data!H118&gt;0,Data!H118,"")</f>
        <v/>
      </c>
      <c r="I118" s="1">
        <f>IF(Data!I118&gt;0,Data!I118,"")</f>
        <v/>
      </c>
      <c r="J118" s="1">
        <f>IF(Data!J118&gt;0,Data!J118,"")</f>
        <v/>
      </c>
      <c r="K118" s="1">
        <f>IF(Data!K118&gt;0,Data!K118,"")</f>
        <v/>
      </c>
      <c r="L118" s="1">
        <f>IF(Data!L118&gt;0,Data!L118,"")</f>
        <v/>
      </c>
      <c r="M118" s="1">
        <f>IF(Data!M118&gt;0,Data!M118,"")</f>
        <v/>
      </c>
      <c r="N118" s="1">
        <f>IF(Data!N118&gt;0,Data!N118,"")</f>
        <v/>
      </c>
      <c r="O118" s="1">
        <f>IF(Data!O118&gt;0,Data!O118,"")</f>
        <v/>
      </c>
      <c r="P118" s="1">
        <f>IF(Data!P118&gt;0,Data!P118,"")</f>
        <v/>
      </c>
      <c r="Q118" s="1">
        <f>IF(Data!Q118&gt;0,Data!Q118,"")</f>
        <v/>
      </c>
      <c r="R118" s="1">
        <f>IF(Data!R118&gt;0,Data!R118,"")</f>
        <v/>
      </c>
      <c r="S118" s="1">
        <f>IF(Data!S118&gt;0,Data!S118,"")</f>
        <v/>
      </c>
      <c r="V118" s="3">
        <f>IF(COUNT(D118,J118,K118,L118,M118,O118)&gt;0,AVERAGE(D118,J118,K118,L118,M118,O118),"")</f>
        <v/>
      </c>
      <c r="W118" s="3">
        <f>IF(COUNT(C118,F118,G118,N118,Q118)&gt;0,AVERAGE(C118,F118,G118,N118,Q118),"")</f>
        <v/>
      </c>
      <c r="X118" s="3">
        <f>IF(COUNT(B118,E118,H118,I118,P118,R118,S118)&gt;0,AVERAGE(B118,E118,H118,I118,P118,R118,S118),"")</f>
        <v/>
      </c>
      <c r="Y118" s="3" t="n"/>
      <c r="AJ118">
        <f>IFERROR(AVERAGEIF($A$4:$A$1004,AI118,$V$4:$V$1004),"")</f>
        <v/>
      </c>
      <c r="AK118">
        <f>IFERROR(AVERAGEIF($A$4:$A$1004,AI118,$W$4:$W$1004),"")</f>
        <v/>
      </c>
      <c r="AL118">
        <f>IFERROR(AVERAGEIF($A$4:$A$1004,AI118,$X$4:$X$1004),"")</f>
        <v/>
      </c>
    </row>
    <row r="119">
      <c r="A119" s="1">
        <f>IF(Data!A119&gt;0,Data!A119,"")</f>
        <v/>
      </c>
      <c r="B119" s="1">
        <f>IF(Data!B119&gt;0,Data!B119,"")</f>
        <v/>
      </c>
      <c r="C119" s="1">
        <f>IF(Data!C119&gt;0,Data!C119,"")</f>
        <v/>
      </c>
      <c r="D119" s="1">
        <f>IF(Data!D119&gt;0,Data!D119,"")</f>
        <v/>
      </c>
      <c r="E119" s="1">
        <f>IF(Data!E119&gt;0,Data!E119,"")</f>
        <v/>
      </c>
      <c r="F119" s="1">
        <f>IF(Data!F119&gt;0,Data!F119,"")</f>
        <v/>
      </c>
      <c r="G119" s="1">
        <f>IF(Data!G119&gt;0,Data!G119,"")</f>
        <v/>
      </c>
      <c r="H119" s="1">
        <f>IF(Data!H119&gt;0,Data!H119,"")</f>
        <v/>
      </c>
      <c r="I119" s="1">
        <f>IF(Data!I119&gt;0,Data!I119,"")</f>
        <v/>
      </c>
      <c r="J119" s="1">
        <f>IF(Data!J119&gt;0,Data!J119,"")</f>
        <v/>
      </c>
      <c r="K119" s="1">
        <f>IF(Data!K119&gt;0,Data!K119,"")</f>
        <v/>
      </c>
      <c r="L119" s="1">
        <f>IF(Data!L119&gt;0,Data!L119,"")</f>
        <v/>
      </c>
      <c r="M119" s="1">
        <f>IF(Data!M119&gt;0,Data!M119,"")</f>
        <v/>
      </c>
      <c r="N119" s="1">
        <f>IF(Data!N119&gt;0,Data!N119,"")</f>
        <v/>
      </c>
      <c r="O119" s="1">
        <f>IF(Data!O119&gt;0,Data!O119,"")</f>
        <v/>
      </c>
      <c r="P119" s="1">
        <f>IF(Data!P119&gt;0,Data!P119,"")</f>
        <v/>
      </c>
      <c r="Q119" s="1">
        <f>IF(Data!Q119&gt;0,Data!Q119,"")</f>
        <v/>
      </c>
      <c r="R119" s="1">
        <f>IF(Data!R119&gt;0,Data!R119,"")</f>
        <v/>
      </c>
      <c r="S119" s="1">
        <f>IF(Data!S119&gt;0,Data!S119,"")</f>
        <v/>
      </c>
      <c r="V119" s="3">
        <f>IF(COUNT(D119,J119,K119,L119,M119,O119)&gt;0,AVERAGE(D119,J119,K119,L119,M119,O119),"")</f>
        <v/>
      </c>
      <c r="W119" s="3">
        <f>IF(COUNT(C119,F119,G119,N119,Q119)&gt;0,AVERAGE(C119,F119,G119,N119,Q119),"")</f>
        <v/>
      </c>
      <c r="X119" s="3">
        <f>IF(COUNT(B119,E119,H119,I119,P119,R119,S119)&gt;0,AVERAGE(B119,E119,H119,I119,P119,R119,S119),"")</f>
        <v/>
      </c>
      <c r="Y119" s="3" t="n"/>
      <c r="AJ119">
        <f>IFERROR(AVERAGEIF($A$4:$A$1004,AI119,$V$4:$V$1004),"")</f>
        <v/>
      </c>
      <c r="AK119">
        <f>IFERROR(AVERAGEIF($A$4:$A$1004,AI119,$W$4:$W$1004),"")</f>
        <v/>
      </c>
      <c r="AL119">
        <f>IFERROR(AVERAGEIF($A$4:$A$1004,AI119,$X$4:$X$1004),"")</f>
        <v/>
      </c>
    </row>
    <row r="120">
      <c r="A120" s="1">
        <f>IF(Data!A120&gt;0,Data!A120,"")</f>
        <v/>
      </c>
      <c r="B120" s="1">
        <f>IF(Data!B120&gt;0,Data!B120,"")</f>
        <v/>
      </c>
      <c r="C120" s="1">
        <f>IF(Data!C120&gt;0,Data!C120,"")</f>
        <v/>
      </c>
      <c r="D120" s="1">
        <f>IF(Data!D120&gt;0,Data!D120,"")</f>
        <v/>
      </c>
      <c r="E120" s="1">
        <f>IF(Data!E120&gt;0,Data!E120,"")</f>
        <v/>
      </c>
      <c r="F120" s="1">
        <f>IF(Data!F120&gt;0,Data!F120,"")</f>
        <v/>
      </c>
      <c r="G120" s="1">
        <f>IF(Data!G120&gt;0,Data!G120,"")</f>
        <v/>
      </c>
      <c r="H120" s="1">
        <f>IF(Data!H120&gt;0,Data!H120,"")</f>
        <v/>
      </c>
      <c r="I120" s="1">
        <f>IF(Data!I120&gt;0,Data!I120,"")</f>
        <v/>
      </c>
      <c r="J120" s="1">
        <f>IF(Data!J120&gt;0,Data!J120,"")</f>
        <v/>
      </c>
      <c r="K120" s="1">
        <f>IF(Data!K120&gt;0,Data!K120,"")</f>
        <v/>
      </c>
      <c r="L120" s="1">
        <f>IF(Data!L120&gt;0,Data!L120,"")</f>
        <v/>
      </c>
      <c r="M120" s="1">
        <f>IF(Data!M120&gt;0,Data!M120,"")</f>
        <v/>
      </c>
      <c r="N120" s="1">
        <f>IF(Data!N120&gt;0,Data!N120,"")</f>
        <v/>
      </c>
      <c r="O120" s="1">
        <f>IF(Data!O120&gt;0,Data!O120,"")</f>
        <v/>
      </c>
      <c r="P120" s="1">
        <f>IF(Data!P120&gt;0,Data!P120,"")</f>
        <v/>
      </c>
      <c r="Q120" s="1">
        <f>IF(Data!Q120&gt;0,Data!Q120,"")</f>
        <v/>
      </c>
      <c r="R120" s="1">
        <f>IF(Data!R120&gt;0,Data!R120,"")</f>
        <v/>
      </c>
      <c r="S120" s="1">
        <f>IF(Data!S120&gt;0,Data!S120,"")</f>
        <v/>
      </c>
      <c r="V120" s="3">
        <f>IF(COUNT(D120,J120,K120,L120,M120,O120)&gt;0,AVERAGE(D120,J120,K120,L120,M120,O120),"")</f>
        <v/>
      </c>
      <c r="W120" s="3">
        <f>IF(COUNT(C120,F120,G120,N120,Q120)&gt;0,AVERAGE(C120,F120,G120,N120,Q120),"")</f>
        <v/>
      </c>
      <c r="X120" s="3">
        <f>IF(COUNT(B120,E120,H120,I120,P120,R120,S120)&gt;0,AVERAGE(B120,E120,H120,I120,P120,R120,S120),"")</f>
        <v/>
      </c>
      <c r="Y120" s="3" t="n"/>
      <c r="AJ120">
        <f>IFERROR(AVERAGEIF($A$4:$A$1004,AI120,$V$4:$V$1004),"")</f>
        <v/>
      </c>
      <c r="AK120">
        <f>IFERROR(AVERAGEIF($A$4:$A$1004,AI120,$W$4:$W$1004),"")</f>
        <v/>
      </c>
      <c r="AL120">
        <f>IFERROR(AVERAGEIF($A$4:$A$1004,AI120,$X$4:$X$1004),"")</f>
        <v/>
      </c>
    </row>
    <row r="121">
      <c r="A121" s="1">
        <f>IF(Data!A121&gt;0,Data!A121,"")</f>
        <v/>
      </c>
      <c r="B121" s="1">
        <f>IF(Data!B121&gt;0,Data!B121,"")</f>
        <v/>
      </c>
      <c r="C121" s="1">
        <f>IF(Data!C121&gt;0,Data!C121,"")</f>
        <v/>
      </c>
      <c r="D121" s="1">
        <f>IF(Data!D121&gt;0,Data!D121,"")</f>
        <v/>
      </c>
      <c r="E121" s="1">
        <f>IF(Data!E121&gt;0,Data!E121,"")</f>
        <v/>
      </c>
      <c r="F121" s="1">
        <f>IF(Data!F121&gt;0,Data!F121,"")</f>
        <v/>
      </c>
      <c r="G121" s="1">
        <f>IF(Data!G121&gt;0,Data!G121,"")</f>
        <v/>
      </c>
      <c r="H121" s="1">
        <f>IF(Data!H121&gt;0,Data!H121,"")</f>
        <v/>
      </c>
      <c r="I121" s="1">
        <f>IF(Data!I121&gt;0,Data!I121,"")</f>
        <v/>
      </c>
      <c r="J121" s="1">
        <f>IF(Data!J121&gt;0,Data!J121,"")</f>
        <v/>
      </c>
      <c r="K121" s="1">
        <f>IF(Data!K121&gt;0,Data!K121,"")</f>
        <v/>
      </c>
      <c r="L121" s="1">
        <f>IF(Data!L121&gt;0,Data!L121,"")</f>
        <v/>
      </c>
      <c r="M121" s="1">
        <f>IF(Data!M121&gt;0,Data!M121,"")</f>
        <v/>
      </c>
      <c r="N121" s="1">
        <f>IF(Data!N121&gt;0,Data!N121,"")</f>
        <v/>
      </c>
      <c r="O121" s="1">
        <f>IF(Data!O121&gt;0,Data!O121,"")</f>
        <v/>
      </c>
      <c r="P121" s="1">
        <f>IF(Data!P121&gt;0,Data!P121,"")</f>
        <v/>
      </c>
      <c r="Q121" s="1">
        <f>IF(Data!Q121&gt;0,Data!Q121,"")</f>
        <v/>
      </c>
      <c r="R121" s="1">
        <f>IF(Data!R121&gt;0,Data!R121,"")</f>
        <v/>
      </c>
      <c r="S121" s="1">
        <f>IF(Data!S121&gt;0,Data!S121,"")</f>
        <v/>
      </c>
      <c r="V121" s="3">
        <f>IF(COUNT(D121,J121,K121,L121,M121,O121)&gt;0,AVERAGE(D121,J121,K121,L121,M121,O121),"")</f>
        <v/>
      </c>
      <c r="W121" s="3">
        <f>IF(COUNT(C121,F121,G121,N121,Q121)&gt;0,AVERAGE(C121,F121,G121,N121,Q121),"")</f>
        <v/>
      </c>
      <c r="X121" s="3">
        <f>IF(COUNT(B121,E121,H121,I121,P121,R121,S121)&gt;0,AVERAGE(B121,E121,H121,I121,P121,R121,S121),"")</f>
        <v/>
      </c>
      <c r="Y121" s="3" t="n"/>
      <c r="AJ121">
        <f>IFERROR(AVERAGEIF($A$4:$A$1004,AI121,$V$4:$V$1004),"")</f>
        <v/>
      </c>
      <c r="AK121">
        <f>IFERROR(AVERAGEIF($A$4:$A$1004,AI121,$W$4:$W$1004),"")</f>
        <v/>
      </c>
      <c r="AL121">
        <f>IFERROR(AVERAGEIF($A$4:$A$1004,AI121,$X$4:$X$1004),"")</f>
        <v/>
      </c>
    </row>
    <row r="122">
      <c r="A122" s="1">
        <f>IF(Data!A122&gt;0,Data!A122,"")</f>
        <v/>
      </c>
      <c r="B122" s="1">
        <f>IF(Data!B122&gt;0,Data!B122,"")</f>
        <v/>
      </c>
      <c r="C122" s="1">
        <f>IF(Data!C122&gt;0,Data!C122,"")</f>
        <v/>
      </c>
      <c r="D122" s="1">
        <f>IF(Data!D122&gt;0,Data!D122,"")</f>
        <v/>
      </c>
      <c r="E122" s="1">
        <f>IF(Data!E122&gt;0,Data!E122,"")</f>
        <v/>
      </c>
      <c r="F122" s="1">
        <f>IF(Data!F122&gt;0,Data!F122,"")</f>
        <v/>
      </c>
      <c r="G122" s="1">
        <f>IF(Data!G122&gt;0,Data!G122,"")</f>
        <v/>
      </c>
      <c r="H122" s="1">
        <f>IF(Data!H122&gt;0,Data!H122,"")</f>
        <v/>
      </c>
      <c r="I122" s="1">
        <f>IF(Data!I122&gt;0,Data!I122,"")</f>
        <v/>
      </c>
      <c r="J122" s="1">
        <f>IF(Data!J122&gt;0,Data!J122,"")</f>
        <v/>
      </c>
      <c r="K122" s="1">
        <f>IF(Data!K122&gt;0,Data!K122,"")</f>
        <v/>
      </c>
      <c r="L122" s="1">
        <f>IF(Data!L122&gt;0,Data!L122,"")</f>
        <v/>
      </c>
      <c r="M122" s="1">
        <f>IF(Data!M122&gt;0,Data!M122,"")</f>
        <v/>
      </c>
      <c r="N122" s="1">
        <f>IF(Data!N122&gt;0,Data!N122,"")</f>
        <v/>
      </c>
      <c r="O122" s="1">
        <f>IF(Data!O122&gt;0,Data!O122,"")</f>
        <v/>
      </c>
      <c r="P122" s="1">
        <f>IF(Data!P122&gt;0,Data!P122,"")</f>
        <v/>
      </c>
      <c r="Q122" s="1">
        <f>IF(Data!Q122&gt;0,Data!Q122,"")</f>
        <v/>
      </c>
      <c r="R122" s="1">
        <f>IF(Data!R122&gt;0,Data!R122,"")</f>
        <v/>
      </c>
      <c r="S122" s="1">
        <f>IF(Data!S122&gt;0,Data!S122,"")</f>
        <v/>
      </c>
      <c r="V122" s="3">
        <f>IF(COUNT(D122,J122,K122,L122,M122,O122)&gt;0,AVERAGE(D122,J122,K122,L122,M122,O122),"")</f>
        <v/>
      </c>
      <c r="W122" s="3">
        <f>IF(COUNT(C122,F122,G122,N122,Q122)&gt;0,AVERAGE(C122,F122,G122,N122,Q122),"")</f>
        <v/>
      </c>
      <c r="X122" s="3">
        <f>IF(COUNT(B122,E122,H122,I122,P122,R122,S122)&gt;0,AVERAGE(B122,E122,H122,I122,P122,R122,S122),"")</f>
        <v/>
      </c>
      <c r="Y122" s="3" t="n"/>
      <c r="AJ122">
        <f>IFERROR(AVERAGEIF($A$4:$A$1004,AI122,$V$4:$V$1004),"")</f>
        <v/>
      </c>
      <c r="AK122">
        <f>IFERROR(AVERAGEIF($A$4:$A$1004,AI122,$W$4:$W$1004),"")</f>
        <v/>
      </c>
      <c r="AL122">
        <f>IFERROR(AVERAGEIF($A$4:$A$1004,AI122,$X$4:$X$1004),"")</f>
        <v/>
      </c>
    </row>
    <row r="123">
      <c r="A123" s="1">
        <f>IF(Data!A123&gt;0,Data!A123,"")</f>
        <v/>
      </c>
      <c r="B123" s="1">
        <f>IF(Data!B123&gt;0,Data!B123,"")</f>
        <v/>
      </c>
      <c r="C123" s="1">
        <f>IF(Data!C123&gt;0,Data!C123,"")</f>
        <v/>
      </c>
      <c r="D123" s="1">
        <f>IF(Data!D123&gt;0,Data!D123,"")</f>
        <v/>
      </c>
      <c r="E123" s="1">
        <f>IF(Data!E123&gt;0,Data!E123,"")</f>
        <v/>
      </c>
      <c r="F123" s="1">
        <f>IF(Data!F123&gt;0,Data!F123,"")</f>
        <v/>
      </c>
      <c r="G123" s="1">
        <f>IF(Data!G123&gt;0,Data!G123,"")</f>
        <v/>
      </c>
      <c r="H123" s="1">
        <f>IF(Data!H123&gt;0,Data!H123,"")</f>
        <v/>
      </c>
      <c r="I123" s="1">
        <f>IF(Data!I123&gt;0,Data!I123,"")</f>
        <v/>
      </c>
      <c r="J123" s="1">
        <f>IF(Data!J123&gt;0,Data!J123,"")</f>
        <v/>
      </c>
      <c r="K123" s="1">
        <f>IF(Data!K123&gt;0,Data!K123,"")</f>
        <v/>
      </c>
      <c r="L123" s="1">
        <f>IF(Data!L123&gt;0,Data!L123,"")</f>
        <v/>
      </c>
      <c r="M123" s="1">
        <f>IF(Data!M123&gt;0,Data!M123,"")</f>
        <v/>
      </c>
      <c r="N123" s="1">
        <f>IF(Data!N123&gt;0,Data!N123,"")</f>
        <v/>
      </c>
      <c r="O123" s="1">
        <f>IF(Data!O123&gt;0,Data!O123,"")</f>
        <v/>
      </c>
      <c r="P123" s="1">
        <f>IF(Data!P123&gt;0,Data!P123,"")</f>
        <v/>
      </c>
      <c r="Q123" s="1">
        <f>IF(Data!Q123&gt;0,Data!Q123,"")</f>
        <v/>
      </c>
      <c r="R123" s="1">
        <f>IF(Data!R123&gt;0,Data!R123,"")</f>
        <v/>
      </c>
      <c r="S123" s="1">
        <f>IF(Data!S123&gt;0,Data!S123,"")</f>
        <v/>
      </c>
      <c r="V123" s="3">
        <f>IF(COUNT(D123,J123,K123,L123,M123,O123)&gt;0,AVERAGE(D123,J123,K123,L123,M123,O123),"")</f>
        <v/>
      </c>
      <c r="W123" s="3">
        <f>IF(COUNT(C123,F123,G123,N123,Q123)&gt;0,AVERAGE(C123,F123,G123,N123,Q123),"")</f>
        <v/>
      </c>
      <c r="X123" s="3">
        <f>IF(COUNT(B123,E123,H123,I123,P123,R123,S123)&gt;0,AVERAGE(B123,E123,H123,I123,P123,R123,S123),"")</f>
        <v/>
      </c>
      <c r="Y123" s="3" t="n"/>
      <c r="AJ123">
        <f>IFERROR(AVERAGEIF($A$4:$A$1004,AI123,$V$4:$V$1004),"")</f>
        <v/>
      </c>
      <c r="AK123">
        <f>IFERROR(AVERAGEIF($A$4:$A$1004,AI123,$W$4:$W$1004),"")</f>
        <v/>
      </c>
      <c r="AL123">
        <f>IFERROR(AVERAGEIF($A$4:$A$1004,AI123,$X$4:$X$1004),"")</f>
        <v/>
      </c>
    </row>
    <row r="124">
      <c r="A124" s="1">
        <f>IF(Data!A124&gt;0,Data!A124,"")</f>
        <v/>
      </c>
      <c r="B124" s="1">
        <f>IF(Data!B124&gt;0,Data!B124,"")</f>
        <v/>
      </c>
      <c r="C124" s="1">
        <f>IF(Data!C124&gt;0,Data!C124,"")</f>
        <v/>
      </c>
      <c r="D124" s="1">
        <f>IF(Data!D124&gt;0,Data!D124,"")</f>
        <v/>
      </c>
      <c r="E124" s="1">
        <f>IF(Data!E124&gt;0,Data!E124,"")</f>
        <v/>
      </c>
      <c r="F124" s="1">
        <f>IF(Data!F124&gt;0,Data!F124,"")</f>
        <v/>
      </c>
      <c r="G124" s="1">
        <f>IF(Data!G124&gt;0,Data!G124,"")</f>
        <v/>
      </c>
      <c r="H124" s="1">
        <f>IF(Data!H124&gt;0,Data!H124,"")</f>
        <v/>
      </c>
      <c r="I124" s="1">
        <f>IF(Data!I124&gt;0,Data!I124,"")</f>
        <v/>
      </c>
      <c r="J124" s="1">
        <f>IF(Data!J124&gt;0,Data!J124,"")</f>
        <v/>
      </c>
      <c r="K124" s="1">
        <f>IF(Data!K124&gt;0,Data!K124,"")</f>
        <v/>
      </c>
      <c r="L124" s="1">
        <f>IF(Data!L124&gt;0,Data!L124,"")</f>
        <v/>
      </c>
      <c r="M124" s="1">
        <f>IF(Data!M124&gt;0,Data!M124,"")</f>
        <v/>
      </c>
      <c r="N124" s="1">
        <f>IF(Data!N124&gt;0,Data!N124,"")</f>
        <v/>
      </c>
      <c r="O124" s="1">
        <f>IF(Data!O124&gt;0,Data!O124,"")</f>
        <v/>
      </c>
      <c r="P124" s="1">
        <f>IF(Data!P124&gt;0,Data!P124,"")</f>
        <v/>
      </c>
      <c r="Q124" s="1">
        <f>IF(Data!Q124&gt;0,Data!Q124,"")</f>
        <v/>
      </c>
      <c r="R124" s="1">
        <f>IF(Data!R124&gt;0,Data!R124,"")</f>
        <v/>
      </c>
      <c r="S124" s="1">
        <f>IF(Data!S124&gt;0,Data!S124,"")</f>
        <v/>
      </c>
      <c r="V124" s="3">
        <f>IF(COUNT(D124,J124,K124,L124,M124,O124)&gt;0,AVERAGE(D124,J124,K124,L124,M124,O124),"")</f>
        <v/>
      </c>
      <c r="W124" s="3">
        <f>IF(COUNT(C124,F124,G124,N124,Q124)&gt;0,AVERAGE(C124,F124,G124,N124,Q124),"")</f>
        <v/>
      </c>
      <c r="X124" s="3">
        <f>IF(COUNT(B124,E124,H124,I124,P124,R124,S124)&gt;0,AVERAGE(B124,E124,H124,I124,P124,R124,S124),"")</f>
        <v/>
      </c>
      <c r="Y124" s="3" t="n"/>
      <c r="AJ124">
        <f>IFERROR(AVERAGEIF($A$4:$A$1004,AI124,$V$4:$V$1004),"")</f>
        <v/>
      </c>
      <c r="AK124">
        <f>IFERROR(AVERAGEIF($A$4:$A$1004,AI124,$W$4:$W$1004),"")</f>
        <v/>
      </c>
      <c r="AL124">
        <f>IFERROR(AVERAGEIF($A$4:$A$1004,AI124,$X$4:$X$1004),"")</f>
        <v/>
      </c>
    </row>
    <row r="125">
      <c r="A125" s="1">
        <f>IF(Data!A125&gt;0,Data!A125,"")</f>
        <v/>
      </c>
      <c r="B125" s="1">
        <f>IF(Data!B125&gt;0,Data!B125,"")</f>
        <v/>
      </c>
      <c r="C125" s="1">
        <f>IF(Data!C125&gt;0,Data!C125,"")</f>
        <v/>
      </c>
      <c r="D125" s="1">
        <f>IF(Data!D125&gt;0,Data!D125,"")</f>
        <v/>
      </c>
      <c r="E125" s="1">
        <f>IF(Data!E125&gt;0,Data!E125,"")</f>
        <v/>
      </c>
      <c r="F125" s="1">
        <f>IF(Data!F125&gt;0,Data!F125,"")</f>
        <v/>
      </c>
      <c r="G125" s="1">
        <f>IF(Data!G125&gt;0,Data!G125,"")</f>
        <v/>
      </c>
      <c r="H125" s="1">
        <f>IF(Data!H125&gt;0,Data!H125,"")</f>
        <v/>
      </c>
      <c r="I125" s="1">
        <f>IF(Data!I125&gt;0,Data!I125,"")</f>
        <v/>
      </c>
      <c r="J125" s="1">
        <f>IF(Data!J125&gt;0,Data!J125,"")</f>
        <v/>
      </c>
      <c r="K125" s="1">
        <f>IF(Data!K125&gt;0,Data!K125,"")</f>
        <v/>
      </c>
      <c r="L125" s="1">
        <f>IF(Data!L125&gt;0,Data!L125,"")</f>
        <v/>
      </c>
      <c r="M125" s="1">
        <f>IF(Data!M125&gt;0,Data!M125,"")</f>
        <v/>
      </c>
      <c r="N125" s="1">
        <f>IF(Data!N125&gt;0,Data!N125,"")</f>
        <v/>
      </c>
      <c r="O125" s="1">
        <f>IF(Data!O125&gt;0,Data!O125,"")</f>
        <v/>
      </c>
      <c r="P125" s="1">
        <f>IF(Data!P125&gt;0,Data!P125,"")</f>
        <v/>
      </c>
      <c r="Q125" s="1">
        <f>IF(Data!Q125&gt;0,Data!Q125,"")</f>
        <v/>
      </c>
      <c r="R125" s="1">
        <f>IF(Data!R125&gt;0,Data!R125,"")</f>
        <v/>
      </c>
      <c r="S125" s="1">
        <f>IF(Data!S125&gt;0,Data!S125,"")</f>
        <v/>
      </c>
      <c r="V125" s="3">
        <f>IF(COUNT(D125,J125,K125,L125,M125,O125)&gt;0,AVERAGE(D125,J125,K125,L125,M125,O125),"")</f>
        <v/>
      </c>
      <c r="W125" s="3">
        <f>IF(COUNT(C125,F125,G125,N125,Q125)&gt;0,AVERAGE(C125,F125,G125,N125,Q125),"")</f>
        <v/>
      </c>
      <c r="X125" s="3">
        <f>IF(COUNT(B125,E125,H125,I125,P125,R125,S125)&gt;0,AVERAGE(B125,E125,H125,I125,P125,R125,S125),"")</f>
        <v/>
      </c>
      <c r="Y125" s="3" t="n"/>
      <c r="AJ125">
        <f>IFERROR(AVERAGEIF($A$4:$A$1004,AI125,$V$4:$V$1004),"")</f>
        <v/>
      </c>
      <c r="AK125">
        <f>IFERROR(AVERAGEIF($A$4:$A$1004,AI125,$W$4:$W$1004),"")</f>
        <v/>
      </c>
      <c r="AL125">
        <f>IFERROR(AVERAGEIF($A$4:$A$1004,AI125,$X$4:$X$1004),"")</f>
        <v/>
      </c>
    </row>
    <row r="126">
      <c r="A126" s="1">
        <f>IF(Data!A126&gt;0,Data!A126,"")</f>
        <v/>
      </c>
      <c r="B126" s="1">
        <f>IF(Data!B126&gt;0,Data!B126,"")</f>
        <v/>
      </c>
      <c r="C126" s="1">
        <f>IF(Data!C126&gt;0,Data!C126,"")</f>
        <v/>
      </c>
      <c r="D126" s="1">
        <f>IF(Data!D126&gt;0,Data!D126,"")</f>
        <v/>
      </c>
      <c r="E126" s="1">
        <f>IF(Data!E126&gt;0,Data!E126,"")</f>
        <v/>
      </c>
      <c r="F126" s="1">
        <f>IF(Data!F126&gt;0,Data!F126,"")</f>
        <v/>
      </c>
      <c r="G126" s="1">
        <f>IF(Data!G126&gt;0,Data!G126,"")</f>
        <v/>
      </c>
      <c r="H126" s="1">
        <f>IF(Data!H126&gt;0,Data!H126,"")</f>
        <v/>
      </c>
      <c r="I126" s="1">
        <f>IF(Data!I126&gt;0,Data!I126,"")</f>
        <v/>
      </c>
      <c r="J126" s="1">
        <f>IF(Data!J126&gt;0,Data!J126,"")</f>
        <v/>
      </c>
      <c r="K126" s="1">
        <f>IF(Data!K126&gt;0,Data!K126,"")</f>
        <v/>
      </c>
      <c r="L126" s="1">
        <f>IF(Data!L126&gt;0,Data!L126,"")</f>
        <v/>
      </c>
      <c r="M126" s="1">
        <f>IF(Data!M126&gt;0,Data!M126,"")</f>
        <v/>
      </c>
      <c r="N126" s="1">
        <f>IF(Data!N126&gt;0,Data!N126,"")</f>
        <v/>
      </c>
      <c r="O126" s="1">
        <f>IF(Data!O126&gt;0,Data!O126,"")</f>
        <v/>
      </c>
      <c r="P126" s="1">
        <f>IF(Data!P126&gt;0,Data!P126,"")</f>
        <v/>
      </c>
      <c r="Q126" s="1">
        <f>IF(Data!Q126&gt;0,Data!Q126,"")</f>
        <v/>
      </c>
      <c r="R126" s="1">
        <f>IF(Data!R126&gt;0,Data!R126,"")</f>
        <v/>
      </c>
      <c r="S126" s="1">
        <f>IF(Data!S126&gt;0,Data!S126,"")</f>
        <v/>
      </c>
      <c r="V126" s="3">
        <f>IF(COUNT(D126,J126,K126,L126,M126,O126)&gt;0,AVERAGE(D126,J126,K126,L126,M126,O126),"")</f>
        <v/>
      </c>
      <c r="W126" s="3">
        <f>IF(COUNT(C126,F126,G126,N126,Q126)&gt;0,AVERAGE(C126,F126,G126,N126,Q126),"")</f>
        <v/>
      </c>
      <c r="X126" s="3">
        <f>IF(COUNT(B126,E126,H126,I126,P126,R126,S126)&gt;0,AVERAGE(B126,E126,H126,I126,P126,R126,S126),"")</f>
        <v/>
      </c>
      <c r="Y126" s="3" t="n"/>
      <c r="AJ126">
        <f>IFERROR(AVERAGEIF($A$4:$A$1004,AI126,$V$4:$V$1004),"")</f>
        <v/>
      </c>
      <c r="AK126">
        <f>IFERROR(AVERAGEIF($A$4:$A$1004,AI126,$W$4:$W$1004),"")</f>
        <v/>
      </c>
      <c r="AL126">
        <f>IFERROR(AVERAGEIF($A$4:$A$1004,AI126,$X$4:$X$1004),"")</f>
        <v/>
      </c>
    </row>
    <row r="127">
      <c r="A127" s="1">
        <f>IF(Data!A127&gt;0,Data!A127,"")</f>
        <v/>
      </c>
      <c r="B127" s="1">
        <f>IF(Data!B127&gt;0,Data!B127,"")</f>
        <v/>
      </c>
      <c r="C127" s="1">
        <f>IF(Data!C127&gt;0,Data!C127,"")</f>
        <v/>
      </c>
      <c r="D127" s="1">
        <f>IF(Data!D127&gt;0,Data!D127,"")</f>
        <v/>
      </c>
      <c r="E127" s="1">
        <f>IF(Data!E127&gt;0,Data!E127,"")</f>
        <v/>
      </c>
      <c r="F127" s="1">
        <f>IF(Data!F127&gt;0,Data!F127,"")</f>
        <v/>
      </c>
      <c r="G127" s="1">
        <f>IF(Data!G127&gt;0,Data!G127,"")</f>
        <v/>
      </c>
      <c r="H127" s="1">
        <f>IF(Data!H127&gt;0,Data!H127,"")</f>
        <v/>
      </c>
      <c r="I127" s="1">
        <f>IF(Data!I127&gt;0,Data!I127,"")</f>
        <v/>
      </c>
      <c r="J127" s="1">
        <f>IF(Data!J127&gt;0,Data!J127,"")</f>
        <v/>
      </c>
      <c r="K127" s="1">
        <f>IF(Data!K127&gt;0,Data!K127,"")</f>
        <v/>
      </c>
      <c r="L127" s="1">
        <f>IF(Data!L127&gt;0,Data!L127,"")</f>
        <v/>
      </c>
      <c r="M127" s="1">
        <f>IF(Data!M127&gt;0,Data!M127,"")</f>
        <v/>
      </c>
      <c r="N127" s="1">
        <f>IF(Data!N127&gt;0,Data!N127,"")</f>
        <v/>
      </c>
      <c r="O127" s="1">
        <f>IF(Data!O127&gt;0,Data!O127,"")</f>
        <v/>
      </c>
      <c r="P127" s="1">
        <f>IF(Data!P127&gt;0,Data!P127,"")</f>
        <v/>
      </c>
      <c r="Q127" s="1">
        <f>IF(Data!Q127&gt;0,Data!Q127,"")</f>
        <v/>
      </c>
      <c r="R127" s="1">
        <f>IF(Data!R127&gt;0,Data!R127,"")</f>
        <v/>
      </c>
      <c r="S127" s="1">
        <f>IF(Data!S127&gt;0,Data!S127,"")</f>
        <v/>
      </c>
      <c r="V127" s="3">
        <f>IF(COUNT(D127,J127,K127,L127,M127,O127)&gt;0,AVERAGE(D127,J127,K127,L127,M127,O127),"")</f>
        <v/>
      </c>
      <c r="W127" s="3">
        <f>IF(COUNT(C127,F127,G127,N127,Q127)&gt;0,AVERAGE(C127,F127,G127,N127,Q127),"")</f>
        <v/>
      </c>
      <c r="X127" s="3">
        <f>IF(COUNT(B127,E127,H127,I127,P127,R127,S127)&gt;0,AVERAGE(B127,E127,H127,I127,P127,R127,S127),"")</f>
        <v/>
      </c>
      <c r="Y127" s="3" t="n"/>
      <c r="AJ127">
        <f>IFERROR(AVERAGEIF($A$4:$A$1004,AI127,$V$4:$V$1004),"")</f>
        <v/>
      </c>
      <c r="AK127">
        <f>IFERROR(AVERAGEIF($A$4:$A$1004,AI127,$W$4:$W$1004),"")</f>
        <v/>
      </c>
      <c r="AL127">
        <f>IFERROR(AVERAGEIF($A$4:$A$1004,AI127,$X$4:$X$1004),"")</f>
        <v/>
      </c>
    </row>
    <row r="128">
      <c r="A128" s="1">
        <f>IF(Data!A128&gt;0,Data!A128,"")</f>
        <v/>
      </c>
      <c r="B128" s="1">
        <f>IF(Data!B128&gt;0,Data!B128,"")</f>
        <v/>
      </c>
      <c r="C128" s="1">
        <f>IF(Data!C128&gt;0,Data!C128,"")</f>
        <v/>
      </c>
      <c r="D128" s="1">
        <f>IF(Data!D128&gt;0,Data!D128,"")</f>
        <v/>
      </c>
      <c r="E128" s="1">
        <f>IF(Data!E128&gt;0,Data!E128,"")</f>
        <v/>
      </c>
      <c r="F128" s="1">
        <f>IF(Data!F128&gt;0,Data!F128,"")</f>
        <v/>
      </c>
      <c r="G128" s="1">
        <f>IF(Data!G128&gt;0,Data!G128,"")</f>
        <v/>
      </c>
      <c r="H128" s="1">
        <f>IF(Data!H128&gt;0,Data!H128,"")</f>
        <v/>
      </c>
      <c r="I128" s="1">
        <f>IF(Data!I128&gt;0,Data!I128,"")</f>
        <v/>
      </c>
      <c r="J128" s="1">
        <f>IF(Data!J128&gt;0,Data!J128,"")</f>
        <v/>
      </c>
      <c r="K128" s="1">
        <f>IF(Data!K128&gt;0,Data!K128,"")</f>
        <v/>
      </c>
      <c r="L128" s="1">
        <f>IF(Data!L128&gt;0,Data!L128,"")</f>
        <v/>
      </c>
      <c r="M128" s="1">
        <f>IF(Data!M128&gt;0,Data!M128,"")</f>
        <v/>
      </c>
      <c r="N128" s="1">
        <f>IF(Data!N128&gt;0,Data!N128,"")</f>
        <v/>
      </c>
      <c r="O128" s="1">
        <f>IF(Data!O128&gt;0,Data!O128,"")</f>
        <v/>
      </c>
      <c r="P128" s="1">
        <f>IF(Data!P128&gt;0,Data!P128,"")</f>
        <v/>
      </c>
      <c r="Q128" s="1">
        <f>IF(Data!Q128&gt;0,Data!Q128,"")</f>
        <v/>
      </c>
      <c r="R128" s="1">
        <f>IF(Data!R128&gt;0,Data!R128,"")</f>
        <v/>
      </c>
      <c r="S128" s="1">
        <f>IF(Data!S128&gt;0,Data!S128,"")</f>
        <v/>
      </c>
      <c r="V128" s="3">
        <f>IF(COUNT(D128,J128,K128,L128,M128,O128)&gt;0,AVERAGE(D128,J128,K128,L128,M128,O128),"")</f>
        <v/>
      </c>
      <c r="W128" s="3">
        <f>IF(COUNT(C128,F128,G128,N128,Q128)&gt;0,AVERAGE(C128,F128,G128,N128,Q128),"")</f>
        <v/>
      </c>
      <c r="X128" s="3">
        <f>IF(COUNT(B128,E128,H128,I128,P128,R128,S128)&gt;0,AVERAGE(B128,E128,H128,I128,P128,R128,S128),"")</f>
        <v/>
      </c>
      <c r="Y128" s="3" t="n"/>
      <c r="AJ128">
        <f>IFERROR(AVERAGEIF($A$4:$A$1004,AI128,$V$4:$V$1004),"")</f>
        <v/>
      </c>
      <c r="AK128">
        <f>IFERROR(AVERAGEIF($A$4:$A$1004,AI128,$W$4:$W$1004),"")</f>
        <v/>
      </c>
      <c r="AL128">
        <f>IFERROR(AVERAGEIF($A$4:$A$1004,AI128,$X$4:$X$1004),"")</f>
        <v/>
      </c>
    </row>
    <row r="129">
      <c r="A129" s="1">
        <f>IF(Data!A129&gt;0,Data!A129,"")</f>
        <v/>
      </c>
      <c r="B129" s="1">
        <f>IF(Data!B129&gt;0,Data!B129,"")</f>
        <v/>
      </c>
      <c r="C129" s="1">
        <f>IF(Data!C129&gt;0,Data!C129,"")</f>
        <v/>
      </c>
      <c r="D129" s="1">
        <f>IF(Data!D129&gt;0,Data!D129,"")</f>
        <v/>
      </c>
      <c r="E129" s="1">
        <f>IF(Data!E129&gt;0,Data!E129,"")</f>
        <v/>
      </c>
      <c r="F129" s="1">
        <f>IF(Data!F129&gt;0,Data!F129,"")</f>
        <v/>
      </c>
      <c r="G129" s="1">
        <f>IF(Data!G129&gt;0,Data!G129,"")</f>
        <v/>
      </c>
      <c r="H129" s="1">
        <f>IF(Data!H129&gt;0,Data!H129,"")</f>
        <v/>
      </c>
      <c r="I129" s="1">
        <f>IF(Data!I129&gt;0,Data!I129,"")</f>
        <v/>
      </c>
      <c r="J129" s="1">
        <f>IF(Data!J129&gt;0,Data!J129,"")</f>
        <v/>
      </c>
      <c r="K129" s="1">
        <f>IF(Data!K129&gt;0,Data!K129,"")</f>
        <v/>
      </c>
      <c r="L129" s="1">
        <f>IF(Data!L129&gt;0,Data!L129,"")</f>
        <v/>
      </c>
      <c r="M129" s="1">
        <f>IF(Data!M129&gt;0,Data!M129,"")</f>
        <v/>
      </c>
      <c r="N129" s="1">
        <f>IF(Data!N129&gt;0,Data!N129,"")</f>
        <v/>
      </c>
      <c r="O129" s="1">
        <f>IF(Data!O129&gt;0,Data!O129,"")</f>
        <v/>
      </c>
      <c r="P129" s="1">
        <f>IF(Data!P129&gt;0,Data!P129,"")</f>
        <v/>
      </c>
      <c r="Q129" s="1">
        <f>IF(Data!Q129&gt;0,Data!Q129,"")</f>
        <v/>
      </c>
      <c r="R129" s="1">
        <f>IF(Data!R129&gt;0,Data!R129,"")</f>
        <v/>
      </c>
      <c r="S129" s="1">
        <f>IF(Data!S129&gt;0,Data!S129,"")</f>
        <v/>
      </c>
      <c r="V129" s="3">
        <f>IF(COUNT(D129,J129,K129,L129,M129,O129)&gt;0,AVERAGE(D129,J129,K129,L129,M129,O129),"")</f>
        <v/>
      </c>
      <c r="W129" s="3">
        <f>IF(COUNT(C129,F129,G129,N129,Q129)&gt;0,AVERAGE(C129,F129,G129,N129,Q129),"")</f>
        <v/>
      </c>
      <c r="X129" s="3">
        <f>IF(COUNT(B129,E129,H129,I129,P129,R129,S129)&gt;0,AVERAGE(B129,E129,H129,I129,P129,R129,S129),"")</f>
        <v/>
      </c>
      <c r="Y129" s="3" t="n"/>
      <c r="AJ129">
        <f>IFERROR(AVERAGEIF($A$4:$A$1004,AI129,$V$4:$V$1004),"")</f>
        <v/>
      </c>
      <c r="AK129">
        <f>IFERROR(AVERAGEIF($A$4:$A$1004,AI129,$W$4:$W$1004),"")</f>
        <v/>
      </c>
      <c r="AL129">
        <f>IFERROR(AVERAGEIF($A$4:$A$1004,AI129,$X$4:$X$1004),"")</f>
        <v/>
      </c>
    </row>
    <row r="130">
      <c r="A130" s="1">
        <f>IF(Data!A130&gt;0,Data!A130,"")</f>
        <v/>
      </c>
      <c r="B130" s="1">
        <f>IF(Data!B130&gt;0,Data!B130,"")</f>
        <v/>
      </c>
      <c r="C130" s="1">
        <f>IF(Data!C130&gt;0,Data!C130,"")</f>
        <v/>
      </c>
      <c r="D130" s="1">
        <f>IF(Data!D130&gt;0,Data!D130,"")</f>
        <v/>
      </c>
      <c r="E130" s="1">
        <f>IF(Data!E130&gt;0,Data!E130,"")</f>
        <v/>
      </c>
      <c r="F130" s="1">
        <f>IF(Data!F130&gt;0,Data!F130,"")</f>
        <v/>
      </c>
      <c r="G130" s="1">
        <f>IF(Data!G130&gt;0,Data!G130,"")</f>
        <v/>
      </c>
      <c r="H130" s="1">
        <f>IF(Data!H130&gt;0,Data!H130,"")</f>
        <v/>
      </c>
      <c r="I130" s="1">
        <f>IF(Data!I130&gt;0,Data!I130,"")</f>
        <v/>
      </c>
      <c r="J130" s="1">
        <f>IF(Data!J130&gt;0,Data!J130,"")</f>
        <v/>
      </c>
      <c r="K130" s="1">
        <f>IF(Data!K130&gt;0,Data!K130,"")</f>
        <v/>
      </c>
      <c r="L130" s="1">
        <f>IF(Data!L130&gt;0,Data!L130,"")</f>
        <v/>
      </c>
      <c r="M130" s="1">
        <f>IF(Data!M130&gt;0,Data!M130,"")</f>
        <v/>
      </c>
      <c r="N130" s="1">
        <f>IF(Data!N130&gt;0,Data!N130,"")</f>
        <v/>
      </c>
      <c r="O130" s="1">
        <f>IF(Data!O130&gt;0,Data!O130,"")</f>
        <v/>
      </c>
      <c r="P130" s="1">
        <f>IF(Data!P130&gt;0,Data!P130,"")</f>
        <v/>
      </c>
      <c r="Q130" s="1">
        <f>IF(Data!Q130&gt;0,Data!Q130,"")</f>
        <v/>
      </c>
      <c r="R130" s="1">
        <f>IF(Data!R130&gt;0,Data!R130,"")</f>
        <v/>
      </c>
      <c r="S130" s="1">
        <f>IF(Data!S130&gt;0,Data!S130,"")</f>
        <v/>
      </c>
      <c r="V130" s="3">
        <f>IF(COUNT(D130,J130,K130,L130,M130,O130)&gt;0,AVERAGE(D130,J130,K130,L130,M130,O130),"")</f>
        <v/>
      </c>
      <c r="W130" s="3">
        <f>IF(COUNT(C130,F130,G130,N130,Q130)&gt;0,AVERAGE(C130,F130,G130,N130,Q130),"")</f>
        <v/>
      </c>
      <c r="X130" s="3">
        <f>IF(COUNT(B130,E130,H130,I130,P130,R130,S130)&gt;0,AVERAGE(B130,E130,H130,I130,P130,R130,S130),"")</f>
        <v/>
      </c>
      <c r="Y130" s="3" t="n"/>
      <c r="AJ130">
        <f>IFERROR(AVERAGEIF($A$4:$A$1004,AI130,$V$4:$V$1004),"")</f>
        <v/>
      </c>
      <c r="AK130">
        <f>IFERROR(AVERAGEIF($A$4:$A$1004,AI130,$W$4:$W$1004),"")</f>
        <v/>
      </c>
      <c r="AL130">
        <f>IFERROR(AVERAGEIF($A$4:$A$1004,AI130,$X$4:$X$1004),"")</f>
        <v/>
      </c>
    </row>
    <row r="131">
      <c r="A131" s="1">
        <f>IF(Data!A131&gt;0,Data!A131,"")</f>
        <v/>
      </c>
      <c r="B131" s="1">
        <f>IF(Data!B131&gt;0,Data!B131,"")</f>
        <v/>
      </c>
      <c r="C131" s="1">
        <f>IF(Data!C131&gt;0,Data!C131,"")</f>
        <v/>
      </c>
      <c r="D131" s="1">
        <f>IF(Data!D131&gt;0,Data!D131,"")</f>
        <v/>
      </c>
      <c r="E131" s="1">
        <f>IF(Data!E131&gt;0,Data!E131,"")</f>
        <v/>
      </c>
      <c r="F131" s="1">
        <f>IF(Data!F131&gt;0,Data!F131,"")</f>
        <v/>
      </c>
      <c r="G131" s="1">
        <f>IF(Data!G131&gt;0,Data!G131,"")</f>
        <v/>
      </c>
      <c r="H131" s="1">
        <f>IF(Data!H131&gt;0,Data!H131,"")</f>
        <v/>
      </c>
      <c r="I131" s="1">
        <f>IF(Data!I131&gt;0,Data!I131,"")</f>
        <v/>
      </c>
      <c r="J131" s="1">
        <f>IF(Data!J131&gt;0,Data!J131,"")</f>
        <v/>
      </c>
      <c r="K131" s="1">
        <f>IF(Data!K131&gt;0,Data!K131,"")</f>
        <v/>
      </c>
      <c r="L131" s="1">
        <f>IF(Data!L131&gt;0,Data!L131,"")</f>
        <v/>
      </c>
      <c r="M131" s="1">
        <f>IF(Data!M131&gt;0,Data!M131,"")</f>
        <v/>
      </c>
      <c r="N131" s="1">
        <f>IF(Data!N131&gt;0,Data!N131,"")</f>
        <v/>
      </c>
      <c r="O131" s="1">
        <f>IF(Data!O131&gt;0,Data!O131,"")</f>
        <v/>
      </c>
      <c r="P131" s="1">
        <f>IF(Data!P131&gt;0,Data!P131,"")</f>
        <v/>
      </c>
      <c r="Q131" s="1">
        <f>IF(Data!Q131&gt;0,Data!Q131,"")</f>
        <v/>
      </c>
      <c r="R131" s="1">
        <f>IF(Data!R131&gt;0,Data!R131,"")</f>
        <v/>
      </c>
      <c r="S131" s="1">
        <f>IF(Data!S131&gt;0,Data!S131,"")</f>
        <v/>
      </c>
      <c r="V131" s="3">
        <f>IF(COUNT(D131,J131,K131,L131,M131,O131)&gt;0,AVERAGE(D131,J131,K131,L131,M131,O131),"")</f>
        <v/>
      </c>
      <c r="W131" s="3">
        <f>IF(COUNT(C131,F131,G131,N131,Q131)&gt;0,AVERAGE(C131,F131,G131,N131,Q131),"")</f>
        <v/>
      </c>
      <c r="X131" s="3">
        <f>IF(COUNT(B131,E131,H131,I131,P131,R131,S131)&gt;0,AVERAGE(B131,E131,H131,I131,P131,R131,S131),"")</f>
        <v/>
      </c>
      <c r="Y131" s="3" t="n"/>
      <c r="AJ131">
        <f>IFERROR(AVERAGEIF($A$4:$A$1004,AI131,$V$4:$V$1004),"")</f>
        <v/>
      </c>
      <c r="AK131">
        <f>IFERROR(AVERAGEIF($A$4:$A$1004,AI131,$W$4:$W$1004),"")</f>
        <v/>
      </c>
      <c r="AL131">
        <f>IFERROR(AVERAGEIF($A$4:$A$1004,AI131,$X$4:$X$1004),"")</f>
        <v/>
      </c>
    </row>
    <row r="132">
      <c r="A132" s="1">
        <f>IF(Data!A132&gt;0,Data!A132,"")</f>
        <v/>
      </c>
      <c r="B132" s="1">
        <f>IF(Data!B132&gt;0,Data!B132,"")</f>
        <v/>
      </c>
      <c r="C132" s="1">
        <f>IF(Data!C132&gt;0,Data!C132,"")</f>
        <v/>
      </c>
      <c r="D132" s="1">
        <f>IF(Data!D132&gt;0,Data!D132,"")</f>
        <v/>
      </c>
      <c r="E132" s="1">
        <f>IF(Data!E132&gt;0,Data!E132,"")</f>
        <v/>
      </c>
      <c r="F132" s="1">
        <f>IF(Data!F132&gt;0,Data!F132,"")</f>
        <v/>
      </c>
      <c r="G132" s="1">
        <f>IF(Data!G132&gt;0,Data!G132,"")</f>
        <v/>
      </c>
      <c r="H132" s="1">
        <f>IF(Data!H132&gt;0,Data!H132,"")</f>
        <v/>
      </c>
      <c r="I132" s="1">
        <f>IF(Data!I132&gt;0,Data!I132,"")</f>
        <v/>
      </c>
      <c r="J132" s="1">
        <f>IF(Data!J132&gt;0,Data!J132,"")</f>
        <v/>
      </c>
      <c r="K132" s="1">
        <f>IF(Data!K132&gt;0,Data!K132,"")</f>
        <v/>
      </c>
      <c r="L132" s="1">
        <f>IF(Data!L132&gt;0,Data!L132,"")</f>
        <v/>
      </c>
      <c r="M132" s="1">
        <f>IF(Data!M132&gt;0,Data!M132,"")</f>
        <v/>
      </c>
      <c r="N132" s="1">
        <f>IF(Data!N132&gt;0,Data!N132,"")</f>
        <v/>
      </c>
      <c r="O132" s="1">
        <f>IF(Data!O132&gt;0,Data!O132,"")</f>
        <v/>
      </c>
      <c r="P132" s="1">
        <f>IF(Data!P132&gt;0,Data!P132,"")</f>
        <v/>
      </c>
      <c r="Q132" s="1">
        <f>IF(Data!Q132&gt;0,Data!Q132,"")</f>
        <v/>
      </c>
      <c r="R132" s="1">
        <f>IF(Data!R132&gt;0,Data!R132,"")</f>
        <v/>
      </c>
      <c r="S132" s="1">
        <f>IF(Data!S132&gt;0,Data!S132,"")</f>
        <v/>
      </c>
      <c r="V132" s="3">
        <f>IF(COUNT(D132,J132,K132,L132,M132,O132)&gt;0,AVERAGE(D132,J132,K132,L132,M132,O132),"")</f>
        <v/>
      </c>
      <c r="W132" s="3">
        <f>IF(COUNT(C132,F132,G132,N132,Q132)&gt;0,AVERAGE(C132,F132,G132,N132,Q132),"")</f>
        <v/>
      </c>
      <c r="X132" s="3">
        <f>IF(COUNT(B132,E132,H132,I132,P132,R132,S132)&gt;0,AVERAGE(B132,E132,H132,I132,P132,R132,S132),"")</f>
        <v/>
      </c>
      <c r="Y132" s="3" t="n"/>
      <c r="AJ132">
        <f>IFERROR(AVERAGEIF($A$4:$A$1004,AI132,$V$4:$V$1004),"")</f>
        <v/>
      </c>
      <c r="AK132">
        <f>IFERROR(AVERAGEIF($A$4:$A$1004,AI132,$W$4:$W$1004),"")</f>
        <v/>
      </c>
      <c r="AL132">
        <f>IFERROR(AVERAGEIF($A$4:$A$1004,AI132,$X$4:$X$1004),"")</f>
        <v/>
      </c>
    </row>
    <row r="133">
      <c r="A133" s="1">
        <f>IF(Data!A133&gt;0,Data!A133,"")</f>
        <v/>
      </c>
      <c r="B133" s="1">
        <f>IF(Data!B133&gt;0,Data!B133,"")</f>
        <v/>
      </c>
      <c r="C133" s="1">
        <f>IF(Data!C133&gt;0,Data!C133,"")</f>
        <v/>
      </c>
      <c r="D133" s="1">
        <f>IF(Data!D133&gt;0,Data!D133,"")</f>
        <v/>
      </c>
      <c r="E133" s="1">
        <f>IF(Data!E133&gt;0,Data!E133,"")</f>
        <v/>
      </c>
      <c r="F133" s="1">
        <f>IF(Data!F133&gt;0,Data!F133,"")</f>
        <v/>
      </c>
      <c r="G133" s="1">
        <f>IF(Data!G133&gt;0,Data!G133,"")</f>
        <v/>
      </c>
      <c r="H133" s="1">
        <f>IF(Data!H133&gt;0,Data!H133,"")</f>
        <v/>
      </c>
      <c r="I133" s="1">
        <f>IF(Data!I133&gt;0,Data!I133,"")</f>
        <v/>
      </c>
      <c r="J133" s="1">
        <f>IF(Data!J133&gt;0,Data!J133,"")</f>
        <v/>
      </c>
      <c r="K133" s="1">
        <f>IF(Data!K133&gt;0,Data!K133,"")</f>
        <v/>
      </c>
      <c r="L133" s="1">
        <f>IF(Data!L133&gt;0,Data!L133,"")</f>
        <v/>
      </c>
      <c r="M133" s="1">
        <f>IF(Data!M133&gt;0,Data!M133,"")</f>
        <v/>
      </c>
      <c r="N133" s="1">
        <f>IF(Data!N133&gt;0,Data!N133,"")</f>
        <v/>
      </c>
      <c r="O133" s="1">
        <f>IF(Data!O133&gt;0,Data!O133,"")</f>
        <v/>
      </c>
      <c r="P133" s="1">
        <f>IF(Data!P133&gt;0,Data!P133,"")</f>
        <v/>
      </c>
      <c r="Q133" s="1">
        <f>IF(Data!Q133&gt;0,Data!Q133,"")</f>
        <v/>
      </c>
      <c r="R133" s="1">
        <f>IF(Data!R133&gt;0,Data!R133,"")</f>
        <v/>
      </c>
      <c r="S133" s="1">
        <f>IF(Data!S133&gt;0,Data!S133,"")</f>
        <v/>
      </c>
      <c r="V133" s="3">
        <f>IF(COUNT(D133,J133,K133,L133,M133,O133)&gt;0,AVERAGE(D133,J133,K133,L133,M133,O133),"")</f>
        <v/>
      </c>
      <c r="W133" s="3">
        <f>IF(COUNT(C133,F133,G133,N133,Q133)&gt;0,AVERAGE(C133,F133,G133,N133,Q133),"")</f>
        <v/>
      </c>
      <c r="X133" s="3">
        <f>IF(COUNT(B133,E133,H133,I133,P133,R133,S133)&gt;0,AVERAGE(B133,E133,H133,I133,P133,R133,S133),"")</f>
        <v/>
      </c>
      <c r="Y133" s="3" t="n"/>
      <c r="AJ133">
        <f>IFERROR(AVERAGEIF($A$4:$A$1004,AI133,$V$4:$V$1004),"")</f>
        <v/>
      </c>
      <c r="AK133">
        <f>IFERROR(AVERAGEIF($A$4:$A$1004,AI133,$W$4:$W$1004),"")</f>
        <v/>
      </c>
      <c r="AL133">
        <f>IFERROR(AVERAGEIF($A$4:$A$1004,AI133,$X$4:$X$1004),"")</f>
        <v/>
      </c>
    </row>
    <row r="134">
      <c r="A134" s="1">
        <f>IF(Data!A134&gt;0,Data!A134,"")</f>
        <v/>
      </c>
      <c r="B134" s="1">
        <f>IF(Data!B134&gt;0,Data!B134,"")</f>
        <v/>
      </c>
      <c r="C134" s="1">
        <f>IF(Data!C134&gt;0,Data!C134,"")</f>
        <v/>
      </c>
      <c r="D134" s="1">
        <f>IF(Data!D134&gt;0,Data!D134,"")</f>
        <v/>
      </c>
      <c r="E134" s="1">
        <f>IF(Data!E134&gt;0,Data!E134,"")</f>
        <v/>
      </c>
      <c r="F134" s="1">
        <f>IF(Data!F134&gt;0,Data!F134,"")</f>
        <v/>
      </c>
      <c r="G134" s="1">
        <f>IF(Data!G134&gt;0,Data!G134,"")</f>
        <v/>
      </c>
      <c r="H134" s="1">
        <f>IF(Data!H134&gt;0,Data!H134,"")</f>
        <v/>
      </c>
      <c r="I134" s="1">
        <f>IF(Data!I134&gt;0,Data!I134,"")</f>
        <v/>
      </c>
      <c r="J134" s="1">
        <f>IF(Data!J134&gt;0,Data!J134,"")</f>
        <v/>
      </c>
      <c r="K134" s="1">
        <f>IF(Data!K134&gt;0,Data!K134,"")</f>
        <v/>
      </c>
      <c r="L134" s="1">
        <f>IF(Data!L134&gt;0,Data!L134,"")</f>
        <v/>
      </c>
      <c r="M134" s="1">
        <f>IF(Data!M134&gt;0,Data!M134,"")</f>
        <v/>
      </c>
      <c r="N134" s="1">
        <f>IF(Data!N134&gt;0,Data!N134,"")</f>
        <v/>
      </c>
      <c r="O134" s="1">
        <f>IF(Data!O134&gt;0,Data!O134,"")</f>
        <v/>
      </c>
      <c r="P134" s="1">
        <f>IF(Data!P134&gt;0,Data!P134,"")</f>
        <v/>
      </c>
      <c r="Q134" s="1">
        <f>IF(Data!Q134&gt;0,Data!Q134,"")</f>
        <v/>
      </c>
      <c r="R134" s="1">
        <f>IF(Data!R134&gt;0,Data!R134,"")</f>
        <v/>
      </c>
      <c r="S134" s="1">
        <f>IF(Data!S134&gt;0,Data!S134,"")</f>
        <v/>
      </c>
      <c r="V134" s="3">
        <f>IF(COUNT(D134,J134,K134,L134,M134,O134)&gt;0,AVERAGE(D134,J134,K134,L134,M134,O134),"")</f>
        <v/>
      </c>
      <c r="W134" s="3">
        <f>IF(COUNT(C134,F134,G134,N134,Q134)&gt;0,AVERAGE(C134,F134,G134,N134,Q134),"")</f>
        <v/>
      </c>
      <c r="X134" s="3">
        <f>IF(COUNT(B134,E134,H134,I134,P134,R134,S134)&gt;0,AVERAGE(B134,E134,H134,I134,P134,R134,S134),"")</f>
        <v/>
      </c>
      <c r="Y134" s="3" t="n"/>
      <c r="AJ134">
        <f>IFERROR(AVERAGEIF($A$4:$A$1004,AI134,$V$4:$V$1004),"")</f>
        <v/>
      </c>
      <c r="AK134">
        <f>IFERROR(AVERAGEIF($A$4:$A$1004,AI134,$W$4:$W$1004),"")</f>
        <v/>
      </c>
      <c r="AL134">
        <f>IFERROR(AVERAGEIF($A$4:$A$1004,AI134,$X$4:$X$1004),"")</f>
        <v/>
      </c>
    </row>
    <row r="135">
      <c r="A135" s="1">
        <f>IF(Data!A135&gt;0,Data!A135,"")</f>
        <v/>
      </c>
      <c r="B135" s="1">
        <f>IF(Data!B135&gt;0,Data!B135,"")</f>
        <v/>
      </c>
      <c r="C135" s="1">
        <f>IF(Data!C135&gt;0,Data!C135,"")</f>
        <v/>
      </c>
      <c r="D135" s="1">
        <f>IF(Data!D135&gt;0,Data!D135,"")</f>
        <v/>
      </c>
      <c r="E135" s="1">
        <f>IF(Data!E135&gt;0,Data!E135,"")</f>
        <v/>
      </c>
      <c r="F135" s="1">
        <f>IF(Data!F135&gt;0,Data!F135,"")</f>
        <v/>
      </c>
      <c r="G135" s="1">
        <f>IF(Data!G135&gt;0,Data!G135,"")</f>
        <v/>
      </c>
      <c r="H135" s="1">
        <f>IF(Data!H135&gt;0,Data!H135,"")</f>
        <v/>
      </c>
      <c r="I135" s="1">
        <f>IF(Data!I135&gt;0,Data!I135,"")</f>
        <v/>
      </c>
      <c r="J135" s="1">
        <f>IF(Data!J135&gt;0,Data!J135,"")</f>
        <v/>
      </c>
      <c r="K135" s="1">
        <f>IF(Data!K135&gt;0,Data!K135,"")</f>
        <v/>
      </c>
      <c r="L135" s="1">
        <f>IF(Data!L135&gt;0,Data!L135,"")</f>
        <v/>
      </c>
      <c r="M135" s="1">
        <f>IF(Data!M135&gt;0,Data!M135,"")</f>
        <v/>
      </c>
      <c r="N135" s="1">
        <f>IF(Data!N135&gt;0,Data!N135,"")</f>
        <v/>
      </c>
      <c r="O135" s="1">
        <f>IF(Data!O135&gt;0,Data!O135,"")</f>
        <v/>
      </c>
      <c r="P135" s="1">
        <f>IF(Data!P135&gt;0,Data!P135,"")</f>
        <v/>
      </c>
      <c r="Q135" s="1">
        <f>IF(Data!Q135&gt;0,Data!Q135,"")</f>
        <v/>
      </c>
      <c r="R135" s="1">
        <f>IF(Data!R135&gt;0,Data!R135,"")</f>
        <v/>
      </c>
      <c r="S135" s="1">
        <f>IF(Data!S135&gt;0,Data!S135,"")</f>
        <v/>
      </c>
      <c r="V135" s="3">
        <f>IF(COUNT(D135,J135,K135,L135,M135,O135)&gt;0,AVERAGE(D135,J135,K135,L135,M135,O135),"")</f>
        <v/>
      </c>
      <c r="W135" s="3">
        <f>IF(COUNT(C135,F135,G135,N135,Q135)&gt;0,AVERAGE(C135,F135,G135,N135,Q135),"")</f>
        <v/>
      </c>
      <c r="X135" s="3">
        <f>IF(COUNT(B135,E135,H135,I135,P135,R135,S135)&gt;0,AVERAGE(B135,E135,H135,I135,P135,R135,S135),"")</f>
        <v/>
      </c>
      <c r="Y135" s="3" t="n"/>
      <c r="AJ135">
        <f>IFERROR(AVERAGEIF($A$4:$A$1004,AI135,$V$4:$V$1004),"")</f>
        <v/>
      </c>
      <c r="AK135">
        <f>IFERROR(AVERAGEIF($A$4:$A$1004,AI135,$W$4:$W$1004),"")</f>
        <v/>
      </c>
      <c r="AL135">
        <f>IFERROR(AVERAGEIF($A$4:$A$1004,AI135,$X$4:$X$1004),"")</f>
        <v/>
      </c>
    </row>
    <row r="136">
      <c r="A136" s="1">
        <f>IF(Data!A136&gt;0,Data!A136,"")</f>
        <v/>
      </c>
      <c r="B136" s="1">
        <f>IF(Data!B136&gt;0,Data!B136,"")</f>
        <v/>
      </c>
      <c r="C136" s="1">
        <f>IF(Data!C136&gt;0,Data!C136,"")</f>
        <v/>
      </c>
      <c r="D136" s="1">
        <f>IF(Data!D136&gt;0,Data!D136,"")</f>
        <v/>
      </c>
      <c r="E136" s="1">
        <f>IF(Data!E136&gt;0,Data!E136,"")</f>
        <v/>
      </c>
      <c r="F136" s="1">
        <f>IF(Data!F136&gt;0,Data!F136,"")</f>
        <v/>
      </c>
      <c r="G136" s="1">
        <f>IF(Data!G136&gt;0,Data!G136,"")</f>
        <v/>
      </c>
      <c r="H136" s="1">
        <f>IF(Data!H136&gt;0,Data!H136,"")</f>
        <v/>
      </c>
      <c r="I136" s="1">
        <f>IF(Data!I136&gt;0,Data!I136,"")</f>
        <v/>
      </c>
      <c r="J136" s="1">
        <f>IF(Data!J136&gt;0,Data!J136,"")</f>
        <v/>
      </c>
      <c r="K136" s="1">
        <f>IF(Data!K136&gt;0,Data!K136,"")</f>
        <v/>
      </c>
      <c r="L136" s="1">
        <f>IF(Data!L136&gt;0,Data!L136,"")</f>
        <v/>
      </c>
      <c r="M136" s="1">
        <f>IF(Data!M136&gt;0,Data!M136,"")</f>
        <v/>
      </c>
      <c r="N136" s="1">
        <f>IF(Data!N136&gt;0,Data!N136,"")</f>
        <v/>
      </c>
      <c r="O136" s="1">
        <f>IF(Data!O136&gt;0,Data!O136,"")</f>
        <v/>
      </c>
      <c r="P136" s="1">
        <f>IF(Data!P136&gt;0,Data!P136,"")</f>
        <v/>
      </c>
      <c r="Q136" s="1">
        <f>IF(Data!Q136&gt;0,Data!Q136,"")</f>
        <v/>
      </c>
      <c r="R136" s="1">
        <f>IF(Data!R136&gt;0,Data!R136,"")</f>
        <v/>
      </c>
      <c r="S136" s="1">
        <f>IF(Data!S136&gt;0,Data!S136,"")</f>
        <v/>
      </c>
      <c r="V136" s="3">
        <f>IF(COUNT(D136,J136,K136,L136,M136,O136)&gt;0,AVERAGE(D136,J136,K136,L136,M136,O136),"")</f>
        <v/>
      </c>
      <c r="W136" s="3">
        <f>IF(COUNT(C136,F136,G136,N136,Q136)&gt;0,AVERAGE(C136,F136,G136,N136,Q136),"")</f>
        <v/>
      </c>
      <c r="X136" s="3">
        <f>IF(COUNT(B136,E136,H136,I136,P136,R136,S136)&gt;0,AVERAGE(B136,E136,H136,I136,P136,R136,S136),"")</f>
        <v/>
      </c>
      <c r="Y136" s="3" t="n"/>
      <c r="AJ136">
        <f>IFERROR(AVERAGEIF($A$4:$A$1004,AI136,$V$4:$V$1004),"")</f>
        <v/>
      </c>
      <c r="AK136">
        <f>IFERROR(AVERAGEIF($A$4:$A$1004,AI136,$W$4:$W$1004),"")</f>
        <v/>
      </c>
      <c r="AL136">
        <f>IFERROR(AVERAGEIF($A$4:$A$1004,AI136,$X$4:$X$1004),"")</f>
        <v/>
      </c>
    </row>
    <row r="137">
      <c r="A137" s="1">
        <f>IF(Data!A137&gt;0,Data!A137,"")</f>
        <v/>
      </c>
      <c r="B137" s="1">
        <f>IF(Data!B137&gt;0,Data!B137,"")</f>
        <v/>
      </c>
      <c r="C137" s="1">
        <f>IF(Data!C137&gt;0,Data!C137,"")</f>
        <v/>
      </c>
      <c r="D137" s="1">
        <f>IF(Data!D137&gt;0,Data!D137,"")</f>
        <v/>
      </c>
      <c r="E137" s="1">
        <f>IF(Data!E137&gt;0,Data!E137,"")</f>
        <v/>
      </c>
      <c r="F137" s="1">
        <f>IF(Data!F137&gt;0,Data!F137,"")</f>
        <v/>
      </c>
      <c r="G137" s="1">
        <f>IF(Data!G137&gt;0,Data!G137,"")</f>
        <v/>
      </c>
      <c r="H137" s="1">
        <f>IF(Data!H137&gt;0,Data!H137,"")</f>
        <v/>
      </c>
      <c r="I137" s="1">
        <f>IF(Data!I137&gt;0,Data!I137,"")</f>
        <v/>
      </c>
      <c r="J137" s="1">
        <f>IF(Data!J137&gt;0,Data!J137,"")</f>
        <v/>
      </c>
      <c r="K137" s="1">
        <f>IF(Data!K137&gt;0,Data!K137,"")</f>
        <v/>
      </c>
      <c r="L137" s="1">
        <f>IF(Data!L137&gt;0,Data!L137,"")</f>
        <v/>
      </c>
      <c r="M137" s="1">
        <f>IF(Data!M137&gt;0,Data!M137,"")</f>
        <v/>
      </c>
      <c r="N137" s="1">
        <f>IF(Data!N137&gt;0,Data!N137,"")</f>
        <v/>
      </c>
      <c r="O137" s="1">
        <f>IF(Data!O137&gt;0,Data!O137,"")</f>
        <v/>
      </c>
      <c r="P137" s="1">
        <f>IF(Data!P137&gt;0,Data!P137,"")</f>
        <v/>
      </c>
      <c r="Q137" s="1">
        <f>IF(Data!Q137&gt;0,Data!Q137,"")</f>
        <v/>
      </c>
      <c r="R137" s="1">
        <f>IF(Data!R137&gt;0,Data!R137,"")</f>
        <v/>
      </c>
      <c r="S137" s="1">
        <f>IF(Data!S137&gt;0,Data!S137,"")</f>
        <v/>
      </c>
      <c r="V137" s="3">
        <f>IF(COUNT(D137,J137,K137,L137,M137,O137)&gt;0,AVERAGE(D137,J137,K137,L137,M137,O137),"")</f>
        <v/>
      </c>
      <c r="W137" s="3">
        <f>IF(COUNT(C137,F137,G137,N137,Q137)&gt;0,AVERAGE(C137,F137,G137,N137,Q137),"")</f>
        <v/>
      </c>
      <c r="X137" s="3">
        <f>IF(COUNT(B137,E137,H137,I137,P137,R137,S137)&gt;0,AVERAGE(B137,E137,H137,I137,P137,R137,S137),"")</f>
        <v/>
      </c>
      <c r="Y137" s="3" t="n"/>
      <c r="AJ137">
        <f>IFERROR(AVERAGEIF($A$4:$A$1004,AI137,$V$4:$V$1004),"")</f>
        <v/>
      </c>
      <c r="AK137">
        <f>IFERROR(AVERAGEIF($A$4:$A$1004,AI137,$W$4:$W$1004),"")</f>
        <v/>
      </c>
      <c r="AL137">
        <f>IFERROR(AVERAGEIF($A$4:$A$1004,AI137,$X$4:$X$1004),"")</f>
        <v/>
      </c>
    </row>
    <row r="138">
      <c r="A138" s="1">
        <f>IF(Data!A138&gt;0,Data!A138,"")</f>
        <v/>
      </c>
      <c r="B138" s="1">
        <f>IF(Data!B138&gt;0,Data!B138,"")</f>
        <v/>
      </c>
      <c r="C138" s="1">
        <f>IF(Data!C138&gt;0,Data!C138,"")</f>
        <v/>
      </c>
      <c r="D138" s="1">
        <f>IF(Data!D138&gt;0,Data!D138,"")</f>
        <v/>
      </c>
      <c r="E138" s="1">
        <f>IF(Data!E138&gt;0,Data!E138,"")</f>
        <v/>
      </c>
      <c r="F138" s="1">
        <f>IF(Data!F138&gt;0,Data!F138,"")</f>
        <v/>
      </c>
      <c r="G138" s="1">
        <f>IF(Data!G138&gt;0,Data!G138,"")</f>
        <v/>
      </c>
      <c r="H138" s="1">
        <f>IF(Data!H138&gt;0,Data!H138,"")</f>
        <v/>
      </c>
      <c r="I138" s="1">
        <f>IF(Data!I138&gt;0,Data!I138,"")</f>
        <v/>
      </c>
      <c r="J138" s="1">
        <f>IF(Data!J138&gt;0,Data!J138,"")</f>
        <v/>
      </c>
      <c r="K138" s="1">
        <f>IF(Data!K138&gt;0,Data!K138,"")</f>
        <v/>
      </c>
      <c r="L138" s="1">
        <f>IF(Data!L138&gt;0,Data!L138,"")</f>
        <v/>
      </c>
      <c r="M138" s="1">
        <f>IF(Data!M138&gt;0,Data!M138,"")</f>
        <v/>
      </c>
      <c r="N138" s="1">
        <f>IF(Data!N138&gt;0,Data!N138,"")</f>
        <v/>
      </c>
      <c r="O138" s="1">
        <f>IF(Data!O138&gt;0,Data!O138,"")</f>
        <v/>
      </c>
      <c r="P138" s="1">
        <f>IF(Data!P138&gt;0,Data!P138,"")</f>
        <v/>
      </c>
      <c r="Q138" s="1">
        <f>IF(Data!Q138&gt;0,Data!Q138,"")</f>
        <v/>
      </c>
      <c r="R138" s="1">
        <f>IF(Data!R138&gt;0,Data!R138,"")</f>
        <v/>
      </c>
      <c r="S138" s="1">
        <f>IF(Data!S138&gt;0,Data!S138,"")</f>
        <v/>
      </c>
      <c r="V138" s="3">
        <f>IF(COUNT(D138,J138,K138,L138,M138,O138)&gt;0,AVERAGE(D138,J138,K138,L138,M138,O138),"")</f>
        <v/>
      </c>
      <c r="W138" s="3">
        <f>IF(COUNT(C138,F138,G138,N138,Q138)&gt;0,AVERAGE(C138,F138,G138,N138,Q138),"")</f>
        <v/>
      </c>
      <c r="X138" s="3">
        <f>IF(COUNT(B138,E138,H138,I138,P138,R138,S138)&gt;0,AVERAGE(B138,E138,H138,I138,P138,R138,S138),"")</f>
        <v/>
      </c>
      <c r="Y138" s="3" t="n"/>
      <c r="AJ138">
        <f>IFERROR(AVERAGEIF($A$4:$A$1004,AI138,$V$4:$V$1004),"")</f>
        <v/>
      </c>
      <c r="AK138">
        <f>IFERROR(AVERAGEIF($A$4:$A$1004,AI138,$W$4:$W$1004),"")</f>
        <v/>
      </c>
      <c r="AL138">
        <f>IFERROR(AVERAGEIF($A$4:$A$1004,AI138,$X$4:$X$1004),"")</f>
        <v/>
      </c>
    </row>
    <row r="139">
      <c r="A139" s="1">
        <f>IF(Data!A139&gt;0,Data!A139,"")</f>
        <v/>
      </c>
      <c r="B139" s="1">
        <f>IF(Data!B139&gt;0,Data!B139,"")</f>
        <v/>
      </c>
      <c r="C139" s="1">
        <f>IF(Data!C139&gt;0,Data!C139,"")</f>
        <v/>
      </c>
      <c r="D139" s="1">
        <f>IF(Data!D139&gt;0,Data!D139,"")</f>
        <v/>
      </c>
      <c r="E139" s="1">
        <f>IF(Data!E139&gt;0,Data!E139,"")</f>
        <v/>
      </c>
      <c r="F139" s="1">
        <f>IF(Data!F139&gt;0,Data!F139,"")</f>
        <v/>
      </c>
      <c r="G139" s="1">
        <f>IF(Data!G139&gt;0,Data!G139,"")</f>
        <v/>
      </c>
      <c r="H139" s="1">
        <f>IF(Data!H139&gt;0,Data!H139,"")</f>
        <v/>
      </c>
      <c r="I139" s="1">
        <f>IF(Data!I139&gt;0,Data!I139,"")</f>
        <v/>
      </c>
      <c r="J139" s="1">
        <f>IF(Data!J139&gt;0,Data!J139,"")</f>
        <v/>
      </c>
      <c r="K139" s="1">
        <f>IF(Data!K139&gt;0,Data!K139,"")</f>
        <v/>
      </c>
      <c r="L139" s="1">
        <f>IF(Data!L139&gt;0,Data!L139,"")</f>
        <v/>
      </c>
      <c r="M139" s="1">
        <f>IF(Data!M139&gt;0,Data!M139,"")</f>
        <v/>
      </c>
      <c r="N139" s="1">
        <f>IF(Data!N139&gt;0,Data!N139,"")</f>
        <v/>
      </c>
      <c r="O139" s="1">
        <f>IF(Data!O139&gt;0,Data!O139,"")</f>
        <v/>
      </c>
      <c r="P139" s="1">
        <f>IF(Data!P139&gt;0,Data!P139,"")</f>
        <v/>
      </c>
      <c r="Q139" s="1">
        <f>IF(Data!Q139&gt;0,Data!Q139,"")</f>
        <v/>
      </c>
      <c r="R139" s="1">
        <f>IF(Data!R139&gt;0,Data!R139,"")</f>
        <v/>
      </c>
      <c r="S139" s="1">
        <f>IF(Data!S139&gt;0,Data!S139,"")</f>
        <v/>
      </c>
      <c r="V139" s="3">
        <f>IF(COUNT(D139,J139,K139,L139,M139,O139)&gt;0,AVERAGE(D139,J139,K139,L139,M139,O139),"")</f>
        <v/>
      </c>
      <c r="W139" s="3">
        <f>IF(COUNT(C139,F139,G139,N139,Q139)&gt;0,AVERAGE(C139,F139,G139,N139,Q139),"")</f>
        <v/>
      </c>
      <c r="X139" s="3">
        <f>IF(COUNT(B139,E139,H139,I139,P139,R139,S139)&gt;0,AVERAGE(B139,E139,H139,I139,P139,R139,S139),"")</f>
        <v/>
      </c>
      <c r="Y139" s="3" t="n"/>
      <c r="AJ139">
        <f>IFERROR(AVERAGEIF($A$4:$A$1004,AI139,$V$4:$V$1004),"")</f>
        <v/>
      </c>
      <c r="AK139">
        <f>IFERROR(AVERAGEIF($A$4:$A$1004,AI139,$W$4:$W$1004),"")</f>
        <v/>
      </c>
      <c r="AL139">
        <f>IFERROR(AVERAGEIF($A$4:$A$1004,AI139,$X$4:$X$1004),"")</f>
        <v/>
      </c>
    </row>
    <row r="140">
      <c r="A140" s="1">
        <f>IF(Data!A140&gt;0,Data!A140,"")</f>
        <v/>
      </c>
      <c r="B140" s="1">
        <f>IF(Data!B140&gt;0,Data!B140,"")</f>
        <v/>
      </c>
      <c r="C140" s="1">
        <f>IF(Data!C140&gt;0,Data!C140,"")</f>
        <v/>
      </c>
      <c r="D140" s="1">
        <f>IF(Data!D140&gt;0,Data!D140,"")</f>
        <v/>
      </c>
      <c r="E140" s="1">
        <f>IF(Data!E140&gt;0,Data!E140,"")</f>
        <v/>
      </c>
      <c r="F140" s="1">
        <f>IF(Data!F140&gt;0,Data!F140,"")</f>
        <v/>
      </c>
      <c r="G140" s="1">
        <f>IF(Data!G140&gt;0,Data!G140,"")</f>
        <v/>
      </c>
      <c r="H140" s="1">
        <f>IF(Data!H140&gt;0,Data!H140,"")</f>
        <v/>
      </c>
      <c r="I140" s="1">
        <f>IF(Data!I140&gt;0,Data!I140,"")</f>
        <v/>
      </c>
      <c r="J140" s="1">
        <f>IF(Data!J140&gt;0,Data!J140,"")</f>
        <v/>
      </c>
      <c r="K140" s="1">
        <f>IF(Data!K140&gt;0,Data!K140,"")</f>
        <v/>
      </c>
      <c r="L140" s="1">
        <f>IF(Data!L140&gt;0,Data!L140,"")</f>
        <v/>
      </c>
      <c r="M140" s="1">
        <f>IF(Data!M140&gt;0,Data!M140,"")</f>
        <v/>
      </c>
      <c r="N140" s="1">
        <f>IF(Data!N140&gt;0,Data!N140,"")</f>
        <v/>
      </c>
      <c r="O140" s="1">
        <f>IF(Data!O140&gt;0,Data!O140,"")</f>
        <v/>
      </c>
      <c r="P140" s="1">
        <f>IF(Data!P140&gt;0,Data!P140,"")</f>
        <v/>
      </c>
      <c r="Q140" s="1">
        <f>IF(Data!Q140&gt;0,Data!Q140,"")</f>
        <v/>
      </c>
      <c r="R140" s="1">
        <f>IF(Data!R140&gt;0,Data!R140,"")</f>
        <v/>
      </c>
      <c r="S140" s="1">
        <f>IF(Data!S140&gt;0,Data!S140,"")</f>
        <v/>
      </c>
      <c r="V140" s="3">
        <f>IF(COUNT(D140,J140,K140,L140,M140,O140)&gt;0,AVERAGE(D140,J140,K140,L140,M140,O140),"")</f>
        <v/>
      </c>
      <c r="W140" s="3">
        <f>IF(COUNT(C140,F140,G140,N140,Q140)&gt;0,AVERAGE(C140,F140,G140,N140,Q140),"")</f>
        <v/>
      </c>
      <c r="X140" s="3">
        <f>IF(COUNT(B140,E140,H140,I140,P140,R140,S140)&gt;0,AVERAGE(B140,E140,H140,I140,P140,R140,S140),"")</f>
        <v/>
      </c>
      <c r="Y140" s="3" t="n"/>
      <c r="AJ140">
        <f>IFERROR(AVERAGEIF($A$4:$A$1004,AI140,$V$4:$V$1004),"")</f>
        <v/>
      </c>
      <c r="AK140">
        <f>IFERROR(AVERAGEIF($A$4:$A$1004,AI140,$W$4:$W$1004),"")</f>
        <v/>
      </c>
      <c r="AL140">
        <f>IFERROR(AVERAGEIF($A$4:$A$1004,AI140,$X$4:$X$1004),"")</f>
        <v/>
      </c>
    </row>
    <row r="141">
      <c r="A141" s="1">
        <f>IF(Data!A141&gt;0,Data!A141,"")</f>
        <v/>
      </c>
      <c r="B141" s="1">
        <f>IF(Data!B141&gt;0,Data!B141,"")</f>
        <v/>
      </c>
      <c r="C141" s="1">
        <f>IF(Data!C141&gt;0,Data!C141,"")</f>
        <v/>
      </c>
      <c r="D141" s="1">
        <f>IF(Data!D141&gt;0,Data!D141,"")</f>
        <v/>
      </c>
      <c r="E141" s="1">
        <f>IF(Data!E141&gt;0,Data!E141,"")</f>
        <v/>
      </c>
      <c r="F141" s="1">
        <f>IF(Data!F141&gt;0,Data!F141,"")</f>
        <v/>
      </c>
      <c r="G141" s="1">
        <f>IF(Data!G141&gt;0,Data!G141,"")</f>
        <v/>
      </c>
      <c r="H141" s="1">
        <f>IF(Data!H141&gt;0,Data!H141,"")</f>
        <v/>
      </c>
      <c r="I141" s="1">
        <f>IF(Data!I141&gt;0,Data!I141,"")</f>
        <v/>
      </c>
      <c r="J141" s="1">
        <f>IF(Data!J141&gt;0,Data!J141,"")</f>
        <v/>
      </c>
      <c r="K141" s="1">
        <f>IF(Data!K141&gt;0,Data!K141,"")</f>
        <v/>
      </c>
      <c r="L141" s="1">
        <f>IF(Data!L141&gt;0,Data!L141,"")</f>
        <v/>
      </c>
      <c r="M141" s="1">
        <f>IF(Data!M141&gt;0,Data!M141,"")</f>
        <v/>
      </c>
      <c r="N141" s="1">
        <f>IF(Data!N141&gt;0,Data!N141,"")</f>
        <v/>
      </c>
      <c r="O141" s="1">
        <f>IF(Data!O141&gt;0,Data!O141,"")</f>
        <v/>
      </c>
      <c r="P141" s="1">
        <f>IF(Data!P141&gt;0,Data!P141,"")</f>
        <v/>
      </c>
      <c r="Q141" s="1">
        <f>IF(Data!Q141&gt;0,Data!Q141,"")</f>
        <v/>
      </c>
      <c r="R141" s="1">
        <f>IF(Data!R141&gt;0,Data!R141,"")</f>
        <v/>
      </c>
      <c r="S141" s="1">
        <f>IF(Data!S141&gt;0,Data!S141,"")</f>
        <v/>
      </c>
      <c r="V141" s="3">
        <f>IF(COUNT(D141,J141,K141,L141,M141,O141)&gt;0,AVERAGE(D141,J141,K141,L141,M141,O141),"")</f>
        <v/>
      </c>
      <c r="W141" s="3">
        <f>IF(COUNT(C141,F141,G141,N141,Q141)&gt;0,AVERAGE(C141,F141,G141,N141,Q141),"")</f>
        <v/>
      </c>
      <c r="X141" s="3">
        <f>IF(COUNT(B141,E141,H141,I141,P141,R141,S141)&gt;0,AVERAGE(B141,E141,H141,I141,P141,R141,S141),"")</f>
        <v/>
      </c>
      <c r="Y141" s="3" t="n"/>
      <c r="AJ141">
        <f>IFERROR(AVERAGEIF($A$4:$A$1004,AI141,$V$4:$V$1004),"")</f>
        <v/>
      </c>
      <c r="AK141">
        <f>IFERROR(AVERAGEIF($A$4:$A$1004,AI141,$W$4:$W$1004),"")</f>
        <v/>
      </c>
      <c r="AL141">
        <f>IFERROR(AVERAGEIF($A$4:$A$1004,AI141,$X$4:$X$1004),"")</f>
        <v/>
      </c>
    </row>
    <row r="142">
      <c r="A142" s="1">
        <f>IF(Data!A142&gt;0,Data!A142,"")</f>
        <v/>
      </c>
      <c r="B142" s="1">
        <f>IF(Data!B142&gt;0,Data!B142,"")</f>
        <v/>
      </c>
      <c r="C142" s="1">
        <f>IF(Data!C142&gt;0,Data!C142,"")</f>
        <v/>
      </c>
      <c r="D142" s="1">
        <f>IF(Data!D142&gt;0,Data!D142,"")</f>
        <v/>
      </c>
      <c r="E142" s="1">
        <f>IF(Data!E142&gt;0,Data!E142,"")</f>
        <v/>
      </c>
      <c r="F142" s="1">
        <f>IF(Data!F142&gt;0,Data!F142,"")</f>
        <v/>
      </c>
      <c r="G142" s="1">
        <f>IF(Data!G142&gt;0,Data!G142,"")</f>
        <v/>
      </c>
      <c r="H142" s="1">
        <f>IF(Data!H142&gt;0,Data!H142,"")</f>
        <v/>
      </c>
      <c r="I142" s="1">
        <f>IF(Data!I142&gt;0,Data!I142,"")</f>
        <v/>
      </c>
      <c r="J142" s="1">
        <f>IF(Data!J142&gt;0,Data!J142,"")</f>
        <v/>
      </c>
      <c r="K142" s="1">
        <f>IF(Data!K142&gt;0,Data!K142,"")</f>
        <v/>
      </c>
      <c r="L142" s="1">
        <f>IF(Data!L142&gt;0,Data!L142,"")</f>
        <v/>
      </c>
      <c r="M142" s="1">
        <f>IF(Data!M142&gt;0,Data!M142,"")</f>
        <v/>
      </c>
      <c r="N142" s="1">
        <f>IF(Data!N142&gt;0,Data!N142,"")</f>
        <v/>
      </c>
      <c r="O142" s="1">
        <f>IF(Data!O142&gt;0,Data!O142,"")</f>
        <v/>
      </c>
      <c r="P142" s="1">
        <f>IF(Data!P142&gt;0,Data!P142,"")</f>
        <v/>
      </c>
      <c r="Q142" s="1">
        <f>IF(Data!Q142&gt;0,Data!Q142,"")</f>
        <v/>
      </c>
      <c r="R142" s="1">
        <f>IF(Data!R142&gt;0,Data!R142,"")</f>
        <v/>
      </c>
      <c r="S142" s="1">
        <f>IF(Data!S142&gt;0,Data!S142,"")</f>
        <v/>
      </c>
      <c r="V142" s="3">
        <f>IF(COUNT(D142,J142,K142,L142,M142,O142)&gt;0,AVERAGE(D142,J142,K142,L142,M142,O142),"")</f>
        <v/>
      </c>
      <c r="W142" s="3">
        <f>IF(COUNT(C142,F142,G142,N142,Q142)&gt;0,AVERAGE(C142,F142,G142,N142,Q142),"")</f>
        <v/>
      </c>
      <c r="X142" s="3">
        <f>IF(COUNT(B142,E142,H142,I142,P142,R142,S142)&gt;0,AVERAGE(B142,E142,H142,I142,P142,R142,S142),"")</f>
        <v/>
      </c>
      <c r="Y142" s="3" t="n"/>
      <c r="AJ142">
        <f>IFERROR(AVERAGEIF($A$4:$A$1004,AI142,$V$4:$V$1004),"")</f>
        <v/>
      </c>
      <c r="AK142">
        <f>IFERROR(AVERAGEIF($A$4:$A$1004,AI142,$W$4:$W$1004),"")</f>
        <v/>
      </c>
      <c r="AL142">
        <f>IFERROR(AVERAGEIF($A$4:$A$1004,AI142,$X$4:$X$1004),"")</f>
        <v/>
      </c>
    </row>
    <row r="143">
      <c r="A143" s="1">
        <f>IF(Data!A143&gt;0,Data!A143,"")</f>
        <v/>
      </c>
      <c r="B143" s="1">
        <f>IF(Data!B143&gt;0,Data!B143,"")</f>
        <v/>
      </c>
      <c r="C143" s="1">
        <f>IF(Data!C143&gt;0,Data!C143,"")</f>
        <v/>
      </c>
      <c r="D143" s="1">
        <f>IF(Data!D143&gt;0,Data!D143,"")</f>
        <v/>
      </c>
      <c r="E143" s="1">
        <f>IF(Data!E143&gt;0,Data!E143,"")</f>
        <v/>
      </c>
      <c r="F143" s="1">
        <f>IF(Data!F143&gt;0,Data!F143,"")</f>
        <v/>
      </c>
      <c r="G143" s="1">
        <f>IF(Data!G143&gt;0,Data!G143,"")</f>
        <v/>
      </c>
      <c r="H143" s="1">
        <f>IF(Data!H143&gt;0,Data!H143,"")</f>
        <v/>
      </c>
      <c r="I143" s="1">
        <f>IF(Data!I143&gt;0,Data!I143,"")</f>
        <v/>
      </c>
      <c r="J143" s="1">
        <f>IF(Data!J143&gt;0,Data!J143,"")</f>
        <v/>
      </c>
      <c r="K143" s="1">
        <f>IF(Data!K143&gt;0,Data!K143,"")</f>
        <v/>
      </c>
      <c r="L143" s="1">
        <f>IF(Data!L143&gt;0,Data!L143,"")</f>
        <v/>
      </c>
      <c r="M143" s="1">
        <f>IF(Data!M143&gt;0,Data!M143,"")</f>
        <v/>
      </c>
      <c r="N143" s="1">
        <f>IF(Data!N143&gt;0,Data!N143,"")</f>
        <v/>
      </c>
      <c r="O143" s="1">
        <f>IF(Data!O143&gt;0,Data!O143,"")</f>
        <v/>
      </c>
      <c r="P143" s="1">
        <f>IF(Data!P143&gt;0,Data!P143,"")</f>
        <v/>
      </c>
      <c r="Q143" s="1">
        <f>IF(Data!Q143&gt;0,Data!Q143,"")</f>
        <v/>
      </c>
      <c r="R143" s="1">
        <f>IF(Data!R143&gt;0,Data!R143,"")</f>
        <v/>
      </c>
      <c r="S143" s="1">
        <f>IF(Data!S143&gt;0,Data!S143,"")</f>
        <v/>
      </c>
      <c r="V143" s="3">
        <f>IF(COUNT(D143,J143,K143,L143,M143,O143)&gt;0,AVERAGE(D143,J143,K143,L143,M143,O143),"")</f>
        <v/>
      </c>
      <c r="W143" s="3">
        <f>IF(COUNT(C143,F143,G143,N143,Q143)&gt;0,AVERAGE(C143,F143,G143,N143,Q143),"")</f>
        <v/>
      </c>
      <c r="X143" s="3">
        <f>IF(COUNT(B143,E143,H143,I143,P143,R143,S143)&gt;0,AVERAGE(B143,E143,H143,I143,P143,R143,S143),"")</f>
        <v/>
      </c>
      <c r="Y143" s="3" t="n"/>
      <c r="AJ143">
        <f>IFERROR(AVERAGEIF($A$4:$A$1004,AI143,$V$4:$V$1004),"")</f>
        <v/>
      </c>
      <c r="AK143">
        <f>IFERROR(AVERAGEIF($A$4:$A$1004,AI143,$W$4:$W$1004),"")</f>
        <v/>
      </c>
      <c r="AL143">
        <f>IFERROR(AVERAGEIF($A$4:$A$1004,AI143,$X$4:$X$1004),"")</f>
        <v/>
      </c>
    </row>
    <row r="144">
      <c r="A144" s="1">
        <f>IF(Data!A144&gt;0,Data!A144,"")</f>
        <v/>
      </c>
      <c r="B144" s="1">
        <f>IF(Data!B144&gt;0,Data!B144,"")</f>
        <v/>
      </c>
      <c r="C144" s="1">
        <f>IF(Data!C144&gt;0,Data!C144,"")</f>
        <v/>
      </c>
      <c r="D144" s="1">
        <f>IF(Data!D144&gt;0,Data!D144,"")</f>
        <v/>
      </c>
      <c r="E144" s="1">
        <f>IF(Data!E144&gt;0,Data!E144,"")</f>
        <v/>
      </c>
      <c r="F144" s="1">
        <f>IF(Data!F144&gt;0,Data!F144,"")</f>
        <v/>
      </c>
      <c r="G144" s="1">
        <f>IF(Data!G144&gt;0,Data!G144,"")</f>
        <v/>
      </c>
      <c r="H144" s="1">
        <f>IF(Data!H144&gt;0,Data!H144,"")</f>
        <v/>
      </c>
      <c r="I144" s="1">
        <f>IF(Data!I144&gt;0,Data!I144,"")</f>
        <v/>
      </c>
      <c r="J144" s="1">
        <f>IF(Data!J144&gt;0,Data!J144,"")</f>
        <v/>
      </c>
      <c r="K144" s="1">
        <f>IF(Data!K144&gt;0,Data!K144,"")</f>
        <v/>
      </c>
      <c r="L144" s="1">
        <f>IF(Data!L144&gt;0,Data!L144,"")</f>
        <v/>
      </c>
      <c r="M144" s="1">
        <f>IF(Data!M144&gt;0,Data!M144,"")</f>
        <v/>
      </c>
      <c r="N144" s="1">
        <f>IF(Data!N144&gt;0,Data!N144,"")</f>
        <v/>
      </c>
      <c r="O144" s="1">
        <f>IF(Data!O144&gt;0,Data!O144,"")</f>
        <v/>
      </c>
      <c r="P144" s="1">
        <f>IF(Data!P144&gt;0,Data!P144,"")</f>
        <v/>
      </c>
      <c r="Q144" s="1">
        <f>IF(Data!Q144&gt;0,Data!Q144,"")</f>
        <v/>
      </c>
      <c r="R144" s="1">
        <f>IF(Data!R144&gt;0,Data!R144,"")</f>
        <v/>
      </c>
      <c r="S144" s="1">
        <f>IF(Data!S144&gt;0,Data!S144,"")</f>
        <v/>
      </c>
      <c r="V144" s="3">
        <f>IF(COUNT(D144,J144,K144,L144,M144,O144)&gt;0,AVERAGE(D144,J144,K144,L144,M144,O144),"")</f>
        <v/>
      </c>
      <c r="W144" s="3">
        <f>IF(COUNT(C144,F144,G144,N144,Q144)&gt;0,AVERAGE(C144,F144,G144,N144,Q144),"")</f>
        <v/>
      </c>
      <c r="X144" s="3">
        <f>IF(COUNT(B144,E144,H144,I144,P144,R144,S144)&gt;0,AVERAGE(B144,E144,H144,I144,P144,R144,S144),"")</f>
        <v/>
      </c>
      <c r="Y144" s="3" t="n"/>
      <c r="AJ144">
        <f>IFERROR(AVERAGEIF($A$4:$A$1004,AI144,$V$4:$V$1004),"")</f>
        <v/>
      </c>
      <c r="AK144">
        <f>IFERROR(AVERAGEIF($A$4:$A$1004,AI144,$W$4:$W$1004),"")</f>
        <v/>
      </c>
      <c r="AL144">
        <f>IFERROR(AVERAGEIF($A$4:$A$1004,AI144,$X$4:$X$1004),"")</f>
        <v/>
      </c>
    </row>
    <row r="145">
      <c r="A145" s="1">
        <f>IF(Data!A145&gt;0,Data!A145,"")</f>
        <v/>
      </c>
      <c r="B145" s="1">
        <f>IF(Data!B145&gt;0,Data!B145,"")</f>
        <v/>
      </c>
      <c r="C145" s="1">
        <f>IF(Data!C145&gt;0,Data!C145,"")</f>
        <v/>
      </c>
      <c r="D145" s="1">
        <f>IF(Data!D145&gt;0,Data!D145,"")</f>
        <v/>
      </c>
      <c r="E145" s="1">
        <f>IF(Data!E145&gt;0,Data!E145,"")</f>
        <v/>
      </c>
      <c r="F145" s="1">
        <f>IF(Data!F145&gt;0,Data!F145,"")</f>
        <v/>
      </c>
      <c r="G145" s="1">
        <f>IF(Data!G145&gt;0,Data!G145,"")</f>
        <v/>
      </c>
      <c r="H145" s="1">
        <f>IF(Data!H145&gt;0,Data!H145,"")</f>
        <v/>
      </c>
      <c r="I145" s="1">
        <f>IF(Data!I145&gt;0,Data!I145,"")</f>
        <v/>
      </c>
      <c r="J145" s="1">
        <f>IF(Data!J145&gt;0,Data!J145,"")</f>
        <v/>
      </c>
      <c r="K145" s="1">
        <f>IF(Data!K145&gt;0,Data!K145,"")</f>
        <v/>
      </c>
      <c r="L145" s="1">
        <f>IF(Data!L145&gt;0,Data!L145,"")</f>
        <v/>
      </c>
      <c r="M145" s="1">
        <f>IF(Data!M145&gt;0,Data!M145,"")</f>
        <v/>
      </c>
      <c r="N145" s="1">
        <f>IF(Data!N145&gt;0,Data!N145,"")</f>
        <v/>
      </c>
      <c r="O145" s="1">
        <f>IF(Data!O145&gt;0,Data!O145,"")</f>
        <v/>
      </c>
      <c r="P145" s="1">
        <f>IF(Data!P145&gt;0,Data!P145,"")</f>
        <v/>
      </c>
      <c r="Q145" s="1">
        <f>IF(Data!Q145&gt;0,Data!Q145,"")</f>
        <v/>
      </c>
      <c r="R145" s="1">
        <f>IF(Data!R145&gt;0,Data!R145,"")</f>
        <v/>
      </c>
      <c r="S145" s="1">
        <f>IF(Data!S145&gt;0,Data!S145,"")</f>
        <v/>
      </c>
      <c r="V145" s="3">
        <f>IF(COUNT(D145,J145,K145,L145,M145,O145)&gt;0,AVERAGE(D145,J145,K145,L145,M145,O145),"")</f>
        <v/>
      </c>
      <c r="W145" s="3">
        <f>IF(COUNT(C145,F145,G145,N145,Q145)&gt;0,AVERAGE(C145,F145,G145,N145,Q145),"")</f>
        <v/>
      </c>
      <c r="X145" s="3">
        <f>IF(COUNT(B145,E145,H145,I145,P145,R145,S145)&gt;0,AVERAGE(B145,E145,H145,I145,P145,R145,S145),"")</f>
        <v/>
      </c>
      <c r="Y145" s="3" t="n"/>
      <c r="AJ145">
        <f>IFERROR(AVERAGEIF($A$4:$A$1004,AI145,$V$4:$V$1004),"")</f>
        <v/>
      </c>
      <c r="AK145">
        <f>IFERROR(AVERAGEIF($A$4:$A$1004,AI145,$W$4:$W$1004),"")</f>
        <v/>
      </c>
      <c r="AL145">
        <f>IFERROR(AVERAGEIF($A$4:$A$1004,AI145,$X$4:$X$1004),"")</f>
        <v/>
      </c>
    </row>
    <row r="146">
      <c r="A146" s="1">
        <f>IF(Data!A146&gt;0,Data!A146,"")</f>
        <v/>
      </c>
      <c r="B146" s="1">
        <f>IF(Data!B146&gt;0,Data!B146,"")</f>
        <v/>
      </c>
      <c r="C146" s="1">
        <f>IF(Data!C146&gt;0,Data!C146,"")</f>
        <v/>
      </c>
      <c r="D146" s="1">
        <f>IF(Data!D146&gt;0,Data!D146,"")</f>
        <v/>
      </c>
      <c r="E146" s="1">
        <f>IF(Data!E146&gt;0,Data!E146,"")</f>
        <v/>
      </c>
      <c r="F146" s="1">
        <f>IF(Data!F146&gt;0,Data!F146,"")</f>
        <v/>
      </c>
      <c r="G146" s="1">
        <f>IF(Data!G146&gt;0,Data!G146,"")</f>
        <v/>
      </c>
      <c r="H146" s="1">
        <f>IF(Data!H146&gt;0,Data!H146,"")</f>
        <v/>
      </c>
      <c r="I146" s="1">
        <f>IF(Data!I146&gt;0,Data!I146,"")</f>
        <v/>
      </c>
      <c r="J146" s="1">
        <f>IF(Data!J146&gt;0,Data!J146,"")</f>
        <v/>
      </c>
      <c r="K146" s="1">
        <f>IF(Data!K146&gt;0,Data!K146,"")</f>
        <v/>
      </c>
      <c r="L146" s="1">
        <f>IF(Data!L146&gt;0,Data!L146,"")</f>
        <v/>
      </c>
      <c r="M146" s="1">
        <f>IF(Data!M146&gt;0,Data!M146,"")</f>
        <v/>
      </c>
      <c r="N146" s="1">
        <f>IF(Data!N146&gt;0,Data!N146,"")</f>
        <v/>
      </c>
      <c r="O146" s="1">
        <f>IF(Data!O146&gt;0,Data!O146,"")</f>
        <v/>
      </c>
      <c r="P146" s="1">
        <f>IF(Data!P146&gt;0,Data!P146,"")</f>
        <v/>
      </c>
      <c r="Q146" s="1">
        <f>IF(Data!Q146&gt;0,Data!Q146,"")</f>
        <v/>
      </c>
      <c r="R146" s="1">
        <f>IF(Data!R146&gt;0,Data!R146,"")</f>
        <v/>
      </c>
      <c r="S146" s="1">
        <f>IF(Data!S146&gt;0,Data!S146,"")</f>
        <v/>
      </c>
      <c r="V146" s="3">
        <f>IF(COUNT(D146,J146,K146,L146,M146,O146)&gt;0,AVERAGE(D146,J146,K146,L146,M146,O146),"")</f>
        <v/>
      </c>
      <c r="W146" s="3">
        <f>IF(COUNT(C146,F146,G146,N146,Q146)&gt;0,AVERAGE(C146,F146,G146,N146,Q146),"")</f>
        <v/>
      </c>
      <c r="X146" s="3">
        <f>IF(COUNT(B146,E146,H146,I146,P146,R146,S146)&gt;0,AVERAGE(B146,E146,H146,I146,P146,R146,S146),"")</f>
        <v/>
      </c>
      <c r="Y146" s="3" t="n"/>
      <c r="AJ146">
        <f>IFERROR(AVERAGEIF($A$4:$A$1004,AI146,$V$4:$V$1004),"")</f>
        <v/>
      </c>
      <c r="AK146">
        <f>IFERROR(AVERAGEIF($A$4:$A$1004,AI146,$W$4:$W$1004),"")</f>
        <v/>
      </c>
      <c r="AL146">
        <f>IFERROR(AVERAGEIF($A$4:$A$1004,AI146,$X$4:$X$1004),"")</f>
        <v/>
      </c>
    </row>
    <row r="147">
      <c r="A147" s="1">
        <f>IF(Data!A147&gt;0,Data!A147,"")</f>
        <v/>
      </c>
      <c r="B147" s="1">
        <f>IF(Data!B147&gt;0,Data!B147,"")</f>
        <v/>
      </c>
      <c r="C147" s="1">
        <f>IF(Data!C147&gt;0,Data!C147,"")</f>
        <v/>
      </c>
      <c r="D147" s="1">
        <f>IF(Data!D147&gt;0,Data!D147,"")</f>
        <v/>
      </c>
      <c r="E147" s="1">
        <f>IF(Data!E147&gt;0,Data!E147,"")</f>
        <v/>
      </c>
      <c r="F147" s="1">
        <f>IF(Data!F147&gt;0,Data!F147,"")</f>
        <v/>
      </c>
      <c r="G147" s="1">
        <f>IF(Data!G147&gt;0,Data!G147,"")</f>
        <v/>
      </c>
      <c r="H147" s="1">
        <f>IF(Data!H147&gt;0,Data!H147,"")</f>
        <v/>
      </c>
      <c r="I147" s="1">
        <f>IF(Data!I147&gt;0,Data!I147,"")</f>
        <v/>
      </c>
      <c r="J147" s="1">
        <f>IF(Data!J147&gt;0,Data!J147,"")</f>
        <v/>
      </c>
      <c r="K147" s="1">
        <f>IF(Data!K147&gt;0,Data!K147,"")</f>
        <v/>
      </c>
      <c r="L147" s="1">
        <f>IF(Data!L147&gt;0,Data!L147,"")</f>
        <v/>
      </c>
      <c r="M147" s="1">
        <f>IF(Data!M147&gt;0,Data!M147,"")</f>
        <v/>
      </c>
      <c r="N147" s="1">
        <f>IF(Data!N147&gt;0,Data!N147,"")</f>
        <v/>
      </c>
      <c r="O147" s="1">
        <f>IF(Data!O147&gt;0,Data!O147,"")</f>
        <v/>
      </c>
      <c r="P147" s="1">
        <f>IF(Data!P147&gt;0,Data!P147,"")</f>
        <v/>
      </c>
      <c r="Q147" s="1">
        <f>IF(Data!Q147&gt;0,Data!Q147,"")</f>
        <v/>
      </c>
      <c r="R147" s="1">
        <f>IF(Data!R147&gt;0,Data!R147,"")</f>
        <v/>
      </c>
      <c r="S147" s="1">
        <f>IF(Data!S147&gt;0,Data!S147,"")</f>
        <v/>
      </c>
      <c r="V147" s="3">
        <f>IF(COUNT(D147,J147,K147,L147,M147,O147)&gt;0,AVERAGE(D147,J147,K147,L147,M147,O147),"")</f>
        <v/>
      </c>
      <c r="W147" s="3">
        <f>IF(COUNT(C147,F147,G147,N147,Q147)&gt;0,AVERAGE(C147,F147,G147,N147,Q147),"")</f>
        <v/>
      </c>
      <c r="X147" s="3">
        <f>IF(COUNT(B147,E147,H147,I147,P147,R147,S147)&gt;0,AVERAGE(B147,E147,H147,I147,P147,R147,S147),"")</f>
        <v/>
      </c>
      <c r="Y147" s="3" t="n"/>
      <c r="AJ147">
        <f>IFERROR(AVERAGEIF($A$4:$A$1004,AI147,$V$4:$V$1004),"")</f>
        <v/>
      </c>
      <c r="AK147">
        <f>IFERROR(AVERAGEIF($A$4:$A$1004,AI147,$W$4:$W$1004),"")</f>
        <v/>
      </c>
      <c r="AL147">
        <f>IFERROR(AVERAGEIF($A$4:$A$1004,AI147,$X$4:$X$1004),"")</f>
        <v/>
      </c>
    </row>
    <row r="148">
      <c r="A148" s="1">
        <f>IF(Data!A148&gt;0,Data!A148,"")</f>
        <v/>
      </c>
      <c r="B148" s="1">
        <f>IF(Data!B148&gt;0,Data!B148,"")</f>
        <v/>
      </c>
      <c r="C148" s="1">
        <f>IF(Data!C148&gt;0,Data!C148,"")</f>
        <v/>
      </c>
      <c r="D148" s="1">
        <f>IF(Data!D148&gt;0,Data!D148,"")</f>
        <v/>
      </c>
      <c r="E148" s="1">
        <f>IF(Data!E148&gt;0,Data!E148,"")</f>
        <v/>
      </c>
      <c r="F148" s="1">
        <f>IF(Data!F148&gt;0,Data!F148,"")</f>
        <v/>
      </c>
      <c r="G148" s="1">
        <f>IF(Data!G148&gt;0,Data!G148,"")</f>
        <v/>
      </c>
      <c r="H148" s="1">
        <f>IF(Data!H148&gt;0,Data!H148,"")</f>
        <v/>
      </c>
      <c r="I148" s="1">
        <f>IF(Data!I148&gt;0,Data!I148,"")</f>
        <v/>
      </c>
      <c r="J148" s="1">
        <f>IF(Data!J148&gt;0,Data!J148,"")</f>
        <v/>
      </c>
      <c r="K148" s="1">
        <f>IF(Data!K148&gt;0,Data!K148,"")</f>
        <v/>
      </c>
      <c r="L148" s="1">
        <f>IF(Data!L148&gt;0,Data!L148,"")</f>
        <v/>
      </c>
      <c r="M148" s="1">
        <f>IF(Data!M148&gt;0,Data!M148,"")</f>
        <v/>
      </c>
      <c r="N148" s="1">
        <f>IF(Data!N148&gt;0,Data!N148,"")</f>
        <v/>
      </c>
      <c r="O148" s="1">
        <f>IF(Data!O148&gt;0,Data!O148,"")</f>
        <v/>
      </c>
      <c r="P148" s="1">
        <f>IF(Data!P148&gt;0,Data!P148,"")</f>
        <v/>
      </c>
      <c r="Q148" s="1">
        <f>IF(Data!Q148&gt;0,Data!Q148,"")</f>
        <v/>
      </c>
      <c r="R148" s="1">
        <f>IF(Data!R148&gt;0,Data!R148,"")</f>
        <v/>
      </c>
      <c r="S148" s="1">
        <f>IF(Data!S148&gt;0,Data!S148,"")</f>
        <v/>
      </c>
      <c r="V148" s="3">
        <f>IF(COUNT(D148,J148,K148,L148,M148,O148)&gt;0,AVERAGE(D148,J148,K148,L148,M148,O148),"")</f>
        <v/>
      </c>
      <c r="W148" s="3">
        <f>IF(COUNT(C148,F148,G148,N148,Q148)&gt;0,AVERAGE(C148,F148,G148,N148,Q148),"")</f>
        <v/>
      </c>
      <c r="X148" s="3">
        <f>IF(COUNT(B148,E148,H148,I148,P148,R148,S148)&gt;0,AVERAGE(B148,E148,H148,I148,P148,R148,S148),"")</f>
        <v/>
      </c>
      <c r="Y148" s="3" t="n"/>
      <c r="AJ148">
        <f>IFERROR(AVERAGEIF($A$4:$A$1004,AI148,$V$4:$V$1004),"")</f>
        <v/>
      </c>
      <c r="AK148">
        <f>IFERROR(AVERAGEIF($A$4:$A$1004,AI148,$W$4:$W$1004),"")</f>
        <v/>
      </c>
      <c r="AL148">
        <f>IFERROR(AVERAGEIF($A$4:$A$1004,AI148,$X$4:$X$1004),"")</f>
        <v/>
      </c>
    </row>
    <row r="149">
      <c r="A149" s="1">
        <f>IF(Data!A149&gt;0,Data!A149,"")</f>
        <v/>
      </c>
      <c r="B149" s="1">
        <f>IF(Data!B149&gt;0,Data!B149,"")</f>
        <v/>
      </c>
      <c r="C149" s="1">
        <f>IF(Data!C149&gt;0,Data!C149,"")</f>
        <v/>
      </c>
      <c r="D149" s="1">
        <f>IF(Data!D149&gt;0,Data!D149,"")</f>
        <v/>
      </c>
      <c r="E149" s="1">
        <f>IF(Data!E149&gt;0,Data!E149,"")</f>
        <v/>
      </c>
      <c r="F149" s="1">
        <f>IF(Data!F149&gt;0,Data!F149,"")</f>
        <v/>
      </c>
      <c r="G149" s="1">
        <f>IF(Data!G149&gt;0,Data!G149,"")</f>
        <v/>
      </c>
      <c r="H149" s="1">
        <f>IF(Data!H149&gt;0,Data!H149,"")</f>
        <v/>
      </c>
      <c r="I149" s="1">
        <f>IF(Data!I149&gt;0,Data!I149,"")</f>
        <v/>
      </c>
      <c r="J149" s="1">
        <f>IF(Data!J149&gt;0,Data!J149,"")</f>
        <v/>
      </c>
      <c r="K149" s="1">
        <f>IF(Data!K149&gt;0,Data!K149,"")</f>
        <v/>
      </c>
      <c r="L149" s="1">
        <f>IF(Data!L149&gt;0,Data!L149,"")</f>
        <v/>
      </c>
      <c r="M149" s="1">
        <f>IF(Data!M149&gt;0,Data!M149,"")</f>
        <v/>
      </c>
      <c r="N149" s="1">
        <f>IF(Data!N149&gt;0,Data!N149,"")</f>
        <v/>
      </c>
      <c r="O149" s="1">
        <f>IF(Data!O149&gt;0,Data!O149,"")</f>
        <v/>
      </c>
      <c r="P149" s="1">
        <f>IF(Data!P149&gt;0,Data!P149,"")</f>
        <v/>
      </c>
      <c r="Q149" s="1">
        <f>IF(Data!Q149&gt;0,Data!Q149,"")</f>
        <v/>
      </c>
      <c r="R149" s="1">
        <f>IF(Data!R149&gt;0,Data!R149,"")</f>
        <v/>
      </c>
      <c r="S149" s="1">
        <f>IF(Data!S149&gt;0,Data!S149,"")</f>
        <v/>
      </c>
      <c r="V149" s="3">
        <f>IF(COUNT(D149,J149,K149,L149,M149,O149)&gt;0,AVERAGE(D149,J149,K149,L149,M149,O149),"")</f>
        <v/>
      </c>
      <c r="W149" s="3">
        <f>IF(COUNT(C149,F149,G149,N149,Q149)&gt;0,AVERAGE(C149,F149,G149,N149,Q149),"")</f>
        <v/>
      </c>
      <c r="X149" s="3">
        <f>IF(COUNT(B149,E149,H149,I149,P149,R149,S149)&gt;0,AVERAGE(B149,E149,H149,I149,P149,R149,S149),"")</f>
        <v/>
      </c>
      <c r="Y149" s="3" t="n"/>
      <c r="AJ149">
        <f>IFERROR(AVERAGEIF($A$4:$A$1004,AI149,$V$4:$V$1004),"")</f>
        <v/>
      </c>
      <c r="AK149">
        <f>IFERROR(AVERAGEIF($A$4:$A$1004,AI149,$W$4:$W$1004),"")</f>
        <v/>
      </c>
      <c r="AL149">
        <f>IFERROR(AVERAGEIF($A$4:$A$1004,AI149,$X$4:$X$1004),"")</f>
        <v/>
      </c>
    </row>
    <row r="150">
      <c r="A150" s="1">
        <f>IF(Data!A150&gt;0,Data!A150,"")</f>
        <v/>
      </c>
      <c r="B150" s="1">
        <f>IF(Data!B150&gt;0,Data!B150,"")</f>
        <v/>
      </c>
      <c r="C150" s="1">
        <f>IF(Data!C150&gt;0,Data!C150,"")</f>
        <v/>
      </c>
      <c r="D150" s="1">
        <f>IF(Data!D150&gt;0,Data!D150,"")</f>
        <v/>
      </c>
      <c r="E150" s="1">
        <f>IF(Data!E150&gt;0,Data!E150,"")</f>
        <v/>
      </c>
      <c r="F150" s="1">
        <f>IF(Data!F150&gt;0,Data!F150,"")</f>
        <v/>
      </c>
      <c r="G150" s="1">
        <f>IF(Data!G150&gt;0,Data!G150,"")</f>
        <v/>
      </c>
      <c r="H150" s="1">
        <f>IF(Data!H150&gt;0,Data!H150,"")</f>
        <v/>
      </c>
      <c r="I150" s="1">
        <f>IF(Data!I150&gt;0,Data!I150,"")</f>
        <v/>
      </c>
      <c r="J150" s="1">
        <f>IF(Data!J150&gt;0,Data!J150,"")</f>
        <v/>
      </c>
      <c r="K150" s="1">
        <f>IF(Data!K150&gt;0,Data!K150,"")</f>
        <v/>
      </c>
      <c r="L150" s="1">
        <f>IF(Data!L150&gt;0,Data!L150,"")</f>
        <v/>
      </c>
      <c r="M150" s="1">
        <f>IF(Data!M150&gt;0,Data!M150,"")</f>
        <v/>
      </c>
      <c r="N150" s="1">
        <f>IF(Data!N150&gt;0,Data!N150,"")</f>
        <v/>
      </c>
      <c r="O150" s="1">
        <f>IF(Data!O150&gt;0,Data!O150,"")</f>
        <v/>
      </c>
      <c r="P150" s="1">
        <f>IF(Data!P150&gt;0,Data!P150,"")</f>
        <v/>
      </c>
      <c r="Q150" s="1">
        <f>IF(Data!Q150&gt;0,Data!Q150,"")</f>
        <v/>
      </c>
      <c r="R150" s="1">
        <f>IF(Data!R150&gt;0,Data!R150,"")</f>
        <v/>
      </c>
      <c r="S150" s="1">
        <f>IF(Data!S150&gt;0,Data!S150,"")</f>
        <v/>
      </c>
      <c r="V150" s="3">
        <f>IF(COUNT(D150,J150,K150,L150,M150,O150)&gt;0,AVERAGE(D150,J150,K150,L150,M150,O150),"")</f>
        <v/>
      </c>
      <c r="W150" s="3">
        <f>IF(COUNT(C150,F150,G150,N150,Q150)&gt;0,AVERAGE(C150,F150,G150,N150,Q150),"")</f>
        <v/>
      </c>
      <c r="X150" s="3">
        <f>IF(COUNT(B150,E150,H150,I150,P150,R150,S150)&gt;0,AVERAGE(B150,E150,H150,I150,P150,R150,S150),"")</f>
        <v/>
      </c>
      <c r="Y150" s="3" t="n"/>
      <c r="AJ150">
        <f>IFERROR(AVERAGEIF($A$4:$A$1004,AI150,$V$4:$V$1004),"")</f>
        <v/>
      </c>
      <c r="AK150">
        <f>IFERROR(AVERAGEIF($A$4:$A$1004,AI150,$W$4:$W$1004),"")</f>
        <v/>
      </c>
      <c r="AL150">
        <f>IFERROR(AVERAGEIF($A$4:$A$1004,AI150,$X$4:$X$1004),"")</f>
        <v/>
      </c>
    </row>
    <row r="151">
      <c r="A151" s="1">
        <f>IF(Data!A151&gt;0,Data!A151,"")</f>
        <v/>
      </c>
      <c r="B151" s="1">
        <f>IF(Data!B151&gt;0,Data!B151,"")</f>
        <v/>
      </c>
      <c r="C151" s="1">
        <f>IF(Data!C151&gt;0,Data!C151,"")</f>
        <v/>
      </c>
      <c r="D151" s="1">
        <f>IF(Data!D151&gt;0,Data!D151,"")</f>
        <v/>
      </c>
      <c r="E151" s="1">
        <f>IF(Data!E151&gt;0,Data!E151,"")</f>
        <v/>
      </c>
      <c r="F151" s="1">
        <f>IF(Data!F151&gt;0,Data!F151,"")</f>
        <v/>
      </c>
      <c r="G151" s="1">
        <f>IF(Data!G151&gt;0,Data!G151,"")</f>
        <v/>
      </c>
      <c r="H151" s="1">
        <f>IF(Data!H151&gt;0,Data!H151,"")</f>
        <v/>
      </c>
      <c r="I151" s="1">
        <f>IF(Data!I151&gt;0,Data!I151,"")</f>
        <v/>
      </c>
      <c r="J151" s="1">
        <f>IF(Data!J151&gt;0,Data!J151,"")</f>
        <v/>
      </c>
      <c r="K151" s="1">
        <f>IF(Data!K151&gt;0,Data!K151,"")</f>
        <v/>
      </c>
      <c r="L151" s="1">
        <f>IF(Data!L151&gt;0,Data!L151,"")</f>
        <v/>
      </c>
      <c r="M151" s="1">
        <f>IF(Data!M151&gt;0,Data!M151,"")</f>
        <v/>
      </c>
      <c r="N151" s="1">
        <f>IF(Data!N151&gt;0,Data!N151,"")</f>
        <v/>
      </c>
      <c r="O151" s="1">
        <f>IF(Data!O151&gt;0,Data!O151,"")</f>
        <v/>
      </c>
      <c r="P151" s="1">
        <f>IF(Data!P151&gt;0,Data!P151,"")</f>
        <v/>
      </c>
      <c r="Q151" s="1">
        <f>IF(Data!Q151&gt;0,Data!Q151,"")</f>
        <v/>
      </c>
      <c r="R151" s="1">
        <f>IF(Data!R151&gt;0,Data!R151,"")</f>
        <v/>
      </c>
      <c r="S151" s="1">
        <f>IF(Data!S151&gt;0,Data!S151,"")</f>
        <v/>
      </c>
      <c r="V151" s="3">
        <f>IF(COUNT(D151,J151,K151,L151,M151,O151)&gt;0,AVERAGE(D151,J151,K151,L151,M151,O151),"")</f>
        <v/>
      </c>
      <c r="W151" s="3">
        <f>IF(COUNT(C151,F151,G151,N151,Q151)&gt;0,AVERAGE(C151,F151,G151,N151,Q151),"")</f>
        <v/>
      </c>
      <c r="X151" s="3">
        <f>IF(COUNT(B151,E151,H151,I151,P151,R151,S151)&gt;0,AVERAGE(B151,E151,H151,I151,P151,R151,S151),"")</f>
        <v/>
      </c>
      <c r="Y151" s="3" t="n"/>
      <c r="AJ151">
        <f>IFERROR(AVERAGEIF($A$4:$A$1004,AI151,$V$4:$V$1004),"")</f>
        <v/>
      </c>
      <c r="AK151">
        <f>IFERROR(AVERAGEIF($A$4:$A$1004,AI151,$W$4:$W$1004),"")</f>
        <v/>
      </c>
      <c r="AL151">
        <f>IFERROR(AVERAGEIF($A$4:$A$1004,AI151,$X$4:$X$1004),"")</f>
        <v/>
      </c>
    </row>
    <row r="152">
      <c r="A152" s="1">
        <f>IF(Data!A152&gt;0,Data!A152,"")</f>
        <v/>
      </c>
      <c r="B152" s="1">
        <f>IF(Data!B152&gt;0,Data!B152,"")</f>
        <v/>
      </c>
      <c r="C152" s="1">
        <f>IF(Data!C152&gt;0,Data!C152,"")</f>
        <v/>
      </c>
      <c r="D152" s="1">
        <f>IF(Data!D152&gt;0,Data!D152,"")</f>
        <v/>
      </c>
      <c r="E152" s="1">
        <f>IF(Data!E152&gt;0,Data!E152,"")</f>
        <v/>
      </c>
      <c r="F152" s="1">
        <f>IF(Data!F152&gt;0,Data!F152,"")</f>
        <v/>
      </c>
      <c r="G152" s="1">
        <f>IF(Data!G152&gt;0,Data!G152,"")</f>
        <v/>
      </c>
      <c r="H152" s="1">
        <f>IF(Data!H152&gt;0,Data!H152,"")</f>
        <v/>
      </c>
      <c r="I152" s="1">
        <f>IF(Data!I152&gt;0,Data!I152,"")</f>
        <v/>
      </c>
      <c r="J152" s="1">
        <f>IF(Data!J152&gt;0,Data!J152,"")</f>
        <v/>
      </c>
      <c r="K152" s="1">
        <f>IF(Data!K152&gt;0,Data!K152,"")</f>
        <v/>
      </c>
      <c r="L152" s="1">
        <f>IF(Data!L152&gt;0,Data!L152,"")</f>
        <v/>
      </c>
      <c r="M152" s="1">
        <f>IF(Data!M152&gt;0,Data!M152,"")</f>
        <v/>
      </c>
      <c r="N152" s="1">
        <f>IF(Data!N152&gt;0,Data!N152,"")</f>
        <v/>
      </c>
      <c r="O152" s="1">
        <f>IF(Data!O152&gt;0,Data!O152,"")</f>
        <v/>
      </c>
      <c r="P152" s="1">
        <f>IF(Data!P152&gt;0,Data!P152,"")</f>
        <v/>
      </c>
      <c r="Q152" s="1">
        <f>IF(Data!Q152&gt;0,Data!Q152,"")</f>
        <v/>
      </c>
      <c r="R152" s="1">
        <f>IF(Data!R152&gt;0,Data!R152,"")</f>
        <v/>
      </c>
      <c r="S152" s="1">
        <f>IF(Data!S152&gt;0,Data!S152,"")</f>
        <v/>
      </c>
      <c r="V152" s="3">
        <f>IF(COUNT(D152,J152,K152,L152,M152,O152)&gt;0,AVERAGE(D152,J152,K152,L152,M152,O152),"")</f>
        <v/>
      </c>
      <c r="W152" s="3">
        <f>IF(COUNT(C152,F152,G152,N152,Q152)&gt;0,AVERAGE(C152,F152,G152,N152,Q152),"")</f>
        <v/>
      </c>
      <c r="X152" s="3">
        <f>IF(COUNT(B152,E152,H152,I152,P152,R152,S152)&gt;0,AVERAGE(B152,E152,H152,I152,P152,R152,S152),"")</f>
        <v/>
      </c>
      <c r="Y152" s="3" t="n"/>
      <c r="AJ152">
        <f>IFERROR(AVERAGEIF($A$4:$A$1004,AI152,$V$4:$V$1004),"")</f>
        <v/>
      </c>
      <c r="AK152">
        <f>IFERROR(AVERAGEIF($A$4:$A$1004,AI152,$W$4:$W$1004),"")</f>
        <v/>
      </c>
      <c r="AL152">
        <f>IFERROR(AVERAGEIF($A$4:$A$1004,AI152,$X$4:$X$1004),"")</f>
        <v/>
      </c>
    </row>
    <row r="153">
      <c r="A153" s="1">
        <f>IF(Data!A153&gt;0,Data!A153,"")</f>
        <v/>
      </c>
      <c r="B153" s="1">
        <f>IF(Data!B153&gt;0,Data!B153,"")</f>
        <v/>
      </c>
      <c r="C153" s="1">
        <f>IF(Data!C153&gt;0,Data!C153,"")</f>
        <v/>
      </c>
      <c r="D153" s="1">
        <f>IF(Data!D153&gt;0,Data!D153,"")</f>
        <v/>
      </c>
      <c r="E153" s="1">
        <f>IF(Data!E153&gt;0,Data!E153,"")</f>
        <v/>
      </c>
      <c r="F153" s="1">
        <f>IF(Data!F153&gt;0,Data!F153,"")</f>
        <v/>
      </c>
      <c r="G153" s="1">
        <f>IF(Data!G153&gt;0,Data!G153,"")</f>
        <v/>
      </c>
      <c r="H153" s="1">
        <f>IF(Data!H153&gt;0,Data!H153,"")</f>
        <v/>
      </c>
      <c r="I153" s="1">
        <f>IF(Data!I153&gt;0,Data!I153,"")</f>
        <v/>
      </c>
      <c r="J153" s="1">
        <f>IF(Data!J153&gt;0,Data!J153,"")</f>
        <v/>
      </c>
      <c r="K153" s="1">
        <f>IF(Data!K153&gt;0,Data!K153,"")</f>
        <v/>
      </c>
      <c r="L153" s="1">
        <f>IF(Data!L153&gt;0,Data!L153,"")</f>
        <v/>
      </c>
      <c r="M153" s="1">
        <f>IF(Data!M153&gt;0,Data!M153,"")</f>
        <v/>
      </c>
      <c r="N153" s="1">
        <f>IF(Data!N153&gt;0,Data!N153,"")</f>
        <v/>
      </c>
      <c r="O153" s="1">
        <f>IF(Data!O153&gt;0,Data!O153,"")</f>
        <v/>
      </c>
      <c r="P153" s="1">
        <f>IF(Data!P153&gt;0,Data!P153,"")</f>
        <v/>
      </c>
      <c r="Q153" s="1">
        <f>IF(Data!Q153&gt;0,Data!Q153,"")</f>
        <v/>
      </c>
      <c r="R153" s="1">
        <f>IF(Data!R153&gt;0,Data!R153,"")</f>
        <v/>
      </c>
      <c r="S153" s="1">
        <f>IF(Data!S153&gt;0,Data!S153,"")</f>
        <v/>
      </c>
      <c r="V153" s="3">
        <f>IF(COUNT(D153,J153,K153,L153,M153,O153)&gt;0,AVERAGE(D153,J153,K153,L153,M153,O153),"")</f>
        <v/>
      </c>
      <c r="W153" s="3">
        <f>IF(COUNT(C153,F153,G153,N153,Q153)&gt;0,AVERAGE(C153,F153,G153,N153,Q153),"")</f>
        <v/>
      </c>
      <c r="X153" s="3">
        <f>IF(COUNT(B153,E153,H153,I153,P153,R153,S153)&gt;0,AVERAGE(B153,E153,H153,I153,P153,R153,S153),"")</f>
        <v/>
      </c>
      <c r="Y153" s="3" t="n"/>
      <c r="AJ153">
        <f>IFERROR(AVERAGEIF($A$4:$A$1004,AI153,$V$4:$V$1004),"")</f>
        <v/>
      </c>
      <c r="AK153">
        <f>IFERROR(AVERAGEIF($A$4:$A$1004,AI153,$W$4:$W$1004),"")</f>
        <v/>
      </c>
      <c r="AL153">
        <f>IFERROR(AVERAGEIF($A$4:$A$1004,AI153,$X$4:$X$1004),"")</f>
        <v/>
      </c>
    </row>
    <row r="154">
      <c r="A154" s="1">
        <f>IF(Data!A154&gt;0,Data!A154,"")</f>
        <v/>
      </c>
      <c r="B154" s="1">
        <f>IF(Data!B154&gt;0,Data!B154,"")</f>
        <v/>
      </c>
      <c r="C154" s="1">
        <f>IF(Data!C154&gt;0,Data!C154,"")</f>
        <v/>
      </c>
      <c r="D154" s="1">
        <f>IF(Data!D154&gt;0,Data!D154,"")</f>
        <v/>
      </c>
      <c r="E154" s="1">
        <f>IF(Data!E154&gt;0,Data!E154,"")</f>
        <v/>
      </c>
      <c r="F154" s="1">
        <f>IF(Data!F154&gt;0,Data!F154,"")</f>
        <v/>
      </c>
      <c r="G154" s="1">
        <f>IF(Data!G154&gt;0,Data!G154,"")</f>
        <v/>
      </c>
      <c r="H154" s="1">
        <f>IF(Data!H154&gt;0,Data!H154,"")</f>
        <v/>
      </c>
      <c r="I154" s="1">
        <f>IF(Data!I154&gt;0,Data!I154,"")</f>
        <v/>
      </c>
      <c r="J154" s="1">
        <f>IF(Data!J154&gt;0,Data!J154,"")</f>
        <v/>
      </c>
      <c r="K154" s="1">
        <f>IF(Data!K154&gt;0,Data!K154,"")</f>
        <v/>
      </c>
      <c r="L154" s="1">
        <f>IF(Data!L154&gt;0,Data!L154,"")</f>
        <v/>
      </c>
      <c r="M154" s="1">
        <f>IF(Data!M154&gt;0,Data!M154,"")</f>
        <v/>
      </c>
      <c r="N154" s="1">
        <f>IF(Data!N154&gt;0,Data!N154,"")</f>
        <v/>
      </c>
      <c r="O154" s="1">
        <f>IF(Data!O154&gt;0,Data!O154,"")</f>
        <v/>
      </c>
      <c r="P154" s="1">
        <f>IF(Data!P154&gt;0,Data!P154,"")</f>
        <v/>
      </c>
      <c r="Q154" s="1">
        <f>IF(Data!Q154&gt;0,Data!Q154,"")</f>
        <v/>
      </c>
      <c r="R154" s="1">
        <f>IF(Data!R154&gt;0,Data!R154,"")</f>
        <v/>
      </c>
      <c r="S154" s="1">
        <f>IF(Data!S154&gt;0,Data!S154,"")</f>
        <v/>
      </c>
      <c r="V154" s="3">
        <f>IF(COUNT(D154,J154,K154,L154,M154,O154)&gt;0,AVERAGE(D154,J154,K154,L154,M154,O154),"")</f>
        <v/>
      </c>
      <c r="W154" s="3">
        <f>IF(COUNT(C154,F154,G154,N154,Q154)&gt;0,AVERAGE(C154,F154,G154,N154,Q154),"")</f>
        <v/>
      </c>
      <c r="X154" s="3">
        <f>IF(COUNT(B154,E154,H154,I154,P154,R154,S154)&gt;0,AVERAGE(B154,E154,H154,I154,P154,R154,S154),"")</f>
        <v/>
      </c>
      <c r="Y154" s="3" t="n"/>
      <c r="AJ154">
        <f>IFERROR(AVERAGEIF($A$4:$A$1004,AI154,$V$4:$V$1004),"")</f>
        <v/>
      </c>
      <c r="AK154">
        <f>IFERROR(AVERAGEIF($A$4:$A$1004,AI154,$W$4:$W$1004),"")</f>
        <v/>
      </c>
      <c r="AL154">
        <f>IFERROR(AVERAGEIF($A$4:$A$1004,AI154,$X$4:$X$1004),"")</f>
        <v/>
      </c>
    </row>
    <row r="155">
      <c r="A155" s="1">
        <f>IF(Data!A155&gt;0,Data!A155,"")</f>
        <v/>
      </c>
      <c r="B155" s="1">
        <f>IF(Data!B155&gt;0,Data!B155,"")</f>
        <v/>
      </c>
      <c r="C155" s="1">
        <f>IF(Data!C155&gt;0,Data!C155,"")</f>
        <v/>
      </c>
      <c r="D155" s="1">
        <f>IF(Data!D155&gt;0,Data!D155,"")</f>
        <v/>
      </c>
      <c r="E155" s="1">
        <f>IF(Data!E155&gt;0,Data!E155,"")</f>
        <v/>
      </c>
      <c r="F155" s="1">
        <f>IF(Data!F155&gt;0,Data!F155,"")</f>
        <v/>
      </c>
      <c r="G155" s="1">
        <f>IF(Data!G155&gt;0,Data!G155,"")</f>
        <v/>
      </c>
      <c r="H155" s="1">
        <f>IF(Data!H155&gt;0,Data!H155,"")</f>
        <v/>
      </c>
      <c r="I155" s="1">
        <f>IF(Data!I155&gt;0,Data!I155,"")</f>
        <v/>
      </c>
      <c r="J155" s="1">
        <f>IF(Data!J155&gt;0,Data!J155,"")</f>
        <v/>
      </c>
      <c r="K155" s="1">
        <f>IF(Data!K155&gt;0,Data!K155,"")</f>
        <v/>
      </c>
      <c r="L155" s="1">
        <f>IF(Data!L155&gt;0,Data!L155,"")</f>
        <v/>
      </c>
      <c r="M155" s="1">
        <f>IF(Data!M155&gt;0,Data!M155,"")</f>
        <v/>
      </c>
      <c r="N155" s="1">
        <f>IF(Data!N155&gt;0,Data!N155,"")</f>
        <v/>
      </c>
      <c r="O155" s="1">
        <f>IF(Data!O155&gt;0,Data!O155,"")</f>
        <v/>
      </c>
      <c r="P155" s="1">
        <f>IF(Data!P155&gt;0,Data!P155,"")</f>
        <v/>
      </c>
      <c r="Q155" s="1">
        <f>IF(Data!Q155&gt;0,Data!Q155,"")</f>
        <v/>
      </c>
      <c r="R155" s="1">
        <f>IF(Data!R155&gt;0,Data!R155,"")</f>
        <v/>
      </c>
      <c r="S155" s="1">
        <f>IF(Data!S155&gt;0,Data!S155,"")</f>
        <v/>
      </c>
      <c r="V155" s="3">
        <f>IF(COUNT(D155,J155,K155,L155,M155,O155)&gt;0,AVERAGE(D155,J155,K155,L155,M155,O155),"")</f>
        <v/>
      </c>
      <c r="W155" s="3">
        <f>IF(COUNT(C155,F155,G155,N155,Q155)&gt;0,AVERAGE(C155,F155,G155,N155,Q155),"")</f>
        <v/>
      </c>
      <c r="X155" s="3">
        <f>IF(COUNT(B155,E155,H155,I155,P155,R155,S155)&gt;0,AVERAGE(B155,E155,H155,I155,P155,R155,S155),"")</f>
        <v/>
      </c>
      <c r="Y155" s="3" t="n"/>
      <c r="AJ155">
        <f>IFERROR(AVERAGEIF($A$4:$A$1004,AI155,$V$4:$V$1004),"")</f>
        <v/>
      </c>
      <c r="AK155">
        <f>IFERROR(AVERAGEIF($A$4:$A$1004,AI155,$W$4:$W$1004),"")</f>
        <v/>
      </c>
      <c r="AL155">
        <f>IFERROR(AVERAGEIF($A$4:$A$1004,AI155,$X$4:$X$1004),"")</f>
        <v/>
      </c>
    </row>
    <row r="156">
      <c r="A156" s="1">
        <f>IF(Data!A156&gt;0,Data!A156,"")</f>
        <v/>
      </c>
      <c r="B156" s="1">
        <f>IF(Data!B156&gt;0,Data!B156,"")</f>
        <v/>
      </c>
      <c r="C156" s="1">
        <f>IF(Data!C156&gt;0,Data!C156,"")</f>
        <v/>
      </c>
      <c r="D156" s="1">
        <f>IF(Data!D156&gt;0,Data!D156,"")</f>
        <v/>
      </c>
      <c r="E156" s="1">
        <f>IF(Data!E156&gt;0,Data!E156,"")</f>
        <v/>
      </c>
      <c r="F156" s="1">
        <f>IF(Data!F156&gt;0,Data!F156,"")</f>
        <v/>
      </c>
      <c r="G156" s="1">
        <f>IF(Data!G156&gt;0,Data!G156,"")</f>
        <v/>
      </c>
      <c r="H156" s="1">
        <f>IF(Data!H156&gt;0,Data!H156,"")</f>
        <v/>
      </c>
      <c r="I156" s="1">
        <f>IF(Data!I156&gt;0,Data!I156,"")</f>
        <v/>
      </c>
      <c r="J156" s="1">
        <f>IF(Data!J156&gt;0,Data!J156,"")</f>
        <v/>
      </c>
      <c r="K156" s="1">
        <f>IF(Data!K156&gt;0,Data!K156,"")</f>
        <v/>
      </c>
      <c r="L156" s="1">
        <f>IF(Data!L156&gt;0,Data!L156,"")</f>
        <v/>
      </c>
      <c r="M156" s="1">
        <f>IF(Data!M156&gt;0,Data!M156,"")</f>
        <v/>
      </c>
      <c r="N156" s="1">
        <f>IF(Data!N156&gt;0,Data!N156,"")</f>
        <v/>
      </c>
      <c r="O156" s="1">
        <f>IF(Data!O156&gt;0,Data!O156,"")</f>
        <v/>
      </c>
      <c r="P156" s="1">
        <f>IF(Data!P156&gt;0,Data!P156,"")</f>
        <v/>
      </c>
      <c r="Q156" s="1">
        <f>IF(Data!Q156&gt;0,Data!Q156,"")</f>
        <v/>
      </c>
      <c r="R156" s="1">
        <f>IF(Data!R156&gt;0,Data!R156,"")</f>
        <v/>
      </c>
      <c r="S156" s="1">
        <f>IF(Data!S156&gt;0,Data!S156,"")</f>
        <v/>
      </c>
      <c r="V156" s="3">
        <f>IF(COUNT(D156,J156,K156,L156,M156,O156)&gt;0,AVERAGE(D156,J156,K156,L156,M156,O156),"")</f>
        <v/>
      </c>
      <c r="W156" s="3">
        <f>IF(COUNT(C156,F156,G156,N156,Q156)&gt;0,AVERAGE(C156,F156,G156,N156,Q156),"")</f>
        <v/>
      </c>
      <c r="X156" s="3">
        <f>IF(COUNT(B156,E156,H156,I156,P156,R156,S156)&gt;0,AVERAGE(B156,E156,H156,I156,P156,R156,S156),"")</f>
        <v/>
      </c>
      <c r="Y156" s="3" t="n"/>
      <c r="AJ156">
        <f>IFERROR(AVERAGEIF($A$4:$A$1004,AI156,$V$4:$V$1004),"")</f>
        <v/>
      </c>
      <c r="AK156">
        <f>IFERROR(AVERAGEIF($A$4:$A$1004,AI156,$W$4:$W$1004),"")</f>
        <v/>
      </c>
      <c r="AL156">
        <f>IFERROR(AVERAGEIF($A$4:$A$1004,AI156,$X$4:$X$1004),"")</f>
        <v/>
      </c>
    </row>
    <row r="157">
      <c r="A157" s="1">
        <f>IF(Data!A157&gt;0,Data!A157,"")</f>
        <v/>
      </c>
      <c r="B157" s="1">
        <f>IF(Data!B157&gt;0,Data!B157,"")</f>
        <v/>
      </c>
      <c r="C157" s="1">
        <f>IF(Data!C157&gt;0,Data!C157,"")</f>
        <v/>
      </c>
      <c r="D157" s="1">
        <f>IF(Data!D157&gt;0,Data!D157,"")</f>
        <v/>
      </c>
      <c r="E157" s="1">
        <f>IF(Data!E157&gt;0,Data!E157,"")</f>
        <v/>
      </c>
      <c r="F157" s="1">
        <f>IF(Data!F157&gt;0,Data!F157,"")</f>
        <v/>
      </c>
      <c r="G157" s="1">
        <f>IF(Data!G157&gt;0,Data!G157,"")</f>
        <v/>
      </c>
      <c r="H157" s="1">
        <f>IF(Data!H157&gt;0,Data!H157,"")</f>
        <v/>
      </c>
      <c r="I157" s="1">
        <f>IF(Data!I157&gt;0,Data!I157,"")</f>
        <v/>
      </c>
      <c r="J157" s="1">
        <f>IF(Data!J157&gt;0,Data!J157,"")</f>
        <v/>
      </c>
      <c r="K157" s="1">
        <f>IF(Data!K157&gt;0,Data!K157,"")</f>
        <v/>
      </c>
      <c r="L157" s="1">
        <f>IF(Data!L157&gt;0,Data!L157,"")</f>
        <v/>
      </c>
      <c r="M157" s="1">
        <f>IF(Data!M157&gt;0,Data!M157,"")</f>
        <v/>
      </c>
      <c r="N157" s="1">
        <f>IF(Data!N157&gt;0,Data!N157,"")</f>
        <v/>
      </c>
      <c r="O157" s="1">
        <f>IF(Data!O157&gt;0,Data!O157,"")</f>
        <v/>
      </c>
      <c r="P157" s="1">
        <f>IF(Data!P157&gt;0,Data!P157,"")</f>
        <v/>
      </c>
      <c r="Q157" s="1">
        <f>IF(Data!Q157&gt;0,Data!Q157,"")</f>
        <v/>
      </c>
      <c r="R157" s="1">
        <f>IF(Data!R157&gt;0,Data!R157,"")</f>
        <v/>
      </c>
      <c r="S157" s="1">
        <f>IF(Data!S157&gt;0,Data!S157,"")</f>
        <v/>
      </c>
      <c r="V157" s="3">
        <f>IF(COUNT(D157,J157,K157,L157,M157,O157)&gt;0,AVERAGE(D157,J157,K157,L157,M157,O157),"")</f>
        <v/>
      </c>
      <c r="W157" s="3">
        <f>IF(COUNT(C157,F157,G157,N157,Q157)&gt;0,AVERAGE(C157,F157,G157,N157,Q157),"")</f>
        <v/>
      </c>
      <c r="X157" s="3">
        <f>IF(COUNT(B157,E157,H157,I157,P157,R157,S157)&gt;0,AVERAGE(B157,E157,H157,I157,P157,R157,S157),"")</f>
        <v/>
      </c>
      <c r="Y157" s="3" t="n"/>
      <c r="AJ157">
        <f>IFERROR(AVERAGEIF($A$4:$A$1004,AI157,$V$4:$V$1004),"")</f>
        <v/>
      </c>
      <c r="AK157">
        <f>IFERROR(AVERAGEIF($A$4:$A$1004,AI157,$W$4:$W$1004),"")</f>
        <v/>
      </c>
      <c r="AL157">
        <f>IFERROR(AVERAGEIF($A$4:$A$1004,AI157,$X$4:$X$1004),"")</f>
        <v/>
      </c>
    </row>
    <row r="158">
      <c r="A158" s="1">
        <f>IF(Data!A158&gt;0,Data!A158,"")</f>
        <v/>
      </c>
      <c r="B158" s="1">
        <f>IF(Data!B158&gt;0,Data!B158,"")</f>
        <v/>
      </c>
      <c r="C158" s="1">
        <f>IF(Data!C158&gt;0,Data!C158,"")</f>
        <v/>
      </c>
      <c r="D158" s="1">
        <f>IF(Data!D158&gt;0,Data!D158,"")</f>
        <v/>
      </c>
      <c r="E158" s="1">
        <f>IF(Data!E158&gt;0,Data!E158,"")</f>
        <v/>
      </c>
      <c r="F158" s="1">
        <f>IF(Data!F158&gt;0,Data!F158,"")</f>
        <v/>
      </c>
      <c r="G158" s="1">
        <f>IF(Data!G158&gt;0,Data!G158,"")</f>
        <v/>
      </c>
      <c r="H158" s="1">
        <f>IF(Data!H158&gt;0,Data!H158,"")</f>
        <v/>
      </c>
      <c r="I158" s="1">
        <f>IF(Data!I158&gt;0,Data!I158,"")</f>
        <v/>
      </c>
      <c r="J158" s="1">
        <f>IF(Data!J158&gt;0,Data!J158,"")</f>
        <v/>
      </c>
      <c r="K158" s="1">
        <f>IF(Data!K158&gt;0,Data!K158,"")</f>
        <v/>
      </c>
      <c r="L158" s="1">
        <f>IF(Data!L158&gt;0,Data!L158,"")</f>
        <v/>
      </c>
      <c r="M158" s="1">
        <f>IF(Data!M158&gt;0,Data!M158,"")</f>
        <v/>
      </c>
      <c r="N158" s="1">
        <f>IF(Data!N158&gt;0,Data!N158,"")</f>
        <v/>
      </c>
      <c r="O158" s="1">
        <f>IF(Data!O158&gt;0,Data!O158,"")</f>
        <v/>
      </c>
      <c r="P158" s="1">
        <f>IF(Data!P158&gt;0,Data!P158,"")</f>
        <v/>
      </c>
      <c r="Q158" s="1">
        <f>IF(Data!Q158&gt;0,Data!Q158,"")</f>
        <v/>
      </c>
      <c r="R158" s="1">
        <f>IF(Data!R158&gt;0,Data!R158,"")</f>
        <v/>
      </c>
      <c r="S158" s="1">
        <f>IF(Data!S158&gt;0,Data!S158,"")</f>
        <v/>
      </c>
      <c r="V158" s="3">
        <f>IF(COUNT(D158,J158,K158,L158,M158,O158)&gt;0,AVERAGE(D158,J158,K158,L158,M158,O158),"")</f>
        <v/>
      </c>
      <c r="W158" s="3">
        <f>IF(COUNT(C158,F158,G158,N158,Q158)&gt;0,AVERAGE(C158,F158,G158,N158,Q158),"")</f>
        <v/>
      </c>
      <c r="X158" s="3">
        <f>IF(COUNT(B158,E158,H158,I158,P158,R158,S158)&gt;0,AVERAGE(B158,E158,H158,I158,P158,R158,S158),"")</f>
        <v/>
      </c>
      <c r="Y158" s="3" t="n"/>
      <c r="AJ158">
        <f>IFERROR(AVERAGEIF($A$4:$A$1004,AI158,$V$4:$V$1004),"")</f>
        <v/>
      </c>
      <c r="AK158">
        <f>IFERROR(AVERAGEIF($A$4:$A$1004,AI158,$W$4:$W$1004),"")</f>
        <v/>
      </c>
      <c r="AL158">
        <f>IFERROR(AVERAGEIF($A$4:$A$1004,AI158,$X$4:$X$1004),"")</f>
        <v/>
      </c>
    </row>
    <row r="159">
      <c r="A159" s="1">
        <f>IF(Data!A159&gt;0,Data!A159,"")</f>
        <v/>
      </c>
      <c r="B159" s="1">
        <f>IF(Data!B159&gt;0,Data!B159,"")</f>
        <v/>
      </c>
      <c r="C159" s="1">
        <f>IF(Data!C159&gt;0,Data!C159,"")</f>
        <v/>
      </c>
      <c r="D159" s="1">
        <f>IF(Data!D159&gt;0,Data!D159,"")</f>
        <v/>
      </c>
      <c r="E159" s="1">
        <f>IF(Data!E159&gt;0,Data!E159,"")</f>
        <v/>
      </c>
      <c r="F159" s="1">
        <f>IF(Data!F159&gt;0,Data!F159,"")</f>
        <v/>
      </c>
      <c r="G159" s="1">
        <f>IF(Data!G159&gt;0,Data!G159,"")</f>
        <v/>
      </c>
      <c r="H159" s="1">
        <f>IF(Data!H159&gt;0,Data!H159,"")</f>
        <v/>
      </c>
      <c r="I159" s="1">
        <f>IF(Data!I159&gt;0,Data!I159,"")</f>
        <v/>
      </c>
      <c r="J159" s="1">
        <f>IF(Data!J159&gt;0,Data!J159,"")</f>
        <v/>
      </c>
      <c r="K159" s="1">
        <f>IF(Data!K159&gt;0,Data!K159,"")</f>
        <v/>
      </c>
      <c r="L159" s="1">
        <f>IF(Data!L159&gt;0,Data!L159,"")</f>
        <v/>
      </c>
      <c r="M159" s="1">
        <f>IF(Data!M159&gt;0,Data!M159,"")</f>
        <v/>
      </c>
      <c r="N159" s="1">
        <f>IF(Data!N159&gt;0,Data!N159,"")</f>
        <v/>
      </c>
      <c r="O159" s="1">
        <f>IF(Data!O159&gt;0,Data!O159,"")</f>
        <v/>
      </c>
      <c r="P159" s="1">
        <f>IF(Data!P159&gt;0,Data!P159,"")</f>
        <v/>
      </c>
      <c r="Q159" s="1">
        <f>IF(Data!Q159&gt;0,Data!Q159,"")</f>
        <v/>
      </c>
      <c r="R159" s="1">
        <f>IF(Data!R159&gt;0,Data!R159,"")</f>
        <v/>
      </c>
      <c r="S159" s="1">
        <f>IF(Data!S159&gt;0,Data!S159,"")</f>
        <v/>
      </c>
      <c r="V159" s="3">
        <f>IF(COUNT(D159,J159,K159,L159,M159,O159)&gt;0,AVERAGE(D159,J159,K159,L159,M159,O159),"")</f>
        <v/>
      </c>
      <c r="W159" s="3">
        <f>IF(COUNT(C159,F159,G159,N159,Q159)&gt;0,AVERAGE(C159,F159,G159,N159,Q159),"")</f>
        <v/>
      </c>
      <c r="X159" s="3">
        <f>IF(COUNT(B159,E159,H159,I159,P159,R159,S159)&gt;0,AVERAGE(B159,E159,H159,I159,P159,R159,S159),"")</f>
        <v/>
      </c>
      <c r="Y159" s="3" t="n"/>
      <c r="AJ159">
        <f>IFERROR(AVERAGEIF($A$4:$A$1004,AI159,$V$4:$V$1004),"")</f>
        <v/>
      </c>
      <c r="AK159">
        <f>IFERROR(AVERAGEIF($A$4:$A$1004,AI159,$W$4:$W$1004),"")</f>
        <v/>
      </c>
      <c r="AL159">
        <f>IFERROR(AVERAGEIF($A$4:$A$1004,AI159,$X$4:$X$1004),"")</f>
        <v/>
      </c>
    </row>
    <row r="160">
      <c r="A160" s="1">
        <f>IF(Data!A160&gt;0,Data!A160,"")</f>
        <v/>
      </c>
      <c r="B160" s="1">
        <f>IF(Data!B160&gt;0,Data!B160,"")</f>
        <v/>
      </c>
      <c r="C160" s="1">
        <f>IF(Data!C160&gt;0,Data!C160,"")</f>
        <v/>
      </c>
      <c r="D160" s="1">
        <f>IF(Data!D160&gt;0,Data!D160,"")</f>
        <v/>
      </c>
      <c r="E160" s="1">
        <f>IF(Data!E160&gt;0,Data!E160,"")</f>
        <v/>
      </c>
      <c r="F160" s="1">
        <f>IF(Data!F160&gt;0,Data!F160,"")</f>
        <v/>
      </c>
      <c r="G160" s="1">
        <f>IF(Data!G160&gt;0,Data!G160,"")</f>
        <v/>
      </c>
      <c r="H160" s="1">
        <f>IF(Data!H160&gt;0,Data!H160,"")</f>
        <v/>
      </c>
      <c r="I160" s="1">
        <f>IF(Data!I160&gt;0,Data!I160,"")</f>
        <v/>
      </c>
      <c r="J160" s="1">
        <f>IF(Data!J160&gt;0,Data!J160,"")</f>
        <v/>
      </c>
      <c r="K160" s="1">
        <f>IF(Data!K160&gt;0,Data!K160,"")</f>
        <v/>
      </c>
      <c r="L160" s="1">
        <f>IF(Data!L160&gt;0,Data!L160,"")</f>
        <v/>
      </c>
      <c r="M160" s="1">
        <f>IF(Data!M160&gt;0,Data!M160,"")</f>
        <v/>
      </c>
      <c r="N160" s="1">
        <f>IF(Data!N160&gt;0,Data!N160,"")</f>
        <v/>
      </c>
      <c r="O160" s="1">
        <f>IF(Data!O160&gt;0,Data!O160,"")</f>
        <v/>
      </c>
      <c r="P160" s="1">
        <f>IF(Data!P160&gt;0,Data!P160,"")</f>
        <v/>
      </c>
      <c r="Q160" s="1">
        <f>IF(Data!Q160&gt;0,Data!Q160,"")</f>
        <v/>
      </c>
      <c r="R160" s="1">
        <f>IF(Data!R160&gt;0,Data!R160,"")</f>
        <v/>
      </c>
      <c r="S160" s="1">
        <f>IF(Data!S160&gt;0,Data!S160,"")</f>
        <v/>
      </c>
      <c r="V160" s="3">
        <f>IF(COUNT(D160,J160,K160,L160,M160,O160)&gt;0,AVERAGE(D160,J160,K160,L160,M160,O160),"")</f>
        <v/>
      </c>
      <c r="W160" s="3">
        <f>IF(COUNT(C160,F160,G160,N160,Q160)&gt;0,AVERAGE(C160,F160,G160,N160,Q160),"")</f>
        <v/>
      </c>
      <c r="X160" s="3">
        <f>IF(COUNT(B160,E160,H160,I160,P160,R160,S160)&gt;0,AVERAGE(B160,E160,H160,I160,P160,R160,S160),"")</f>
        <v/>
      </c>
      <c r="Y160" s="3" t="n"/>
      <c r="AJ160">
        <f>IFERROR(AVERAGEIF($A$4:$A$1004,AI160,$V$4:$V$1004),"")</f>
        <v/>
      </c>
      <c r="AK160">
        <f>IFERROR(AVERAGEIF($A$4:$A$1004,AI160,$W$4:$W$1004),"")</f>
        <v/>
      </c>
      <c r="AL160">
        <f>IFERROR(AVERAGEIF($A$4:$A$1004,AI160,$X$4:$X$1004),"")</f>
        <v/>
      </c>
    </row>
    <row r="161">
      <c r="A161" s="1">
        <f>IF(Data!A161&gt;0,Data!A161,"")</f>
        <v/>
      </c>
      <c r="B161" s="1">
        <f>IF(Data!B161&gt;0,Data!B161,"")</f>
        <v/>
      </c>
      <c r="C161" s="1">
        <f>IF(Data!C161&gt;0,Data!C161,"")</f>
        <v/>
      </c>
      <c r="D161" s="1">
        <f>IF(Data!D161&gt;0,Data!D161,"")</f>
        <v/>
      </c>
      <c r="E161" s="1">
        <f>IF(Data!E161&gt;0,Data!E161,"")</f>
        <v/>
      </c>
      <c r="F161" s="1">
        <f>IF(Data!F161&gt;0,Data!F161,"")</f>
        <v/>
      </c>
      <c r="G161" s="1">
        <f>IF(Data!G161&gt;0,Data!G161,"")</f>
        <v/>
      </c>
      <c r="H161" s="1">
        <f>IF(Data!H161&gt;0,Data!H161,"")</f>
        <v/>
      </c>
      <c r="I161" s="1">
        <f>IF(Data!I161&gt;0,Data!I161,"")</f>
        <v/>
      </c>
      <c r="J161" s="1">
        <f>IF(Data!J161&gt;0,Data!J161,"")</f>
        <v/>
      </c>
      <c r="K161" s="1">
        <f>IF(Data!K161&gt;0,Data!K161,"")</f>
        <v/>
      </c>
      <c r="L161" s="1">
        <f>IF(Data!L161&gt;0,Data!L161,"")</f>
        <v/>
      </c>
      <c r="M161" s="1">
        <f>IF(Data!M161&gt;0,Data!M161,"")</f>
        <v/>
      </c>
      <c r="N161" s="1">
        <f>IF(Data!N161&gt;0,Data!N161,"")</f>
        <v/>
      </c>
      <c r="O161" s="1">
        <f>IF(Data!O161&gt;0,Data!O161,"")</f>
        <v/>
      </c>
      <c r="P161" s="1">
        <f>IF(Data!P161&gt;0,Data!P161,"")</f>
        <v/>
      </c>
      <c r="Q161" s="1">
        <f>IF(Data!Q161&gt;0,Data!Q161,"")</f>
        <v/>
      </c>
      <c r="R161" s="1">
        <f>IF(Data!R161&gt;0,Data!R161,"")</f>
        <v/>
      </c>
      <c r="S161" s="1">
        <f>IF(Data!S161&gt;0,Data!S161,"")</f>
        <v/>
      </c>
      <c r="V161" s="3">
        <f>IF(COUNT(D161,J161,K161,L161,M161,O161)&gt;0,AVERAGE(D161,J161,K161,L161,M161,O161),"")</f>
        <v/>
      </c>
      <c r="W161" s="3">
        <f>IF(COUNT(C161,F161,G161,N161,Q161)&gt;0,AVERAGE(C161,F161,G161,N161,Q161),"")</f>
        <v/>
      </c>
      <c r="X161" s="3">
        <f>IF(COUNT(B161,E161,H161,I161,P161,R161,S161)&gt;0,AVERAGE(B161,E161,H161,I161,P161,R161,S161),"")</f>
        <v/>
      </c>
      <c r="Y161" s="3" t="n"/>
      <c r="AJ161">
        <f>IFERROR(AVERAGEIF($A$4:$A$1004,AI161,$V$4:$V$1004),"")</f>
        <v/>
      </c>
      <c r="AK161">
        <f>IFERROR(AVERAGEIF($A$4:$A$1004,AI161,$W$4:$W$1004),"")</f>
        <v/>
      </c>
      <c r="AL161">
        <f>IFERROR(AVERAGEIF($A$4:$A$1004,AI161,$X$4:$X$1004),"")</f>
        <v/>
      </c>
    </row>
    <row r="162">
      <c r="A162" s="1">
        <f>IF(Data!A162&gt;0,Data!A162,"")</f>
        <v/>
      </c>
      <c r="B162" s="1">
        <f>IF(Data!B162&gt;0,Data!B162,"")</f>
        <v/>
      </c>
      <c r="C162" s="1">
        <f>IF(Data!C162&gt;0,Data!C162,"")</f>
        <v/>
      </c>
      <c r="D162" s="1">
        <f>IF(Data!D162&gt;0,Data!D162,"")</f>
        <v/>
      </c>
      <c r="E162" s="1">
        <f>IF(Data!E162&gt;0,Data!E162,"")</f>
        <v/>
      </c>
      <c r="F162" s="1">
        <f>IF(Data!F162&gt;0,Data!F162,"")</f>
        <v/>
      </c>
      <c r="G162" s="1">
        <f>IF(Data!G162&gt;0,Data!G162,"")</f>
        <v/>
      </c>
      <c r="H162" s="1">
        <f>IF(Data!H162&gt;0,Data!H162,"")</f>
        <v/>
      </c>
      <c r="I162" s="1">
        <f>IF(Data!I162&gt;0,Data!I162,"")</f>
        <v/>
      </c>
      <c r="J162" s="1">
        <f>IF(Data!J162&gt;0,Data!J162,"")</f>
        <v/>
      </c>
      <c r="K162" s="1">
        <f>IF(Data!K162&gt;0,Data!K162,"")</f>
        <v/>
      </c>
      <c r="L162" s="1">
        <f>IF(Data!L162&gt;0,Data!L162,"")</f>
        <v/>
      </c>
      <c r="M162" s="1">
        <f>IF(Data!M162&gt;0,Data!M162,"")</f>
        <v/>
      </c>
      <c r="N162" s="1">
        <f>IF(Data!N162&gt;0,Data!N162,"")</f>
        <v/>
      </c>
      <c r="O162" s="1">
        <f>IF(Data!O162&gt;0,Data!O162,"")</f>
        <v/>
      </c>
      <c r="P162" s="1">
        <f>IF(Data!P162&gt;0,Data!P162,"")</f>
        <v/>
      </c>
      <c r="Q162" s="1">
        <f>IF(Data!Q162&gt;0,Data!Q162,"")</f>
        <v/>
      </c>
      <c r="R162" s="1">
        <f>IF(Data!R162&gt;0,Data!R162,"")</f>
        <v/>
      </c>
      <c r="S162" s="1">
        <f>IF(Data!S162&gt;0,Data!S162,"")</f>
        <v/>
      </c>
      <c r="V162" s="3">
        <f>IF(COUNT(D162,J162,K162,L162,M162,O162)&gt;0,AVERAGE(D162,J162,K162,L162,M162,O162),"")</f>
        <v/>
      </c>
      <c r="W162" s="3">
        <f>IF(COUNT(C162,F162,G162,N162,Q162)&gt;0,AVERAGE(C162,F162,G162,N162,Q162),"")</f>
        <v/>
      </c>
      <c r="X162" s="3">
        <f>IF(COUNT(B162,E162,H162,I162,P162,R162,S162)&gt;0,AVERAGE(B162,E162,H162,I162,P162,R162,S162),"")</f>
        <v/>
      </c>
      <c r="Y162" s="3" t="n"/>
      <c r="AJ162">
        <f>IFERROR(AVERAGEIF($A$4:$A$1004,AI162,$V$4:$V$1004),"")</f>
        <v/>
      </c>
      <c r="AK162">
        <f>IFERROR(AVERAGEIF($A$4:$A$1004,AI162,$W$4:$W$1004),"")</f>
        <v/>
      </c>
      <c r="AL162">
        <f>IFERROR(AVERAGEIF($A$4:$A$1004,AI162,$X$4:$X$1004),"")</f>
        <v/>
      </c>
    </row>
    <row r="163">
      <c r="A163" s="1">
        <f>IF(Data!A163&gt;0,Data!A163,"")</f>
        <v/>
      </c>
      <c r="B163" s="1">
        <f>IF(Data!B163&gt;0,Data!B163,"")</f>
        <v/>
      </c>
      <c r="C163" s="1">
        <f>IF(Data!C163&gt;0,Data!C163,"")</f>
        <v/>
      </c>
      <c r="D163" s="1">
        <f>IF(Data!D163&gt;0,Data!D163,"")</f>
        <v/>
      </c>
      <c r="E163" s="1">
        <f>IF(Data!E163&gt;0,Data!E163,"")</f>
        <v/>
      </c>
      <c r="F163" s="1">
        <f>IF(Data!F163&gt;0,Data!F163,"")</f>
        <v/>
      </c>
      <c r="G163" s="1">
        <f>IF(Data!G163&gt;0,Data!G163,"")</f>
        <v/>
      </c>
      <c r="H163" s="1">
        <f>IF(Data!H163&gt;0,Data!H163,"")</f>
        <v/>
      </c>
      <c r="I163" s="1">
        <f>IF(Data!I163&gt;0,Data!I163,"")</f>
        <v/>
      </c>
      <c r="J163" s="1">
        <f>IF(Data!J163&gt;0,Data!J163,"")</f>
        <v/>
      </c>
      <c r="K163" s="1">
        <f>IF(Data!K163&gt;0,Data!K163,"")</f>
        <v/>
      </c>
      <c r="L163" s="1">
        <f>IF(Data!L163&gt;0,Data!L163,"")</f>
        <v/>
      </c>
      <c r="M163" s="1">
        <f>IF(Data!M163&gt;0,Data!M163,"")</f>
        <v/>
      </c>
      <c r="N163" s="1">
        <f>IF(Data!N163&gt;0,Data!N163,"")</f>
        <v/>
      </c>
      <c r="O163" s="1">
        <f>IF(Data!O163&gt;0,Data!O163,"")</f>
        <v/>
      </c>
      <c r="P163" s="1">
        <f>IF(Data!P163&gt;0,Data!P163,"")</f>
        <v/>
      </c>
      <c r="Q163" s="1">
        <f>IF(Data!Q163&gt;0,Data!Q163,"")</f>
        <v/>
      </c>
      <c r="R163" s="1">
        <f>IF(Data!R163&gt;0,Data!R163,"")</f>
        <v/>
      </c>
      <c r="S163" s="1">
        <f>IF(Data!S163&gt;0,Data!S163,"")</f>
        <v/>
      </c>
      <c r="V163" s="3">
        <f>IF(COUNT(D163,J163,K163,L163,M163,O163)&gt;0,AVERAGE(D163,J163,K163,L163,M163,O163),"")</f>
        <v/>
      </c>
      <c r="W163" s="3">
        <f>IF(COUNT(C163,F163,G163,N163,Q163)&gt;0,AVERAGE(C163,F163,G163,N163,Q163),"")</f>
        <v/>
      </c>
      <c r="X163" s="3">
        <f>IF(COUNT(B163,E163,H163,I163,P163,R163,S163)&gt;0,AVERAGE(B163,E163,H163,I163,P163,R163,S163),"")</f>
        <v/>
      </c>
      <c r="Y163" s="3" t="n"/>
      <c r="AJ163">
        <f>IFERROR(AVERAGEIF($A$4:$A$1004,AI163,$V$4:$V$1004),"")</f>
        <v/>
      </c>
      <c r="AK163">
        <f>IFERROR(AVERAGEIF($A$4:$A$1004,AI163,$W$4:$W$1004),"")</f>
        <v/>
      </c>
      <c r="AL163">
        <f>IFERROR(AVERAGEIF($A$4:$A$1004,AI163,$X$4:$X$1004),"")</f>
        <v/>
      </c>
    </row>
    <row r="164">
      <c r="A164" s="1">
        <f>IF(Data!A164&gt;0,Data!A164,"")</f>
        <v/>
      </c>
      <c r="B164" s="1">
        <f>IF(Data!B164&gt;0,Data!B164,"")</f>
        <v/>
      </c>
      <c r="C164" s="1">
        <f>IF(Data!C164&gt;0,Data!C164,"")</f>
        <v/>
      </c>
      <c r="D164" s="1">
        <f>IF(Data!D164&gt;0,Data!D164,"")</f>
        <v/>
      </c>
      <c r="E164" s="1">
        <f>IF(Data!E164&gt;0,Data!E164,"")</f>
        <v/>
      </c>
      <c r="F164" s="1">
        <f>IF(Data!F164&gt;0,Data!F164,"")</f>
        <v/>
      </c>
      <c r="G164" s="1">
        <f>IF(Data!G164&gt;0,Data!G164,"")</f>
        <v/>
      </c>
      <c r="H164" s="1">
        <f>IF(Data!H164&gt;0,Data!H164,"")</f>
        <v/>
      </c>
      <c r="I164" s="1">
        <f>IF(Data!I164&gt;0,Data!I164,"")</f>
        <v/>
      </c>
      <c r="J164" s="1">
        <f>IF(Data!J164&gt;0,Data!J164,"")</f>
        <v/>
      </c>
      <c r="K164" s="1">
        <f>IF(Data!K164&gt;0,Data!K164,"")</f>
        <v/>
      </c>
      <c r="L164" s="1">
        <f>IF(Data!L164&gt;0,Data!L164,"")</f>
        <v/>
      </c>
      <c r="M164" s="1">
        <f>IF(Data!M164&gt;0,Data!M164,"")</f>
        <v/>
      </c>
      <c r="N164" s="1">
        <f>IF(Data!N164&gt;0,Data!N164,"")</f>
        <v/>
      </c>
      <c r="O164" s="1">
        <f>IF(Data!O164&gt;0,Data!O164,"")</f>
        <v/>
      </c>
      <c r="P164" s="1">
        <f>IF(Data!P164&gt;0,Data!P164,"")</f>
        <v/>
      </c>
      <c r="Q164" s="1">
        <f>IF(Data!Q164&gt;0,Data!Q164,"")</f>
        <v/>
      </c>
      <c r="R164" s="1">
        <f>IF(Data!R164&gt;0,Data!R164,"")</f>
        <v/>
      </c>
      <c r="S164" s="1">
        <f>IF(Data!S164&gt;0,Data!S164,"")</f>
        <v/>
      </c>
      <c r="V164" s="3">
        <f>IF(COUNT(D164,J164,K164,L164,M164,O164)&gt;0,AVERAGE(D164,J164,K164,L164,M164,O164),"")</f>
        <v/>
      </c>
      <c r="W164" s="3">
        <f>IF(COUNT(C164,F164,G164,N164,Q164)&gt;0,AVERAGE(C164,F164,G164,N164,Q164),"")</f>
        <v/>
      </c>
      <c r="X164" s="3">
        <f>IF(COUNT(B164,E164,H164,I164,P164,R164,S164)&gt;0,AVERAGE(B164,E164,H164,I164,P164,R164,S164),"")</f>
        <v/>
      </c>
      <c r="Y164" s="3" t="n"/>
      <c r="AJ164">
        <f>IFERROR(AVERAGEIF($A$4:$A$1004,AI164,$V$4:$V$1004),"")</f>
        <v/>
      </c>
      <c r="AK164">
        <f>IFERROR(AVERAGEIF($A$4:$A$1004,AI164,$W$4:$W$1004),"")</f>
        <v/>
      </c>
      <c r="AL164">
        <f>IFERROR(AVERAGEIF($A$4:$A$1004,AI164,$X$4:$X$1004),"")</f>
        <v/>
      </c>
    </row>
    <row r="165">
      <c r="A165" s="1">
        <f>IF(Data!A165&gt;0,Data!A165,"")</f>
        <v/>
      </c>
      <c r="B165" s="1">
        <f>IF(Data!B165&gt;0,Data!B165,"")</f>
        <v/>
      </c>
      <c r="C165" s="1">
        <f>IF(Data!C165&gt;0,Data!C165,"")</f>
        <v/>
      </c>
      <c r="D165" s="1">
        <f>IF(Data!D165&gt;0,Data!D165,"")</f>
        <v/>
      </c>
      <c r="E165" s="1">
        <f>IF(Data!E165&gt;0,Data!E165,"")</f>
        <v/>
      </c>
      <c r="F165" s="1">
        <f>IF(Data!F165&gt;0,Data!F165,"")</f>
        <v/>
      </c>
      <c r="G165" s="1">
        <f>IF(Data!G165&gt;0,Data!G165,"")</f>
        <v/>
      </c>
      <c r="H165" s="1">
        <f>IF(Data!H165&gt;0,Data!H165,"")</f>
        <v/>
      </c>
      <c r="I165" s="1">
        <f>IF(Data!I165&gt;0,Data!I165,"")</f>
        <v/>
      </c>
      <c r="J165" s="1">
        <f>IF(Data!J165&gt;0,Data!J165,"")</f>
        <v/>
      </c>
      <c r="K165" s="1">
        <f>IF(Data!K165&gt;0,Data!K165,"")</f>
        <v/>
      </c>
      <c r="L165" s="1">
        <f>IF(Data!L165&gt;0,Data!L165,"")</f>
        <v/>
      </c>
      <c r="M165" s="1">
        <f>IF(Data!M165&gt;0,Data!M165,"")</f>
        <v/>
      </c>
      <c r="N165" s="1">
        <f>IF(Data!N165&gt;0,Data!N165,"")</f>
        <v/>
      </c>
      <c r="O165" s="1">
        <f>IF(Data!O165&gt;0,Data!O165,"")</f>
        <v/>
      </c>
      <c r="P165" s="1">
        <f>IF(Data!P165&gt;0,Data!P165,"")</f>
        <v/>
      </c>
      <c r="Q165" s="1">
        <f>IF(Data!Q165&gt;0,Data!Q165,"")</f>
        <v/>
      </c>
      <c r="R165" s="1">
        <f>IF(Data!R165&gt;0,Data!R165,"")</f>
        <v/>
      </c>
      <c r="S165" s="1">
        <f>IF(Data!S165&gt;0,Data!S165,"")</f>
        <v/>
      </c>
      <c r="V165" s="3">
        <f>IF(COUNT(D165,J165,K165,L165,M165,O165)&gt;0,AVERAGE(D165,J165,K165,L165,M165,O165),"")</f>
        <v/>
      </c>
      <c r="W165" s="3">
        <f>IF(COUNT(C165,F165,G165,N165,Q165)&gt;0,AVERAGE(C165,F165,G165,N165,Q165),"")</f>
        <v/>
      </c>
      <c r="X165" s="3">
        <f>IF(COUNT(B165,E165,H165,I165,P165,R165,S165)&gt;0,AVERAGE(B165,E165,H165,I165,P165,R165,S165),"")</f>
        <v/>
      </c>
      <c r="Y165" s="3" t="n"/>
      <c r="AJ165">
        <f>IFERROR(AVERAGEIF($A$4:$A$1004,AI165,$V$4:$V$1004),"")</f>
        <v/>
      </c>
      <c r="AK165">
        <f>IFERROR(AVERAGEIF($A$4:$A$1004,AI165,$W$4:$W$1004),"")</f>
        <v/>
      </c>
      <c r="AL165">
        <f>IFERROR(AVERAGEIF($A$4:$A$1004,AI165,$X$4:$X$1004),"")</f>
        <v/>
      </c>
    </row>
    <row r="166">
      <c r="A166" s="1">
        <f>IF(Data!A166&gt;0,Data!A166,"")</f>
        <v/>
      </c>
      <c r="B166" s="1">
        <f>IF(Data!B166&gt;0,Data!B166,"")</f>
        <v/>
      </c>
      <c r="C166" s="1">
        <f>IF(Data!C166&gt;0,Data!C166,"")</f>
        <v/>
      </c>
      <c r="D166" s="1">
        <f>IF(Data!D166&gt;0,Data!D166,"")</f>
        <v/>
      </c>
      <c r="E166" s="1">
        <f>IF(Data!E166&gt;0,Data!E166,"")</f>
        <v/>
      </c>
      <c r="F166" s="1">
        <f>IF(Data!F166&gt;0,Data!F166,"")</f>
        <v/>
      </c>
      <c r="G166" s="1">
        <f>IF(Data!G166&gt;0,Data!G166,"")</f>
        <v/>
      </c>
      <c r="H166" s="1">
        <f>IF(Data!H166&gt;0,Data!H166,"")</f>
        <v/>
      </c>
      <c r="I166" s="1">
        <f>IF(Data!I166&gt;0,Data!I166,"")</f>
        <v/>
      </c>
      <c r="J166" s="1">
        <f>IF(Data!J166&gt;0,Data!J166,"")</f>
        <v/>
      </c>
      <c r="K166" s="1">
        <f>IF(Data!K166&gt;0,Data!K166,"")</f>
        <v/>
      </c>
      <c r="L166" s="1">
        <f>IF(Data!L166&gt;0,Data!L166,"")</f>
        <v/>
      </c>
      <c r="M166" s="1">
        <f>IF(Data!M166&gt;0,Data!M166,"")</f>
        <v/>
      </c>
      <c r="N166" s="1">
        <f>IF(Data!N166&gt;0,Data!N166,"")</f>
        <v/>
      </c>
      <c r="O166" s="1">
        <f>IF(Data!O166&gt;0,Data!O166,"")</f>
        <v/>
      </c>
      <c r="P166" s="1">
        <f>IF(Data!P166&gt;0,Data!P166,"")</f>
        <v/>
      </c>
      <c r="Q166" s="1">
        <f>IF(Data!Q166&gt;0,Data!Q166,"")</f>
        <v/>
      </c>
      <c r="R166" s="1">
        <f>IF(Data!R166&gt;0,Data!R166,"")</f>
        <v/>
      </c>
      <c r="S166" s="1">
        <f>IF(Data!S166&gt;0,Data!S166,"")</f>
        <v/>
      </c>
      <c r="V166" s="3">
        <f>IF(COUNT(D166,J166,K166,L166,M166,O166)&gt;0,AVERAGE(D166,J166,K166,L166,M166,O166),"")</f>
        <v/>
      </c>
      <c r="W166" s="3">
        <f>IF(COUNT(C166,F166,G166,N166,Q166)&gt;0,AVERAGE(C166,F166,G166,N166,Q166),"")</f>
        <v/>
      </c>
      <c r="X166" s="3">
        <f>IF(COUNT(B166,E166,H166,I166,P166,R166,S166)&gt;0,AVERAGE(B166,E166,H166,I166,P166,R166,S166),"")</f>
        <v/>
      </c>
      <c r="Y166" s="3" t="n"/>
      <c r="AJ166">
        <f>IFERROR(AVERAGEIF($A$4:$A$1004,AI166,$V$4:$V$1004),"")</f>
        <v/>
      </c>
      <c r="AK166">
        <f>IFERROR(AVERAGEIF($A$4:$A$1004,AI166,$W$4:$W$1004),"")</f>
        <v/>
      </c>
      <c r="AL166">
        <f>IFERROR(AVERAGEIF($A$4:$A$1004,AI166,$X$4:$X$1004),"")</f>
        <v/>
      </c>
    </row>
    <row r="167">
      <c r="A167" s="1">
        <f>IF(Data!A167&gt;0,Data!A167,"")</f>
        <v/>
      </c>
      <c r="B167" s="1">
        <f>IF(Data!B167&gt;0,Data!B167,"")</f>
        <v/>
      </c>
      <c r="C167" s="1">
        <f>IF(Data!C167&gt;0,Data!C167,"")</f>
        <v/>
      </c>
      <c r="D167" s="1">
        <f>IF(Data!D167&gt;0,Data!D167,"")</f>
        <v/>
      </c>
      <c r="E167" s="1">
        <f>IF(Data!E167&gt;0,Data!E167,"")</f>
        <v/>
      </c>
      <c r="F167" s="1">
        <f>IF(Data!F167&gt;0,Data!F167,"")</f>
        <v/>
      </c>
      <c r="G167" s="1">
        <f>IF(Data!G167&gt;0,Data!G167,"")</f>
        <v/>
      </c>
      <c r="H167" s="1">
        <f>IF(Data!H167&gt;0,Data!H167,"")</f>
        <v/>
      </c>
      <c r="I167" s="1">
        <f>IF(Data!I167&gt;0,Data!I167,"")</f>
        <v/>
      </c>
      <c r="J167" s="1">
        <f>IF(Data!J167&gt;0,Data!J167,"")</f>
        <v/>
      </c>
      <c r="K167" s="1">
        <f>IF(Data!K167&gt;0,Data!K167,"")</f>
        <v/>
      </c>
      <c r="L167" s="1">
        <f>IF(Data!L167&gt;0,Data!L167,"")</f>
        <v/>
      </c>
      <c r="M167" s="1">
        <f>IF(Data!M167&gt;0,Data!M167,"")</f>
        <v/>
      </c>
      <c r="N167" s="1">
        <f>IF(Data!N167&gt;0,Data!N167,"")</f>
        <v/>
      </c>
      <c r="O167" s="1">
        <f>IF(Data!O167&gt;0,Data!O167,"")</f>
        <v/>
      </c>
      <c r="P167" s="1">
        <f>IF(Data!P167&gt;0,Data!P167,"")</f>
        <v/>
      </c>
      <c r="Q167" s="1">
        <f>IF(Data!Q167&gt;0,Data!Q167,"")</f>
        <v/>
      </c>
      <c r="R167" s="1">
        <f>IF(Data!R167&gt;0,Data!R167,"")</f>
        <v/>
      </c>
      <c r="S167" s="1">
        <f>IF(Data!S167&gt;0,Data!S167,"")</f>
        <v/>
      </c>
      <c r="V167" s="3">
        <f>IF(COUNT(D167,J167,K167,L167,M167,O167)&gt;0,AVERAGE(D167,J167,K167,L167,M167,O167),"")</f>
        <v/>
      </c>
      <c r="W167" s="3">
        <f>IF(COUNT(C167,F167,G167,N167,Q167)&gt;0,AVERAGE(C167,F167,G167,N167,Q167),"")</f>
        <v/>
      </c>
      <c r="X167" s="3">
        <f>IF(COUNT(B167,E167,H167,I167,P167,R167,S167)&gt;0,AVERAGE(B167,E167,H167,I167,P167,R167,S167),"")</f>
        <v/>
      </c>
      <c r="Y167" s="3" t="n"/>
      <c r="AJ167">
        <f>IFERROR(AVERAGEIF($A$4:$A$1004,AI167,$V$4:$V$1004),"")</f>
        <v/>
      </c>
      <c r="AK167">
        <f>IFERROR(AVERAGEIF($A$4:$A$1004,AI167,$W$4:$W$1004),"")</f>
        <v/>
      </c>
      <c r="AL167">
        <f>IFERROR(AVERAGEIF($A$4:$A$1004,AI167,$X$4:$X$1004),"")</f>
        <v/>
      </c>
    </row>
    <row r="168">
      <c r="A168" s="1">
        <f>IF(Data!A168&gt;0,Data!A168,"")</f>
        <v/>
      </c>
      <c r="B168" s="1">
        <f>IF(Data!B168&gt;0,Data!B168,"")</f>
        <v/>
      </c>
      <c r="C168" s="1">
        <f>IF(Data!C168&gt;0,Data!C168,"")</f>
        <v/>
      </c>
      <c r="D168" s="1">
        <f>IF(Data!D168&gt;0,Data!D168,"")</f>
        <v/>
      </c>
      <c r="E168" s="1">
        <f>IF(Data!E168&gt;0,Data!E168,"")</f>
        <v/>
      </c>
      <c r="F168" s="1">
        <f>IF(Data!F168&gt;0,Data!F168,"")</f>
        <v/>
      </c>
      <c r="G168" s="1">
        <f>IF(Data!G168&gt;0,Data!G168,"")</f>
        <v/>
      </c>
      <c r="H168" s="1">
        <f>IF(Data!H168&gt;0,Data!H168,"")</f>
        <v/>
      </c>
      <c r="I168" s="1">
        <f>IF(Data!I168&gt;0,Data!I168,"")</f>
        <v/>
      </c>
      <c r="J168" s="1">
        <f>IF(Data!J168&gt;0,Data!J168,"")</f>
        <v/>
      </c>
      <c r="K168" s="1">
        <f>IF(Data!K168&gt;0,Data!K168,"")</f>
        <v/>
      </c>
      <c r="L168" s="1">
        <f>IF(Data!L168&gt;0,Data!L168,"")</f>
        <v/>
      </c>
      <c r="M168" s="1">
        <f>IF(Data!M168&gt;0,Data!M168,"")</f>
        <v/>
      </c>
      <c r="N168" s="1">
        <f>IF(Data!N168&gt;0,Data!N168,"")</f>
        <v/>
      </c>
      <c r="O168" s="1">
        <f>IF(Data!O168&gt;0,Data!O168,"")</f>
        <v/>
      </c>
      <c r="P168" s="1">
        <f>IF(Data!P168&gt;0,Data!P168,"")</f>
        <v/>
      </c>
      <c r="Q168" s="1">
        <f>IF(Data!Q168&gt;0,Data!Q168,"")</f>
        <v/>
      </c>
      <c r="R168" s="1">
        <f>IF(Data!R168&gt;0,Data!R168,"")</f>
        <v/>
      </c>
      <c r="S168" s="1">
        <f>IF(Data!S168&gt;0,Data!S168,"")</f>
        <v/>
      </c>
      <c r="V168" s="3">
        <f>IF(COUNT(D168,J168,K168,L168,M168,O168)&gt;0,AVERAGE(D168,J168,K168,L168,M168,O168),"")</f>
        <v/>
      </c>
      <c r="W168" s="3">
        <f>IF(COUNT(C168,F168,G168,N168,Q168)&gt;0,AVERAGE(C168,F168,G168,N168,Q168),"")</f>
        <v/>
      </c>
      <c r="X168" s="3">
        <f>IF(COUNT(B168,E168,H168,I168,P168,R168,S168)&gt;0,AVERAGE(B168,E168,H168,I168,P168,R168,S168),"")</f>
        <v/>
      </c>
      <c r="Y168" s="3" t="n"/>
      <c r="AJ168">
        <f>IFERROR(AVERAGEIF($A$4:$A$1004,AI168,$V$4:$V$1004),"")</f>
        <v/>
      </c>
      <c r="AK168">
        <f>IFERROR(AVERAGEIF($A$4:$A$1004,AI168,$W$4:$W$1004),"")</f>
        <v/>
      </c>
      <c r="AL168">
        <f>IFERROR(AVERAGEIF($A$4:$A$1004,AI168,$X$4:$X$1004),"")</f>
        <v/>
      </c>
    </row>
    <row r="169">
      <c r="A169" s="1">
        <f>IF(Data!A169&gt;0,Data!A169,"")</f>
        <v/>
      </c>
      <c r="B169" s="1">
        <f>IF(Data!B169&gt;0,Data!B169,"")</f>
        <v/>
      </c>
      <c r="C169" s="1">
        <f>IF(Data!C169&gt;0,Data!C169,"")</f>
        <v/>
      </c>
      <c r="D169" s="1">
        <f>IF(Data!D169&gt;0,Data!D169,"")</f>
        <v/>
      </c>
      <c r="E169" s="1">
        <f>IF(Data!E169&gt;0,Data!E169,"")</f>
        <v/>
      </c>
      <c r="F169" s="1">
        <f>IF(Data!F169&gt;0,Data!F169,"")</f>
        <v/>
      </c>
      <c r="G169" s="1">
        <f>IF(Data!G169&gt;0,Data!G169,"")</f>
        <v/>
      </c>
      <c r="H169" s="1">
        <f>IF(Data!H169&gt;0,Data!H169,"")</f>
        <v/>
      </c>
      <c r="I169" s="1">
        <f>IF(Data!I169&gt;0,Data!I169,"")</f>
        <v/>
      </c>
      <c r="J169" s="1">
        <f>IF(Data!J169&gt;0,Data!J169,"")</f>
        <v/>
      </c>
      <c r="K169" s="1">
        <f>IF(Data!K169&gt;0,Data!K169,"")</f>
        <v/>
      </c>
      <c r="L169" s="1">
        <f>IF(Data!L169&gt;0,Data!L169,"")</f>
        <v/>
      </c>
      <c r="M169" s="1">
        <f>IF(Data!M169&gt;0,Data!M169,"")</f>
        <v/>
      </c>
      <c r="N169" s="1">
        <f>IF(Data!N169&gt;0,Data!N169,"")</f>
        <v/>
      </c>
      <c r="O169" s="1">
        <f>IF(Data!O169&gt;0,Data!O169,"")</f>
        <v/>
      </c>
      <c r="P169" s="1">
        <f>IF(Data!P169&gt;0,Data!P169,"")</f>
        <v/>
      </c>
      <c r="Q169" s="1">
        <f>IF(Data!Q169&gt;0,Data!Q169,"")</f>
        <v/>
      </c>
      <c r="R169" s="1">
        <f>IF(Data!R169&gt;0,Data!R169,"")</f>
        <v/>
      </c>
      <c r="S169" s="1">
        <f>IF(Data!S169&gt;0,Data!S169,"")</f>
        <v/>
      </c>
      <c r="V169" s="3">
        <f>IF(COUNT(D169,J169,K169,L169,M169,O169)&gt;0,AVERAGE(D169,J169,K169,L169,M169,O169),"")</f>
        <v/>
      </c>
      <c r="W169" s="3">
        <f>IF(COUNT(C169,F169,G169,N169,Q169)&gt;0,AVERAGE(C169,F169,G169,N169,Q169),"")</f>
        <v/>
      </c>
      <c r="X169" s="3">
        <f>IF(COUNT(B169,E169,H169,I169,P169,R169,S169)&gt;0,AVERAGE(B169,E169,H169,I169,P169,R169,S169),"")</f>
        <v/>
      </c>
      <c r="Y169" s="3" t="n"/>
      <c r="AJ169">
        <f>IFERROR(AVERAGEIF($A$4:$A$1004,AI169,$V$4:$V$1004),"")</f>
        <v/>
      </c>
      <c r="AK169">
        <f>IFERROR(AVERAGEIF($A$4:$A$1004,AI169,$W$4:$W$1004),"")</f>
        <v/>
      </c>
      <c r="AL169">
        <f>IFERROR(AVERAGEIF($A$4:$A$1004,AI169,$X$4:$X$1004),"")</f>
        <v/>
      </c>
    </row>
    <row r="170">
      <c r="A170" s="1">
        <f>IF(Data!A170&gt;0,Data!A170,"")</f>
        <v/>
      </c>
      <c r="B170" s="1">
        <f>IF(Data!B170&gt;0,Data!B170,"")</f>
        <v/>
      </c>
      <c r="C170" s="1">
        <f>IF(Data!C170&gt;0,Data!C170,"")</f>
        <v/>
      </c>
      <c r="D170" s="1">
        <f>IF(Data!D170&gt;0,Data!D170,"")</f>
        <v/>
      </c>
      <c r="E170" s="1">
        <f>IF(Data!E170&gt;0,Data!E170,"")</f>
        <v/>
      </c>
      <c r="F170" s="1">
        <f>IF(Data!F170&gt;0,Data!F170,"")</f>
        <v/>
      </c>
      <c r="G170" s="1">
        <f>IF(Data!G170&gt;0,Data!G170,"")</f>
        <v/>
      </c>
      <c r="H170" s="1">
        <f>IF(Data!H170&gt;0,Data!H170,"")</f>
        <v/>
      </c>
      <c r="I170" s="1">
        <f>IF(Data!I170&gt;0,Data!I170,"")</f>
        <v/>
      </c>
      <c r="J170" s="1">
        <f>IF(Data!J170&gt;0,Data!J170,"")</f>
        <v/>
      </c>
      <c r="K170" s="1">
        <f>IF(Data!K170&gt;0,Data!K170,"")</f>
        <v/>
      </c>
      <c r="L170" s="1">
        <f>IF(Data!L170&gt;0,Data!L170,"")</f>
        <v/>
      </c>
      <c r="M170" s="1">
        <f>IF(Data!M170&gt;0,Data!M170,"")</f>
        <v/>
      </c>
      <c r="N170" s="1">
        <f>IF(Data!N170&gt;0,Data!N170,"")</f>
        <v/>
      </c>
      <c r="O170" s="1">
        <f>IF(Data!O170&gt;0,Data!O170,"")</f>
        <v/>
      </c>
      <c r="P170" s="1">
        <f>IF(Data!P170&gt;0,Data!P170,"")</f>
        <v/>
      </c>
      <c r="Q170" s="1">
        <f>IF(Data!Q170&gt;0,Data!Q170,"")</f>
        <v/>
      </c>
      <c r="R170" s="1">
        <f>IF(Data!R170&gt;0,Data!R170,"")</f>
        <v/>
      </c>
      <c r="S170" s="1">
        <f>IF(Data!S170&gt;0,Data!S170,"")</f>
        <v/>
      </c>
      <c r="V170" s="3">
        <f>IF(COUNT(D170,J170,K170,L170,M170,O170)&gt;0,AVERAGE(D170,J170,K170,L170,M170,O170),"")</f>
        <v/>
      </c>
      <c r="W170" s="3">
        <f>IF(COUNT(C170,F170,G170,N170,Q170)&gt;0,AVERAGE(C170,F170,G170,N170,Q170),"")</f>
        <v/>
      </c>
      <c r="X170" s="3">
        <f>IF(COUNT(B170,E170,H170,I170,P170,R170,S170)&gt;0,AVERAGE(B170,E170,H170,I170,P170,R170,S170),"")</f>
        <v/>
      </c>
      <c r="Y170" s="3" t="n"/>
      <c r="AJ170">
        <f>IFERROR(AVERAGEIF($A$4:$A$1004,AI170,$V$4:$V$1004),"")</f>
        <v/>
      </c>
      <c r="AK170">
        <f>IFERROR(AVERAGEIF($A$4:$A$1004,AI170,$W$4:$W$1004),"")</f>
        <v/>
      </c>
      <c r="AL170">
        <f>IFERROR(AVERAGEIF($A$4:$A$1004,AI170,$X$4:$X$1004),"")</f>
        <v/>
      </c>
    </row>
    <row r="171">
      <c r="A171" s="1">
        <f>IF(Data!A171&gt;0,Data!A171,"")</f>
        <v/>
      </c>
      <c r="B171" s="1">
        <f>IF(Data!B171&gt;0,Data!B171,"")</f>
        <v/>
      </c>
      <c r="C171" s="1">
        <f>IF(Data!C171&gt;0,Data!C171,"")</f>
        <v/>
      </c>
      <c r="D171" s="1">
        <f>IF(Data!D171&gt;0,Data!D171,"")</f>
        <v/>
      </c>
      <c r="E171" s="1">
        <f>IF(Data!E171&gt;0,Data!E171,"")</f>
        <v/>
      </c>
      <c r="F171" s="1">
        <f>IF(Data!F171&gt;0,Data!F171,"")</f>
        <v/>
      </c>
      <c r="G171" s="1">
        <f>IF(Data!G171&gt;0,Data!G171,"")</f>
        <v/>
      </c>
      <c r="H171" s="1">
        <f>IF(Data!H171&gt;0,Data!H171,"")</f>
        <v/>
      </c>
      <c r="I171" s="1">
        <f>IF(Data!I171&gt;0,Data!I171,"")</f>
        <v/>
      </c>
      <c r="J171" s="1">
        <f>IF(Data!J171&gt;0,Data!J171,"")</f>
        <v/>
      </c>
      <c r="K171" s="1">
        <f>IF(Data!K171&gt;0,Data!K171,"")</f>
        <v/>
      </c>
      <c r="L171" s="1">
        <f>IF(Data!L171&gt;0,Data!L171,"")</f>
        <v/>
      </c>
      <c r="M171" s="1">
        <f>IF(Data!M171&gt;0,Data!M171,"")</f>
        <v/>
      </c>
      <c r="N171" s="1">
        <f>IF(Data!N171&gt;0,Data!N171,"")</f>
        <v/>
      </c>
      <c r="O171" s="1">
        <f>IF(Data!O171&gt;0,Data!O171,"")</f>
        <v/>
      </c>
      <c r="P171" s="1">
        <f>IF(Data!P171&gt;0,Data!P171,"")</f>
        <v/>
      </c>
      <c r="Q171" s="1">
        <f>IF(Data!Q171&gt;0,Data!Q171,"")</f>
        <v/>
      </c>
      <c r="R171" s="1">
        <f>IF(Data!R171&gt;0,Data!R171,"")</f>
        <v/>
      </c>
      <c r="S171" s="1">
        <f>IF(Data!S171&gt;0,Data!S171,"")</f>
        <v/>
      </c>
      <c r="V171" s="3">
        <f>IF(COUNT(D171,J171,K171,L171,M171,O171)&gt;0,AVERAGE(D171,J171,K171,L171,M171,O171),"")</f>
        <v/>
      </c>
      <c r="W171" s="3">
        <f>IF(COUNT(C171,F171,G171,N171,Q171)&gt;0,AVERAGE(C171,F171,G171,N171,Q171),"")</f>
        <v/>
      </c>
      <c r="X171" s="3">
        <f>IF(COUNT(B171,E171,H171,I171,P171,R171,S171)&gt;0,AVERAGE(B171,E171,H171,I171,P171,R171,S171),"")</f>
        <v/>
      </c>
      <c r="Y171" s="3" t="n"/>
      <c r="AJ171">
        <f>IFERROR(AVERAGEIF($A$4:$A$1004,AI171,$V$4:$V$1004),"")</f>
        <v/>
      </c>
      <c r="AK171">
        <f>IFERROR(AVERAGEIF($A$4:$A$1004,AI171,$W$4:$W$1004),"")</f>
        <v/>
      </c>
      <c r="AL171">
        <f>IFERROR(AVERAGEIF($A$4:$A$1004,AI171,$X$4:$X$1004),"")</f>
        <v/>
      </c>
    </row>
    <row r="172">
      <c r="A172" s="1">
        <f>IF(Data!A172&gt;0,Data!A172,"")</f>
        <v/>
      </c>
      <c r="B172" s="1">
        <f>IF(Data!B172&gt;0,Data!B172,"")</f>
        <v/>
      </c>
      <c r="C172" s="1">
        <f>IF(Data!C172&gt;0,Data!C172,"")</f>
        <v/>
      </c>
      <c r="D172" s="1">
        <f>IF(Data!D172&gt;0,Data!D172,"")</f>
        <v/>
      </c>
      <c r="E172" s="1">
        <f>IF(Data!E172&gt;0,Data!E172,"")</f>
        <v/>
      </c>
      <c r="F172" s="1">
        <f>IF(Data!F172&gt;0,Data!F172,"")</f>
        <v/>
      </c>
      <c r="G172" s="1">
        <f>IF(Data!G172&gt;0,Data!G172,"")</f>
        <v/>
      </c>
      <c r="H172" s="1">
        <f>IF(Data!H172&gt;0,Data!H172,"")</f>
        <v/>
      </c>
      <c r="I172" s="1">
        <f>IF(Data!I172&gt;0,Data!I172,"")</f>
        <v/>
      </c>
      <c r="J172" s="1">
        <f>IF(Data!J172&gt;0,Data!J172,"")</f>
        <v/>
      </c>
      <c r="K172" s="1">
        <f>IF(Data!K172&gt;0,Data!K172,"")</f>
        <v/>
      </c>
      <c r="L172" s="1">
        <f>IF(Data!L172&gt;0,Data!L172,"")</f>
        <v/>
      </c>
      <c r="M172" s="1">
        <f>IF(Data!M172&gt;0,Data!M172,"")</f>
        <v/>
      </c>
      <c r="N172" s="1">
        <f>IF(Data!N172&gt;0,Data!N172,"")</f>
        <v/>
      </c>
      <c r="O172" s="1">
        <f>IF(Data!O172&gt;0,Data!O172,"")</f>
        <v/>
      </c>
      <c r="P172" s="1">
        <f>IF(Data!P172&gt;0,Data!P172,"")</f>
        <v/>
      </c>
      <c r="Q172" s="1">
        <f>IF(Data!Q172&gt;0,Data!Q172,"")</f>
        <v/>
      </c>
      <c r="R172" s="1">
        <f>IF(Data!R172&gt;0,Data!R172,"")</f>
        <v/>
      </c>
      <c r="S172" s="1">
        <f>IF(Data!S172&gt;0,Data!S172,"")</f>
        <v/>
      </c>
      <c r="V172" s="3">
        <f>IF(COUNT(D172,J172,K172,L172,M172,O172)&gt;0,AVERAGE(D172,J172,K172,L172,M172,O172),"")</f>
        <v/>
      </c>
      <c r="W172" s="3">
        <f>IF(COUNT(C172,F172,G172,N172,Q172)&gt;0,AVERAGE(C172,F172,G172,N172,Q172),"")</f>
        <v/>
      </c>
      <c r="X172" s="3">
        <f>IF(COUNT(B172,E172,H172,I172,P172,R172,S172)&gt;0,AVERAGE(B172,E172,H172,I172,P172,R172,S172),"")</f>
        <v/>
      </c>
      <c r="Y172" s="3" t="n"/>
      <c r="AJ172">
        <f>IFERROR(AVERAGEIF($A$4:$A$1004,AI172,$V$4:$V$1004),"")</f>
        <v/>
      </c>
      <c r="AK172">
        <f>IFERROR(AVERAGEIF($A$4:$A$1004,AI172,$W$4:$W$1004),"")</f>
        <v/>
      </c>
      <c r="AL172">
        <f>IFERROR(AVERAGEIF($A$4:$A$1004,AI172,$X$4:$X$1004),"")</f>
        <v/>
      </c>
    </row>
    <row r="173">
      <c r="A173" s="1">
        <f>IF(Data!A173&gt;0,Data!A173,"")</f>
        <v/>
      </c>
      <c r="B173" s="1">
        <f>IF(Data!B173&gt;0,Data!B173,"")</f>
        <v/>
      </c>
      <c r="C173" s="1">
        <f>IF(Data!C173&gt;0,Data!C173,"")</f>
        <v/>
      </c>
      <c r="D173" s="1">
        <f>IF(Data!D173&gt;0,Data!D173,"")</f>
        <v/>
      </c>
      <c r="E173" s="1">
        <f>IF(Data!E173&gt;0,Data!E173,"")</f>
        <v/>
      </c>
      <c r="F173" s="1">
        <f>IF(Data!F173&gt;0,Data!F173,"")</f>
        <v/>
      </c>
      <c r="G173" s="1">
        <f>IF(Data!G173&gt;0,Data!G173,"")</f>
        <v/>
      </c>
      <c r="H173" s="1">
        <f>IF(Data!H173&gt;0,Data!H173,"")</f>
        <v/>
      </c>
      <c r="I173" s="1">
        <f>IF(Data!I173&gt;0,Data!I173,"")</f>
        <v/>
      </c>
      <c r="J173" s="1">
        <f>IF(Data!J173&gt;0,Data!J173,"")</f>
        <v/>
      </c>
      <c r="K173" s="1">
        <f>IF(Data!K173&gt;0,Data!K173,"")</f>
        <v/>
      </c>
      <c r="L173" s="1">
        <f>IF(Data!L173&gt;0,Data!L173,"")</f>
        <v/>
      </c>
      <c r="M173" s="1">
        <f>IF(Data!M173&gt;0,Data!M173,"")</f>
        <v/>
      </c>
      <c r="N173" s="1">
        <f>IF(Data!N173&gt;0,Data!N173,"")</f>
        <v/>
      </c>
      <c r="O173" s="1">
        <f>IF(Data!O173&gt;0,Data!O173,"")</f>
        <v/>
      </c>
      <c r="P173" s="1">
        <f>IF(Data!P173&gt;0,Data!P173,"")</f>
        <v/>
      </c>
      <c r="Q173" s="1">
        <f>IF(Data!Q173&gt;0,Data!Q173,"")</f>
        <v/>
      </c>
      <c r="R173" s="1">
        <f>IF(Data!R173&gt;0,Data!R173,"")</f>
        <v/>
      </c>
      <c r="S173" s="1">
        <f>IF(Data!S173&gt;0,Data!S173,"")</f>
        <v/>
      </c>
      <c r="V173" s="3">
        <f>IF(COUNT(D173,J173,K173,L173,M173,O173)&gt;0,AVERAGE(D173,J173,K173,L173,M173,O173),"")</f>
        <v/>
      </c>
      <c r="W173" s="3">
        <f>IF(COUNT(C173,F173,G173,N173,Q173)&gt;0,AVERAGE(C173,F173,G173,N173,Q173),"")</f>
        <v/>
      </c>
      <c r="X173" s="3">
        <f>IF(COUNT(B173,E173,H173,I173,P173,R173,S173)&gt;0,AVERAGE(B173,E173,H173,I173,P173,R173,S173),"")</f>
        <v/>
      </c>
      <c r="Y173" s="3" t="n"/>
      <c r="AJ173">
        <f>IFERROR(AVERAGEIF($A$4:$A$1004,AI173,$V$4:$V$1004),"")</f>
        <v/>
      </c>
      <c r="AK173">
        <f>IFERROR(AVERAGEIF($A$4:$A$1004,AI173,$W$4:$W$1004),"")</f>
        <v/>
      </c>
      <c r="AL173">
        <f>IFERROR(AVERAGEIF($A$4:$A$1004,AI173,$X$4:$X$1004),"")</f>
        <v/>
      </c>
    </row>
    <row r="174">
      <c r="A174" s="1">
        <f>IF(Data!A174&gt;0,Data!A174,"")</f>
        <v/>
      </c>
      <c r="B174" s="1">
        <f>IF(Data!B174&gt;0,Data!B174,"")</f>
        <v/>
      </c>
      <c r="C174" s="1">
        <f>IF(Data!C174&gt;0,Data!C174,"")</f>
        <v/>
      </c>
      <c r="D174" s="1">
        <f>IF(Data!D174&gt;0,Data!D174,"")</f>
        <v/>
      </c>
      <c r="E174" s="1">
        <f>IF(Data!E174&gt;0,Data!E174,"")</f>
        <v/>
      </c>
      <c r="F174" s="1">
        <f>IF(Data!F174&gt;0,Data!F174,"")</f>
        <v/>
      </c>
      <c r="G174" s="1">
        <f>IF(Data!G174&gt;0,Data!G174,"")</f>
        <v/>
      </c>
      <c r="H174" s="1">
        <f>IF(Data!H174&gt;0,Data!H174,"")</f>
        <v/>
      </c>
      <c r="I174" s="1">
        <f>IF(Data!I174&gt;0,Data!I174,"")</f>
        <v/>
      </c>
      <c r="J174" s="1">
        <f>IF(Data!J174&gt;0,Data!J174,"")</f>
        <v/>
      </c>
      <c r="K174" s="1">
        <f>IF(Data!K174&gt;0,Data!K174,"")</f>
        <v/>
      </c>
      <c r="L174" s="1">
        <f>IF(Data!L174&gt;0,Data!L174,"")</f>
        <v/>
      </c>
      <c r="M174" s="1">
        <f>IF(Data!M174&gt;0,Data!M174,"")</f>
        <v/>
      </c>
      <c r="N174" s="1">
        <f>IF(Data!N174&gt;0,Data!N174,"")</f>
        <v/>
      </c>
      <c r="O174" s="1">
        <f>IF(Data!O174&gt;0,Data!O174,"")</f>
        <v/>
      </c>
      <c r="P174" s="1">
        <f>IF(Data!P174&gt;0,Data!P174,"")</f>
        <v/>
      </c>
      <c r="Q174" s="1">
        <f>IF(Data!Q174&gt;0,Data!Q174,"")</f>
        <v/>
      </c>
      <c r="R174" s="1">
        <f>IF(Data!R174&gt;0,Data!R174,"")</f>
        <v/>
      </c>
      <c r="S174" s="1">
        <f>IF(Data!S174&gt;0,Data!S174,"")</f>
        <v/>
      </c>
      <c r="V174" s="3">
        <f>IF(COUNT(D174,J174,K174,L174,M174,O174)&gt;0,AVERAGE(D174,J174,K174,L174,M174,O174),"")</f>
        <v/>
      </c>
      <c r="W174" s="3">
        <f>IF(COUNT(C174,F174,G174,N174,Q174)&gt;0,AVERAGE(C174,F174,G174,N174,Q174),"")</f>
        <v/>
      </c>
      <c r="X174" s="3">
        <f>IF(COUNT(B174,E174,H174,I174,P174,R174,S174)&gt;0,AVERAGE(B174,E174,H174,I174,P174,R174,S174),"")</f>
        <v/>
      </c>
      <c r="Y174" s="3" t="n"/>
      <c r="AJ174">
        <f>IFERROR(AVERAGEIF($A$4:$A$1004,AI174,$V$4:$V$1004),"")</f>
        <v/>
      </c>
      <c r="AK174">
        <f>IFERROR(AVERAGEIF($A$4:$A$1004,AI174,$W$4:$W$1004),"")</f>
        <v/>
      </c>
      <c r="AL174">
        <f>IFERROR(AVERAGEIF($A$4:$A$1004,AI174,$X$4:$X$1004),"")</f>
        <v/>
      </c>
    </row>
    <row r="175">
      <c r="A175" s="1">
        <f>IF(Data!A175&gt;0,Data!A175,"")</f>
        <v/>
      </c>
      <c r="B175" s="1">
        <f>IF(Data!B175&gt;0,Data!B175,"")</f>
        <v/>
      </c>
      <c r="C175" s="1">
        <f>IF(Data!C175&gt;0,Data!C175,"")</f>
        <v/>
      </c>
      <c r="D175" s="1">
        <f>IF(Data!D175&gt;0,Data!D175,"")</f>
        <v/>
      </c>
      <c r="E175" s="1">
        <f>IF(Data!E175&gt;0,Data!E175,"")</f>
        <v/>
      </c>
      <c r="F175" s="1">
        <f>IF(Data!F175&gt;0,Data!F175,"")</f>
        <v/>
      </c>
      <c r="G175" s="1">
        <f>IF(Data!G175&gt;0,Data!G175,"")</f>
        <v/>
      </c>
      <c r="H175" s="1">
        <f>IF(Data!H175&gt;0,Data!H175,"")</f>
        <v/>
      </c>
      <c r="I175" s="1">
        <f>IF(Data!I175&gt;0,Data!I175,"")</f>
        <v/>
      </c>
      <c r="J175" s="1">
        <f>IF(Data!J175&gt;0,Data!J175,"")</f>
        <v/>
      </c>
      <c r="K175" s="1">
        <f>IF(Data!K175&gt;0,Data!K175,"")</f>
        <v/>
      </c>
      <c r="L175" s="1">
        <f>IF(Data!L175&gt;0,Data!L175,"")</f>
        <v/>
      </c>
      <c r="M175" s="1">
        <f>IF(Data!M175&gt;0,Data!M175,"")</f>
        <v/>
      </c>
      <c r="N175" s="1">
        <f>IF(Data!N175&gt;0,Data!N175,"")</f>
        <v/>
      </c>
      <c r="O175" s="1">
        <f>IF(Data!O175&gt;0,Data!O175,"")</f>
        <v/>
      </c>
      <c r="P175" s="1">
        <f>IF(Data!P175&gt;0,Data!P175,"")</f>
        <v/>
      </c>
      <c r="Q175" s="1">
        <f>IF(Data!Q175&gt;0,Data!Q175,"")</f>
        <v/>
      </c>
      <c r="R175" s="1">
        <f>IF(Data!R175&gt;0,Data!R175,"")</f>
        <v/>
      </c>
      <c r="S175" s="1">
        <f>IF(Data!S175&gt;0,Data!S175,"")</f>
        <v/>
      </c>
      <c r="V175" s="3">
        <f>IF(COUNT(D175,J175,K175,L175,M175,O175)&gt;0,AVERAGE(D175,J175,K175,L175,M175,O175),"")</f>
        <v/>
      </c>
      <c r="W175" s="3">
        <f>IF(COUNT(C175,F175,G175,N175,Q175)&gt;0,AVERAGE(C175,F175,G175,N175,Q175),"")</f>
        <v/>
      </c>
      <c r="X175" s="3">
        <f>IF(COUNT(B175,E175,H175,I175,P175,R175,S175)&gt;0,AVERAGE(B175,E175,H175,I175,P175,R175,S175),"")</f>
        <v/>
      </c>
      <c r="Y175" s="3" t="n"/>
      <c r="AJ175">
        <f>IFERROR(AVERAGEIF($A$4:$A$1004,AI175,$V$4:$V$1004),"")</f>
        <v/>
      </c>
      <c r="AK175">
        <f>IFERROR(AVERAGEIF($A$4:$A$1004,AI175,$W$4:$W$1004),"")</f>
        <v/>
      </c>
      <c r="AL175">
        <f>IFERROR(AVERAGEIF($A$4:$A$1004,AI175,$X$4:$X$1004),"")</f>
        <v/>
      </c>
    </row>
    <row r="176">
      <c r="A176" s="1">
        <f>IF(Data!A176&gt;0,Data!A176,"")</f>
        <v/>
      </c>
      <c r="B176" s="1">
        <f>IF(Data!B176&gt;0,Data!B176,"")</f>
        <v/>
      </c>
      <c r="C176" s="1">
        <f>IF(Data!C176&gt;0,Data!C176,"")</f>
        <v/>
      </c>
      <c r="D176" s="1">
        <f>IF(Data!D176&gt;0,Data!D176,"")</f>
        <v/>
      </c>
      <c r="E176" s="1">
        <f>IF(Data!E176&gt;0,Data!E176,"")</f>
        <v/>
      </c>
      <c r="F176" s="1">
        <f>IF(Data!F176&gt;0,Data!F176,"")</f>
        <v/>
      </c>
      <c r="G176" s="1">
        <f>IF(Data!G176&gt;0,Data!G176,"")</f>
        <v/>
      </c>
      <c r="H176" s="1">
        <f>IF(Data!H176&gt;0,Data!H176,"")</f>
        <v/>
      </c>
      <c r="I176" s="1">
        <f>IF(Data!I176&gt;0,Data!I176,"")</f>
        <v/>
      </c>
      <c r="J176" s="1">
        <f>IF(Data!J176&gt;0,Data!J176,"")</f>
        <v/>
      </c>
      <c r="K176" s="1">
        <f>IF(Data!K176&gt;0,Data!K176,"")</f>
        <v/>
      </c>
      <c r="L176" s="1">
        <f>IF(Data!L176&gt;0,Data!L176,"")</f>
        <v/>
      </c>
      <c r="M176" s="1">
        <f>IF(Data!M176&gt;0,Data!M176,"")</f>
        <v/>
      </c>
      <c r="N176" s="1">
        <f>IF(Data!N176&gt;0,Data!N176,"")</f>
        <v/>
      </c>
      <c r="O176" s="1">
        <f>IF(Data!O176&gt;0,Data!O176,"")</f>
        <v/>
      </c>
      <c r="P176" s="1">
        <f>IF(Data!P176&gt;0,Data!P176,"")</f>
        <v/>
      </c>
      <c r="Q176" s="1">
        <f>IF(Data!Q176&gt;0,Data!Q176,"")</f>
        <v/>
      </c>
      <c r="R176" s="1">
        <f>IF(Data!R176&gt;0,Data!R176,"")</f>
        <v/>
      </c>
      <c r="S176" s="1">
        <f>IF(Data!S176&gt;0,Data!S176,"")</f>
        <v/>
      </c>
      <c r="V176" s="3">
        <f>IF(COUNT(D176,J176,K176,L176,M176,O176)&gt;0,AVERAGE(D176,J176,K176,L176,M176,O176),"")</f>
        <v/>
      </c>
      <c r="W176" s="3">
        <f>IF(COUNT(C176,F176,G176,N176,Q176)&gt;0,AVERAGE(C176,F176,G176,N176,Q176),"")</f>
        <v/>
      </c>
      <c r="X176" s="3">
        <f>IF(COUNT(B176,E176,H176,I176,P176,R176,S176)&gt;0,AVERAGE(B176,E176,H176,I176,P176,R176,S176),"")</f>
        <v/>
      </c>
      <c r="Y176" s="3" t="n"/>
      <c r="AJ176">
        <f>IFERROR(AVERAGEIF($A$4:$A$1004,AI176,$V$4:$V$1004),"")</f>
        <v/>
      </c>
      <c r="AK176">
        <f>IFERROR(AVERAGEIF($A$4:$A$1004,AI176,$W$4:$W$1004),"")</f>
        <v/>
      </c>
      <c r="AL176">
        <f>IFERROR(AVERAGEIF($A$4:$A$1004,AI176,$X$4:$X$1004),"")</f>
        <v/>
      </c>
    </row>
    <row r="177">
      <c r="A177" s="1">
        <f>IF(Data!A177&gt;0,Data!A177,"")</f>
        <v/>
      </c>
      <c r="B177" s="1">
        <f>IF(Data!B177&gt;0,Data!B177,"")</f>
        <v/>
      </c>
      <c r="C177" s="1">
        <f>IF(Data!C177&gt;0,Data!C177,"")</f>
        <v/>
      </c>
      <c r="D177" s="1">
        <f>IF(Data!D177&gt;0,Data!D177,"")</f>
        <v/>
      </c>
      <c r="E177" s="1">
        <f>IF(Data!E177&gt;0,Data!E177,"")</f>
        <v/>
      </c>
      <c r="F177" s="1">
        <f>IF(Data!F177&gt;0,Data!F177,"")</f>
        <v/>
      </c>
      <c r="G177" s="1">
        <f>IF(Data!G177&gt;0,Data!G177,"")</f>
        <v/>
      </c>
      <c r="H177" s="1">
        <f>IF(Data!H177&gt;0,Data!H177,"")</f>
        <v/>
      </c>
      <c r="I177" s="1">
        <f>IF(Data!I177&gt;0,Data!I177,"")</f>
        <v/>
      </c>
      <c r="J177" s="1">
        <f>IF(Data!J177&gt;0,Data!J177,"")</f>
        <v/>
      </c>
      <c r="K177" s="1">
        <f>IF(Data!K177&gt;0,Data!K177,"")</f>
        <v/>
      </c>
      <c r="L177" s="1">
        <f>IF(Data!L177&gt;0,Data!L177,"")</f>
        <v/>
      </c>
      <c r="M177" s="1">
        <f>IF(Data!M177&gt;0,Data!M177,"")</f>
        <v/>
      </c>
      <c r="N177" s="1">
        <f>IF(Data!N177&gt;0,Data!N177,"")</f>
        <v/>
      </c>
      <c r="O177" s="1">
        <f>IF(Data!O177&gt;0,Data!O177,"")</f>
        <v/>
      </c>
      <c r="P177" s="1">
        <f>IF(Data!P177&gt;0,Data!P177,"")</f>
        <v/>
      </c>
      <c r="Q177" s="1">
        <f>IF(Data!Q177&gt;0,Data!Q177,"")</f>
        <v/>
      </c>
      <c r="R177" s="1">
        <f>IF(Data!R177&gt;0,Data!R177,"")</f>
        <v/>
      </c>
      <c r="S177" s="1">
        <f>IF(Data!S177&gt;0,Data!S177,"")</f>
        <v/>
      </c>
      <c r="V177" s="3">
        <f>IF(COUNT(D177,J177,K177,L177,M177,O177)&gt;0,AVERAGE(D177,J177,K177,L177,M177,O177),"")</f>
        <v/>
      </c>
      <c r="W177" s="3">
        <f>IF(COUNT(C177,F177,G177,N177,Q177)&gt;0,AVERAGE(C177,F177,G177,N177,Q177),"")</f>
        <v/>
      </c>
      <c r="X177" s="3">
        <f>IF(COUNT(B177,E177,H177,I177,P177,R177,S177)&gt;0,AVERAGE(B177,E177,H177,I177,P177,R177,S177),"")</f>
        <v/>
      </c>
      <c r="Y177" s="3" t="n"/>
      <c r="AJ177">
        <f>IFERROR(AVERAGEIF($A$4:$A$1004,AI177,$V$4:$V$1004),"")</f>
        <v/>
      </c>
      <c r="AK177">
        <f>IFERROR(AVERAGEIF($A$4:$A$1004,AI177,$W$4:$W$1004),"")</f>
        <v/>
      </c>
      <c r="AL177">
        <f>IFERROR(AVERAGEIF($A$4:$A$1004,AI177,$X$4:$X$1004),"")</f>
        <v/>
      </c>
    </row>
    <row r="178">
      <c r="A178" s="1">
        <f>IF(Data!A178&gt;0,Data!A178,"")</f>
        <v/>
      </c>
      <c r="B178" s="1">
        <f>IF(Data!B178&gt;0,Data!B178,"")</f>
        <v/>
      </c>
      <c r="C178" s="1">
        <f>IF(Data!C178&gt;0,Data!C178,"")</f>
        <v/>
      </c>
      <c r="D178" s="1">
        <f>IF(Data!D178&gt;0,Data!D178,"")</f>
        <v/>
      </c>
      <c r="E178" s="1">
        <f>IF(Data!E178&gt;0,Data!E178,"")</f>
        <v/>
      </c>
      <c r="F178" s="1">
        <f>IF(Data!F178&gt;0,Data!F178,"")</f>
        <v/>
      </c>
      <c r="G178" s="1">
        <f>IF(Data!G178&gt;0,Data!G178,"")</f>
        <v/>
      </c>
      <c r="H178" s="1">
        <f>IF(Data!H178&gt;0,Data!H178,"")</f>
        <v/>
      </c>
      <c r="I178" s="1">
        <f>IF(Data!I178&gt;0,Data!I178,"")</f>
        <v/>
      </c>
      <c r="J178" s="1">
        <f>IF(Data!J178&gt;0,Data!J178,"")</f>
        <v/>
      </c>
      <c r="K178" s="1">
        <f>IF(Data!K178&gt;0,Data!K178,"")</f>
        <v/>
      </c>
      <c r="L178" s="1">
        <f>IF(Data!L178&gt;0,Data!L178,"")</f>
        <v/>
      </c>
      <c r="M178" s="1">
        <f>IF(Data!M178&gt;0,Data!M178,"")</f>
        <v/>
      </c>
      <c r="N178" s="1">
        <f>IF(Data!N178&gt;0,Data!N178,"")</f>
        <v/>
      </c>
      <c r="O178" s="1">
        <f>IF(Data!O178&gt;0,Data!O178,"")</f>
        <v/>
      </c>
      <c r="P178" s="1">
        <f>IF(Data!P178&gt;0,Data!P178,"")</f>
        <v/>
      </c>
      <c r="Q178" s="1">
        <f>IF(Data!Q178&gt;0,Data!Q178,"")</f>
        <v/>
      </c>
      <c r="R178" s="1">
        <f>IF(Data!R178&gt;0,Data!R178,"")</f>
        <v/>
      </c>
      <c r="S178" s="1">
        <f>IF(Data!S178&gt;0,Data!S178,"")</f>
        <v/>
      </c>
      <c r="V178" s="3">
        <f>IF(COUNT(D178,J178,K178,L178,M178,O178)&gt;0,AVERAGE(D178,J178,K178,L178,M178,O178),"")</f>
        <v/>
      </c>
      <c r="W178" s="3">
        <f>IF(COUNT(C178,F178,G178,N178,Q178)&gt;0,AVERAGE(C178,F178,G178,N178,Q178),"")</f>
        <v/>
      </c>
      <c r="X178" s="3">
        <f>IF(COUNT(B178,E178,H178,I178,P178,R178,S178)&gt;0,AVERAGE(B178,E178,H178,I178,P178,R178,S178),"")</f>
        <v/>
      </c>
      <c r="Y178" s="3" t="n"/>
      <c r="AJ178">
        <f>IFERROR(AVERAGEIF($A$4:$A$1004,AI178,$V$4:$V$1004),"")</f>
        <v/>
      </c>
      <c r="AK178">
        <f>IFERROR(AVERAGEIF($A$4:$A$1004,AI178,$W$4:$W$1004),"")</f>
        <v/>
      </c>
      <c r="AL178">
        <f>IFERROR(AVERAGEIF($A$4:$A$1004,AI178,$X$4:$X$1004),"")</f>
        <v/>
      </c>
    </row>
    <row r="179">
      <c r="A179" s="1">
        <f>IF(Data!A179&gt;0,Data!A179,"")</f>
        <v/>
      </c>
      <c r="B179" s="1">
        <f>IF(Data!B179&gt;0,Data!B179,"")</f>
        <v/>
      </c>
      <c r="C179" s="1">
        <f>IF(Data!C179&gt;0,Data!C179,"")</f>
        <v/>
      </c>
      <c r="D179" s="1">
        <f>IF(Data!D179&gt;0,Data!D179,"")</f>
        <v/>
      </c>
      <c r="E179" s="1">
        <f>IF(Data!E179&gt;0,Data!E179,"")</f>
        <v/>
      </c>
      <c r="F179" s="1">
        <f>IF(Data!F179&gt;0,Data!F179,"")</f>
        <v/>
      </c>
      <c r="G179" s="1">
        <f>IF(Data!G179&gt;0,Data!G179,"")</f>
        <v/>
      </c>
      <c r="H179" s="1">
        <f>IF(Data!H179&gt;0,Data!H179,"")</f>
        <v/>
      </c>
      <c r="I179" s="1">
        <f>IF(Data!I179&gt;0,Data!I179,"")</f>
        <v/>
      </c>
      <c r="J179" s="1">
        <f>IF(Data!J179&gt;0,Data!J179,"")</f>
        <v/>
      </c>
      <c r="K179" s="1">
        <f>IF(Data!K179&gt;0,Data!K179,"")</f>
        <v/>
      </c>
      <c r="L179" s="1">
        <f>IF(Data!L179&gt;0,Data!L179,"")</f>
        <v/>
      </c>
      <c r="M179" s="1">
        <f>IF(Data!M179&gt;0,Data!M179,"")</f>
        <v/>
      </c>
      <c r="N179" s="1">
        <f>IF(Data!N179&gt;0,Data!N179,"")</f>
        <v/>
      </c>
      <c r="O179" s="1">
        <f>IF(Data!O179&gt;0,Data!O179,"")</f>
        <v/>
      </c>
      <c r="P179" s="1">
        <f>IF(Data!P179&gt;0,Data!P179,"")</f>
        <v/>
      </c>
      <c r="Q179" s="1">
        <f>IF(Data!Q179&gt;0,Data!Q179,"")</f>
        <v/>
      </c>
      <c r="R179" s="1">
        <f>IF(Data!R179&gt;0,Data!R179,"")</f>
        <v/>
      </c>
      <c r="S179" s="1">
        <f>IF(Data!S179&gt;0,Data!S179,"")</f>
        <v/>
      </c>
      <c r="V179" s="3">
        <f>IF(COUNT(D179,J179,K179,L179,M179,O179)&gt;0,AVERAGE(D179,J179,K179,L179,M179,O179),"")</f>
        <v/>
      </c>
      <c r="W179" s="3">
        <f>IF(COUNT(C179,F179,G179,N179,Q179)&gt;0,AVERAGE(C179,F179,G179,N179,Q179),"")</f>
        <v/>
      </c>
      <c r="X179" s="3">
        <f>IF(COUNT(B179,E179,H179,I179,P179,R179,S179)&gt;0,AVERAGE(B179,E179,H179,I179,P179,R179,S179),"")</f>
        <v/>
      </c>
      <c r="Y179" s="3" t="n"/>
      <c r="AJ179">
        <f>IFERROR(AVERAGEIF($A$4:$A$1004,AI179,$V$4:$V$1004),"")</f>
        <v/>
      </c>
      <c r="AK179">
        <f>IFERROR(AVERAGEIF($A$4:$A$1004,AI179,$W$4:$W$1004),"")</f>
        <v/>
      </c>
      <c r="AL179">
        <f>IFERROR(AVERAGEIF($A$4:$A$1004,AI179,$X$4:$X$1004),"")</f>
        <v/>
      </c>
    </row>
    <row r="180">
      <c r="A180" s="1">
        <f>IF(Data!A180&gt;0,Data!A180,"")</f>
        <v/>
      </c>
      <c r="B180" s="1">
        <f>IF(Data!B180&gt;0,Data!B180,"")</f>
        <v/>
      </c>
      <c r="C180" s="1">
        <f>IF(Data!C180&gt;0,Data!C180,"")</f>
        <v/>
      </c>
      <c r="D180" s="1">
        <f>IF(Data!D180&gt;0,Data!D180,"")</f>
        <v/>
      </c>
      <c r="E180" s="1">
        <f>IF(Data!E180&gt;0,Data!E180,"")</f>
        <v/>
      </c>
      <c r="F180" s="1">
        <f>IF(Data!F180&gt;0,Data!F180,"")</f>
        <v/>
      </c>
      <c r="G180" s="1">
        <f>IF(Data!G180&gt;0,Data!G180,"")</f>
        <v/>
      </c>
      <c r="H180" s="1">
        <f>IF(Data!H180&gt;0,Data!H180,"")</f>
        <v/>
      </c>
      <c r="I180" s="1">
        <f>IF(Data!I180&gt;0,Data!I180,"")</f>
        <v/>
      </c>
      <c r="J180" s="1">
        <f>IF(Data!J180&gt;0,Data!J180,"")</f>
        <v/>
      </c>
      <c r="K180" s="1">
        <f>IF(Data!K180&gt;0,Data!K180,"")</f>
        <v/>
      </c>
      <c r="L180" s="1">
        <f>IF(Data!L180&gt;0,Data!L180,"")</f>
        <v/>
      </c>
      <c r="M180" s="1">
        <f>IF(Data!M180&gt;0,Data!M180,"")</f>
        <v/>
      </c>
      <c r="N180" s="1">
        <f>IF(Data!N180&gt;0,Data!N180,"")</f>
        <v/>
      </c>
      <c r="O180" s="1">
        <f>IF(Data!O180&gt;0,Data!O180,"")</f>
        <v/>
      </c>
      <c r="P180" s="1">
        <f>IF(Data!P180&gt;0,Data!P180,"")</f>
        <v/>
      </c>
      <c r="Q180" s="1">
        <f>IF(Data!Q180&gt;0,Data!Q180,"")</f>
        <v/>
      </c>
      <c r="R180" s="1">
        <f>IF(Data!R180&gt;0,Data!R180,"")</f>
        <v/>
      </c>
      <c r="S180" s="1">
        <f>IF(Data!S180&gt;0,Data!S180,"")</f>
        <v/>
      </c>
      <c r="V180" s="3">
        <f>IF(COUNT(D180,J180,K180,L180,M180,O180)&gt;0,AVERAGE(D180,J180,K180,L180,M180,O180),"")</f>
        <v/>
      </c>
      <c r="W180" s="3">
        <f>IF(COUNT(C180,F180,G180,N180,Q180)&gt;0,AVERAGE(C180,F180,G180,N180,Q180),"")</f>
        <v/>
      </c>
      <c r="X180" s="3">
        <f>IF(COUNT(B180,E180,H180,I180,P180,R180,S180)&gt;0,AVERAGE(B180,E180,H180,I180,P180,R180,S180),"")</f>
        <v/>
      </c>
      <c r="Y180" s="3" t="n"/>
      <c r="AJ180">
        <f>IFERROR(AVERAGEIF($A$4:$A$1004,AI180,$V$4:$V$1004),"")</f>
        <v/>
      </c>
      <c r="AK180">
        <f>IFERROR(AVERAGEIF($A$4:$A$1004,AI180,$W$4:$W$1004),"")</f>
        <v/>
      </c>
      <c r="AL180">
        <f>IFERROR(AVERAGEIF($A$4:$A$1004,AI180,$X$4:$X$1004),"")</f>
        <v/>
      </c>
    </row>
    <row r="181">
      <c r="A181" s="1">
        <f>IF(Data!A181&gt;0,Data!A181,"")</f>
        <v/>
      </c>
      <c r="B181" s="1">
        <f>IF(Data!B181&gt;0,Data!B181,"")</f>
        <v/>
      </c>
      <c r="C181" s="1">
        <f>IF(Data!C181&gt;0,Data!C181,"")</f>
        <v/>
      </c>
      <c r="D181" s="1">
        <f>IF(Data!D181&gt;0,Data!D181,"")</f>
        <v/>
      </c>
      <c r="E181" s="1">
        <f>IF(Data!E181&gt;0,Data!E181,"")</f>
        <v/>
      </c>
      <c r="F181" s="1">
        <f>IF(Data!F181&gt;0,Data!F181,"")</f>
        <v/>
      </c>
      <c r="G181" s="1">
        <f>IF(Data!G181&gt;0,Data!G181,"")</f>
        <v/>
      </c>
      <c r="H181" s="1">
        <f>IF(Data!H181&gt;0,Data!H181,"")</f>
        <v/>
      </c>
      <c r="I181" s="1">
        <f>IF(Data!I181&gt;0,Data!I181,"")</f>
        <v/>
      </c>
      <c r="J181" s="1">
        <f>IF(Data!J181&gt;0,Data!J181,"")</f>
        <v/>
      </c>
      <c r="K181" s="1">
        <f>IF(Data!K181&gt;0,Data!K181,"")</f>
        <v/>
      </c>
      <c r="L181" s="1">
        <f>IF(Data!L181&gt;0,Data!L181,"")</f>
        <v/>
      </c>
      <c r="M181" s="1">
        <f>IF(Data!M181&gt;0,Data!M181,"")</f>
        <v/>
      </c>
      <c r="N181" s="1">
        <f>IF(Data!N181&gt;0,Data!N181,"")</f>
        <v/>
      </c>
      <c r="O181" s="1">
        <f>IF(Data!O181&gt;0,Data!O181,"")</f>
        <v/>
      </c>
      <c r="P181" s="1">
        <f>IF(Data!P181&gt;0,Data!P181,"")</f>
        <v/>
      </c>
      <c r="Q181" s="1">
        <f>IF(Data!Q181&gt;0,Data!Q181,"")</f>
        <v/>
      </c>
      <c r="R181" s="1">
        <f>IF(Data!R181&gt;0,Data!R181,"")</f>
        <v/>
      </c>
      <c r="S181" s="1">
        <f>IF(Data!S181&gt;0,Data!S181,"")</f>
        <v/>
      </c>
      <c r="V181" s="3">
        <f>IF(COUNT(D181,J181,K181,L181,M181,O181)&gt;0,AVERAGE(D181,J181,K181,L181,M181,O181),"")</f>
        <v/>
      </c>
      <c r="W181" s="3">
        <f>IF(COUNT(C181,F181,G181,N181,Q181)&gt;0,AVERAGE(C181,F181,G181,N181,Q181),"")</f>
        <v/>
      </c>
      <c r="X181" s="3">
        <f>IF(COUNT(B181,E181,H181,I181,P181,R181,S181)&gt;0,AVERAGE(B181,E181,H181,I181,P181,R181,S181),"")</f>
        <v/>
      </c>
      <c r="Y181" s="3" t="n"/>
      <c r="AJ181">
        <f>IFERROR(AVERAGEIF($A$4:$A$1004,AI181,$V$4:$V$1004),"")</f>
        <v/>
      </c>
      <c r="AK181">
        <f>IFERROR(AVERAGEIF($A$4:$A$1004,AI181,$W$4:$W$1004),"")</f>
        <v/>
      </c>
      <c r="AL181">
        <f>IFERROR(AVERAGEIF($A$4:$A$1004,AI181,$X$4:$X$1004),"")</f>
        <v/>
      </c>
    </row>
    <row r="182">
      <c r="A182" s="1">
        <f>IF(Data!A182&gt;0,Data!A182,"")</f>
        <v/>
      </c>
      <c r="B182" s="1">
        <f>IF(Data!B182&gt;0,Data!B182,"")</f>
        <v/>
      </c>
      <c r="C182" s="1">
        <f>IF(Data!C182&gt;0,Data!C182,"")</f>
        <v/>
      </c>
      <c r="D182" s="1">
        <f>IF(Data!D182&gt;0,Data!D182,"")</f>
        <v/>
      </c>
      <c r="E182" s="1">
        <f>IF(Data!E182&gt;0,Data!E182,"")</f>
        <v/>
      </c>
      <c r="F182" s="1">
        <f>IF(Data!F182&gt;0,Data!F182,"")</f>
        <v/>
      </c>
      <c r="G182" s="1">
        <f>IF(Data!G182&gt;0,Data!G182,"")</f>
        <v/>
      </c>
      <c r="H182" s="1">
        <f>IF(Data!H182&gt;0,Data!H182,"")</f>
        <v/>
      </c>
      <c r="I182" s="1">
        <f>IF(Data!I182&gt;0,Data!I182,"")</f>
        <v/>
      </c>
      <c r="J182" s="1">
        <f>IF(Data!J182&gt;0,Data!J182,"")</f>
        <v/>
      </c>
      <c r="K182" s="1">
        <f>IF(Data!K182&gt;0,Data!K182,"")</f>
        <v/>
      </c>
      <c r="L182" s="1">
        <f>IF(Data!L182&gt;0,Data!L182,"")</f>
        <v/>
      </c>
      <c r="M182" s="1">
        <f>IF(Data!M182&gt;0,Data!M182,"")</f>
        <v/>
      </c>
      <c r="N182" s="1">
        <f>IF(Data!N182&gt;0,Data!N182,"")</f>
        <v/>
      </c>
      <c r="O182" s="1">
        <f>IF(Data!O182&gt;0,Data!O182,"")</f>
        <v/>
      </c>
      <c r="P182" s="1">
        <f>IF(Data!P182&gt;0,Data!P182,"")</f>
        <v/>
      </c>
      <c r="Q182" s="1">
        <f>IF(Data!Q182&gt;0,Data!Q182,"")</f>
        <v/>
      </c>
      <c r="R182" s="1">
        <f>IF(Data!R182&gt;0,Data!R182,"")</f>
        <v/>
      </c>
      <c r="S182" s="1">
        <f>IF(Data!S182&gt;0,Data!S182,"")</f>
        <v/>
      </c>
      <c r="V182" s="3">
        <f>IF(COUNT(D182,J182,K182,L182,M182,O182)&gt;0,AVERAGE(D182,J182,K182,L182,M182,O182),"")</f>
        <v/>
      </c>
      <c r="W182" s="3">
        <f>IF(COUNT(C182,F182,G182,N182,Q182)&gt;0,AVERAGE(C182,F182,G182,N182,Q182),"")</f>
        <v/>
      </c>
      <c r="X182" s="3">
        <f>IF(COUNT(B182,E182,H182,I182,P182,R182,S182)&gt;0,AVERAGE(B182,E182,H182,I182,P182,R182,S182),"")</f>
        <v/>
      </c>
      <c r="Y182" s="3" t="n"/>
      <c r="AJ182">
        <f>IFERROR(AVERAGEIF($A$4:$A$1004,AI182,$V$4:$V$1004),"")</f>
        <v/>
      </c>
      <c r="AK182">
        <f>IFERROR(AVERAGEIF($A$4:$A$1004,AI182,$W$4:$W$1004),"")</f>
        <v/>
      </c>
      <c r="AL182">
        <f>IFERROR(AVERAGEIF($A$4:$A$1004,AI182,$X$4:$X$1004),"")</f>
        <v/>
      </c>
    </row>
    <row r="183">
      <c r="A183" s="1">
        <f>IF(Data!A183&gt;0,Data!A183,"")</f>
        <v/>
      </c>
      <c r="B183" s="1">
        <f>IF(Data!B183&gt;0,Data!B183,"")</f>
        <v/>
      </c>
      <c r="C183" s="1">
        <f>IF(Data!C183&gt;0,Data!C183,"")</f>
        <v/>
      </c>
      <c r="D183" s="1">
        <f>IF(Data!D183&gt;0,Data!D183,"")</f>
        <v/>
      </c>
      <c r="E183" s="1">
        <f>IF(Data!E183&gt;0,Data!E183,"")</f>
        <v/>
      </c>
      <c r="F183" s="1">
        <f>IF(Data!F183&gt;0,Data!F183,"")</f>
        <v/>
      </c>
      <c r="G183" s="1">
        <f>IF(Data!G183&gt;0,Data!G183,"")</f>
        <v/>
      </c>
      <c r="H183" s="1">
        <f>IF(Data!H183&gt;0,Data!H183,"")</f>
        <v/>
      </c>
      <c r="I183" s="1">
        <f>IF(Data!I183&gt;0,Data!I183,"")</f>
        <v/>
      </c>
      <c r="J183" s="1">
        <f>IF(Data!J183&gt;0,Data!J183,"")</f>
        <v/>
      </c>
      <c r="K183" s="1">
        <f>IF(Data!K183&gt;0,Data!K183,"")</f>
        <v/>
      </c>
      <c r="L183" s="1">
        <f>IF(Data!L183&gt;0,Data!L183,"")</f>
        <v/>
      </c>
      <c r="M183" s="1">
        <f>IF(Data!M183&gt;0,Data!M183,"")</f>
        <v/>
      </c>
      <c r="N183" s="1">
        <f>IF(Data!N183&gt;0,Data!N183,"")</f>
        <v/>
      </c>
      <c r="O183" s="1">
        <f>IF(Data!O183&gt;0,Data!O183,"")</f>
        <v/>
      </c>
      <c r="P183" s="1">
        <f>IF(Data!P183&gt;0,Data!P183,"")</f>
        <v/>
      </c>
      <c r="Q183" s="1">
        <f>IF(Data!Q183&gt;0,Data!Q183,"")</f>
        <v/>
      </c>
      <c r="R183" s="1">
        <f>IF(Data!R183&gt;0,Data!R183,"")</f>
        <v/>
      </c>
      <c r="S183" s="1">
        <f>IF(Data!S183&gt;0,Data!S183,"")</f>
        <v/>
      </c>
      <c r="V183" s="3">
        <f>IF(COUNT(D183,J183,K183,L183,M183,O183)&gt;0,AVERAGE(D183,J183,K183,L183,M183,O183),"")</f>
        <v/>
      </c>
      <c r="W183" s="3">
        <f>IF(COUNT(C183,F183,G183,N183,Q183)&gt;0,AVERAGE(C183,F183,G183,N183,Q183),"")</f>
        <v/>
      </c>
      <c r="X183" s="3">
        <f>IF(COUNT(B183,E183,H183,I183,P183,R183,S183)&gt;0,AVERAGE(B183,E183,H183,I183,P183,R183,S183),"")</f>
        <v/>
      </c>
      <c r="Y183" s="3" t="n"/>
      <c r="AJ183">
        <f>IFERROR(AVERAGEIF($A$4:$A$1004,AI183,$V$4:$V$1004),"")</f>
        <v/>
      </c>
      <c r="AK183">
        <f>IFERROR(AVERAGEIF($A$4:$A$1004,AI183,$W$4:$W$1004),"")</f>
        <v/>
      </c>
      <c r="AL183">
        <f>IFERROR(AVERAGEIF($A$4:$A$1004,AI183,$X$4:$X$1004),"")</f>
        <v/>
      </c>
    </row>
    <row r="184">
      <c r="A184" s="1">
        <f>IF(Data!A184&gt;0,Data!A184,"")</f>
        <v/>
      </c>
      <c r="B184" s="1">
        <f>IF(Data!B184&gt;0,Data!B184,"")</f>
        <v/>
      </c>
      <c r="C184" s="1">
        <f>IF(Data!C184&gt;0,Data!C184,"")</f>
        <v/>
      </c>
      <c r="D184" s="1">
        <f>IF(Data!D184&gt;0,Data!D184,"")</f>
        <v/>
      </c>
      <c r="E184" s="1">
        <f>IF(Data!E184&gt;0,Data!E184,"")</f>
        <v/>
      </c>
      <c r="F184" s="1">
        <f>IF(Data!F184&gt;0,Data!F184,"")</f>
        <v/>
      </c>
      <c r="G184" s="1">
        <f>IF(Data!G184&gt;0,Data!G184,"")</f>
        <v/>
      </c>
      <c r="H184" s="1">
        <f>IF(Data!H184&gt;0,Data!H184,"")</f>
        <v/>
      </c>
      <c r="I184" s="1">
        <f>IF(Data!I184&gt;0,Data!I184,"")</f>
        <v/>
      </c>
      <c r="J184" s="1">
        <f>IF(Data!J184&gt;0,Data!J184,"")</f>
        <v/>
      </c>
      <c r="K184" s="1">
        <f>IF(Data!K184&gt;0,Data!K184,"")</f>
        <v/>
      </c>
      <c r="L184" s="1">
        <f>IF(Data!L184&gt;0,Data!L184,"")</f>
        <v/>
      </c>
      <c r="M184" s="1">
        <f>IF(Data!M184&gt;0,Data!M184,"")</f>
        <v/>
      </c>
      <c r="N184" s="1">
        <f>IF(Data!N184&gt;0,Data!N184,"")</f>
        <v/>
      </c>
      <c r="O184" s="1">
        <f>IF(Data!O184&gt;0,Data!O184,"")</f>
        <v/>
      </c>
      <c r="P184" s="1">
        <f>IF(Data!P184&gt;0,Data!P184,"")</f>
        <v/>
      </c>
      <c r="Q184" s="1">
        <f>IF(Data!Q184&gt;0,Data!Q184,"")</f>
        <v/>
      </c>
      <c r="R184" s="1">
        <f>IF(Data!R184&gt;0,Data!R184,"")</f>
        <v/>
      </c>
      <c r="S184" s="1">
        <f>IF(Data!S184&gt;0,Data!S184,"")</f>
        <v/>
      </c>
      <c r="V184" s="3">
        <f>IF(COUNT(D184,J184,K184,L184,M184,O184)&gt;0,AVERAGE(D184,J184,K184,L184,M184,O184),"")</f>
        <v/>
      </c>
      <c r="W184" s="3">
        <f>IF(COUNT(C184,F184,G184,N184,Q184)&gt;0,AVERAGE(C184,F184,G184,N184,Q184),"")</f>
        <v/>
      </c>
      <c r="X184" s="3">
        <f>IF(COUNT(B184,E184,H184,I184,P184,R184,S184)&gt;0,AVERAGE(B184,E184,H184,I184,P184,R184,S184),"")</f>
        <v/>
      </c>
      <c r="Y184" s="3" t="n"/>
      <c r="AJ184">
        <f>IFERROR(AVERAGEIF($A$4:$A$1004,AI184,$V$4:$V$1004),"")</f>
        <v/>
      </c>
      <c r="AK184">
        <f>IFERROR(AVERAGEIF($A$4:$A$1004,AI184,$W$4:$W$1004),"")</f>
        <v/>
      </c>
      <c r="AL184">
        <f>IFERROR(AVERAGEIF($A$4:$A$1004,AI184,$X$4:$X$1004),"")</f>
        <v/>
      </c>
    </row>
    <row r="185">
      <c r="A185" s="1">
        <f>IF(Data!A185&gt;0,Data!A185,"")</f>
        <v/>
      </c>
      <c r="B185" s="1">
        <f>IF(Data!B185&gt;0,Data!B185,"")</f>
        <v/>
      </c>
      <c r="C185" s="1">
        <f>IF(Data!C185&gt;0,Data!C185,"")</f>
        <v/>
      </c>
      <c r="D185" s="1">
        <f>IF(Data!D185&gt;0,Data!D185,"")</f>
        <v/>
      </c>
      <c r="E185" s="1">
        <f>IF(Data!E185&gt;0,Data!E185,"")</f>
        <v/>
      </c>
      <c r="F185" s="1">
        <f>IF(Data!F185&gt;0,Data!F185,"")</f>
        <v/>
      </c>
      <c r="G185" s="1">
        <f>IF(Data!G185&gt;0,Data!G185,"")</f>
        <v/>
      </c>
      <c r="H185" s="1">
        <f>IF(Data!H185&gt;0,Data!H185,"")</f>
        <v/>
      </c>
      <c r="I185" s="1">
        <f>IF(Data!I185&gt;0,Data!I185,"")</f>
        <v/>
      </c>
      <c r="J185" s="1">
        <f>IF(Data!J185&gt;0,Data!J185,"")</f>
        <v/>
      </c>
      <c r="K185" s="1">
        <f>IF(Data!K185&gt;0,Data!K185,"")</f>
        <v/>
      </c>
      <c r="L185" s="1">
        <f>IF(Data!L185&gt;0,Data!L185,"")</f>
        <v/>
      </c>
      <c r="M185" s="1">
        <f>IF(Data!M185&gt;0,Data!M185,"")</f>
        <v/>
      </c>
      <c r="N185" s="1">
        <f>IF(Data!N185&gt;0,Data!N185,"")</f>
        <v/>
      </c>
      <c r="O185" s="1">
        <f>IF(Data!O185&gt;0,Data!O185,"")</f>
        <v/>
      </c>
      <c r="P185" s="1">
        <f>IF(Data!P185&gt;0,Data!P185,"")</f>
        <v/>
      </c>
      <c r="Q185" s="1">
        <f>IF(Data!Q185&gt;0,Data!Q185,"")</f>
        <v/>
      </c>
      <c r="R185" s="1">
        <f>IF(Data!R185&gt;0,Data!R185,"")</f>
        <v/>
      </c>
      <c r="S185" s="1">
        <f>IF(Data!S185&gt;0,Data!S185,"")</f>
        <v/>
      </c>
      <c r="V185" s="3">
        <f>IF(COUNT(D185,J185,K185,L185,M185,O185)&gt;0,AVERAGE(D185,J185,K185,L185,M185,O185),"")</f>
        <v/>
      </c>
      <c r="W185" s="3">
        <f>IF(COUNT(C185,F185,G185,N185,Q185)&gt;0,AVERAGE(C185,F185,G185,N185,Q185),"")</f>
        <v/>
      </c>
      <c r="X185" s="3">
        <f>IF(COUNT(B185,E185,H185,I185,P185,R185,S185)&gt;0,AVERAGE(B185,E185,H185,I185,P185,R185,S185),"")</f>
        <v/>
      </c>
      <c r="Y185" s="3" t="n"/>
      <c r="AJ185">
        <f>IFERROR(AVERAGEIF($A$4:$A$1004,AI185,$V$4:$V$1004),"")</f>
        <v/>
      </c>
      <c r="AK185">
        <f>IFERROR(AVERAGEIF($A$4:$A$1004,AI185,$W$4:$W$1004),"")</f>
        <v/>
      </c>
      <c r="AL185">
        <f>IFERROR(AVERAGEIF($A$4:$A$1004,AI185,$X$4:$X$1004),"")</f>
        <v/>
      </c>
    </row>
    <row r="186">
      <c r="A186" s="1">
        <f>IF(Data!A186&gt;0,Data!A186,"")</f>
        <v/>
      </c>
      <c r="B186" s="1">
        <f>IF(Data!B186&gt;0,Data!B186,"")</f>
        <v/>
      </c>
      <c r="C186" s="1">
        <f>IF(Data!C186&gt;0,Data!C186,"")</f>
        <v/>
      </c>
      <c r="D186" s="1">
        <f>IF(Data!D186&gt;0,Data!D186,"")</f>
        <v/>
      </c>
      <c r="E186" s="1">
        <f>IF(Data!E186&gt;0,Data!E186,"")</f>
        <v/>
      </c>
      <c r="F186" s="1">
        <f>IF(Data!F186&gt;0,Data!F186,"")</f>
        <v/>
      </c>
      <c r="G186" s="1">
        <f>IF(Data!G186&gt;0,Data!G186,"")</f>
        <v/>
      </c>
      <c r="H186" s="1">
        <f>IF(Data!H186&gt;0,Data!H186,"")</f>
        <v/>
      </c>
      <c r="I186" s="1">
        <f>IF(Data!I186&gt;0,Data!I186,"")</f>
        <v/>
      </c>
      <c r="J186" s="1">
        <f>IF(Data!J186&gt;0,Data!J186,"")</f>
        <v/>
      </c>
      <c r="K186" s="1">
        <f>IF(Data!K186&gt;0,Data!K186,"")</f>
        <v/>
      </c>
      <c r="L186" s="1">
        <f>IF(Data!L186&gt;0,Data!L186,"")</f>
        <v/>
      </c>
      <c r="M186" s="1">
        <f>IF(Data!M186&gt;0,Data!M186,"")</f>
        <v/>
      </c>
      <c r="N186" s="1">
        <f>IF(Data!N186&gt;0,Data!N186,"")</f>
        <v/>
      </c>
      <c r="O186" s="1">
        <f>IF(Data!O186&gt;0,Data!O186,"")</f>
        <v/>
      </c>
      <c r="P186" s="1">
        <f>IF(Data!P186&gt;0,Data!P186,"")</f>
        <v/>
      </c>
      <c r="Q186" s="1">
        <f>IF(Data!Q186&gt;0,Data!Q186,"")</f>
        <v/>
      </c>
      <c r="R186" s="1">
        <f>IF(Data!R186&gt;0,Data!R186,"")</f>
        <v/>
      </c>
      <c r="S186" s="1">
        <f>IF(Data!S186&gt;0,Data!S186,"")</f>
        <v/>
      </c>
      <c r="V186" s="3">
        <f>IF(COUNT(D186,J186,K186,L186,M186,O186)&gt;0,AVERAGE(D186,J186,K186,L186,M186,O186),"")</f>
        <v/>
      </c>
      <c r="W186" s="3">
        <f>IF(COUNT(C186,F186,G186,N186,Q186)&gt;0,AVERAGE(C186,F186,G186,N186,Q186),"")</f>
        <v/>
      </c>
      <c r="X186" s="3">
        <f>IF(COUNT(B186,E186,H186,I186,P186,R186,S186)&gt;0,AVERAGE(B186,E186,H186,I186,P186,R186,S186),"")</f>
        <v/>
      </c>
      <c r="Y186" s="3" t="n"/>
      <c r="AJ186">
        <f>IFERROR(AVERAGEIF($A$4:$A$1004,AI186,$V$4:$V$1004),"")</f>
        <v/>
      </c>
      <c r="AK186">
        <f>IFERROR(AVERAGEIF($A$4:$A$1004,AI186,$W$4:$W$1004),"")</f>
        <v/>
      </c>
      <c r="AL186">
        <f>IFERROR(AVERAGEIF($A$4:$A$1004,AI186,$X$4:$X$1004),"")</f>
        <v/>
      </c>
    </row>
    <row r="187">
      <c r="A187" s="1">
        <f>IF(Data!A187&gt;0,Data!A187,"")</f>
        <v/>
      </c>
      <c r="B187" s="1">
        <f>IF(Data!B187&gt;0,Data!B187,"")</f>
        <v/>
      </c>
      <c r="C187" s="1">
        <f>IF(Data!C187&gt;0,Data!C187,"")</f>
        <v/>
      </c>
      <c r="D187" s="1">
        <f>IF(Data!D187&gt;0,Data!D187,"")</f>
        <v/>
      </c>
      <c r="E187" s="1">
        <f>IF(Data!E187&gt;0,Data!E187,"")</f>
        <v/>
      </c>
      <c r="F187" s="1">
        <f>IF(Data!F187&gt;0,Data!F187,"")</f>
        <v/>
      </c>
      <c r="G187" s="1">
        <f>IF(Data!G187&gt;0,Data!G187,"")</f>
        <v/>
      </c>
      <c r="H187" s="1">
        <f>IF(Data!H187&gt;0,Data!H187,"")</f>
        <v/>
      </c>
      <c r="I187" s="1">
        <f>IF(Data!I187&gt;0,Data!I187,"")</f>
        <v/>
      </c>
      <c r="J187" s="1">
        <f>IF(Data!J187&gt;0,Data!J187,"")</f>
        <v/>
      </c>
      <c r="K187" s="1">
        <f>IF(Data!K187&gt;0,Data!K187,"")</f>
        <v/>
      </c>
      <c r="L187" s="1">
        <f>IF(Data!L187&gt;0,Data!L187,"")</f>
        <v/>
      </c>
      <c r="M187" s="1">
        <f>IF(Data!M187&gt;0,Data!M187,"")</f>
        <v/>
      </c>
      <c r="N187" s="1">
        <f>IF(Data!N187&gt;0,Data!N187,"")</f>
        <v/>
      </c>
      <c r="O187" s="1">
        <f>IF(Data!O187&gt;0,Data!O187,"")</f>
        <v/>
      </c>
      <c r="P187" s="1">
        <f>IF(Data!P187&gt;0,Data!P187,"")</f>
        <v/>
      </c>
      <c r="Q187" s="1">
        <f>IF(Data!Q187&gt;0,Data!Q187,"")</f>
        <v/>
      </c>
      <c r="R187" s="1">
        <f>IF(Data!R187&gt;0,Data!R187,"")</f>
        <v/>
      </c>
      <c r="S187" s="1">
        <f>IF(Data!S187&gt;0,Data!S187,"")</f>
        <v/>
      </c>
      <c r="V187" s="3">
        <f>IF(COUNT(D187,J187,K187,L187,M187,O187)&gt;0,AVERAGE(D187,J187,K187,L187,M187,O187),"")</f>
        <v/>
      </c>
      <c r="W187" s="3">
        <f>IF(COUNT(C187,F187,G187,N187,Q187)&gt;0,AVERAGE(C187,F187,G187,N187,Q187),"")</f>
        <v/>
      </c>
      <c r="X187" s="3">
        <f>IF(COUNT(B187,E187,H187,I187,P187,R187,S187)&gt;0,AVERAGE(B187,E187,H187,I187,P187,R187,S187),"")</f>
        <v/>
      </c>
      <c r="Y187" s="3" t="n"/>
      <c r="AJ187">
        <f>IFERROR(AVERAGEIF($A$4:$A$1004,AI187,$V$4:$V$1004),"")</f>
        <v/>
      </c>
      <c r="AK187">
        <f>IFERROR(AVERAGEIF($A$4:$A$1004,AI187,$W$4:$W$1004),"")</f>
        <v/>
      </c>
      <c r="AL187">
        <f>IFERROR(AVERAGEIF($A$4:$A$1004,AI187,$X$4:$X$1004),"")</f>
        <v/>
      </c>
    </row>
    <row r="188">
      <c r="A188" s="1">
        <f>IF(Data!A188&gt;0,Data!A188,"")</f>
        <v/>
      </c>
      <c r="B188" s="1">
        <f>IF(Data!B188&gt;0,Data!B188,"")</f>
        <v/>
      </c>
      <c r="C188" s="1">
        <f>IF(Data!C188&gt;0,Data!C188,"")</f>
        <v/>
      </c>
      <c r="D188" s="1">
        <f>IF(Data!D188&gt;0,Data!D188,"")</f>
        <v/>
      </c>
      <c r="E188" s="1">
        <f>IF(Data!E188&gt;0,Data!E188,"")</f>
        <v/>
      </c>
      <c r="F188" s="1">
        <f>IF(Data!F188&gt;0,Data!F188,"")</f>
        <v/>
      </c>
      <c r="G188" s="1">
        <f>IF(Data!G188&gt;0,Data!G188,"")</f>
        <v/>
      </c>
      <c r="H188" s="1">
        <f>IF(Data!H188&gt;0,Data!H188,"")</f>
        <v/>
      </c>
      <c r="I188" s="1">
        <f>IF(Data!I188&gt;0,Data!I188,"")</f>
        <v/>
      </c>
      <c r="J188" s="1">
        <f>IF(Data!J188&gt;0,Data!J188,"")</f>
        <v/>
      </c>
      <c r="K188" s="1">
        <f>IF(Data!K188&gt;0,Data!K188,"")</f>
        <v/>
      </c>
      <c r="L188" s="1">
        <f>IF(Data!L188&gt;0,Data!L188,"")</f>
        <v/>
      </c>
      <c r="M188" s="1">
        <f>IF(Data!M188&gt;0,Data!M188,"")</f>
        <v/>
      </c>
      <c r="N188" s="1">
        <f>IF(Data!N188&gt;0,Data!N188,"")</f>
        <v/>
      </c>
      <c r="O188" s="1">
        <f>IF(Data!O188&gt;0,Data!O188,"")</f>
        <v/>
      </c>
      <c r="P188" s="1">
        <f>IF(Data!P188&gt;0,Data!P188,"")</f>
        <v/>
      </c>
      <c r="Q188" s="1">
        <f>IF(Data!Q188&gt;0,Data!Q188,"")</f>
        <v/>
      </c>
      <c r="R188" s="1">
        <f>IF(Data!R188&gt;0,Data!R188,"")</f>
        <v/>
      </c>
      <c r="S188" s="1">
        <f>IF(Data!S188&gt;0,Data!S188,"")</f>
        <v/>
      </c>
      <c r="V188" s="3">
        <f>IF(COUNT(D188,J188,K188,L188,M188,O188)&gt;0,AVERAGE(D188,J188,K188,L188,M188,O188),"")</f>
        <v/>
      </c>
      <c r="W188" s="3">
        <f>IF(COUNT(C188,F188,G188,N188,Q188)&gt;0,AVERAGE(C188,F188,G188,N188,Q188),"")</f>
        <v/>
      </c>
      <c r="X188" s="3">
        <f>IF(COUNT(B188,E188,H188,I188,P188,R188,S188)&gt;0,AVERAGE(B188,E188,H188,I188,P188,R188,S188),"")</f>
        <v/>
      </c>
      <c r="Y188" s="3" t="n"/>
      <c r="AJ188">
        <f>IFERROR(AVERAGEIF($A$4:$A$1004,AI188,$V$4:$V$1004),"")</f>
        <v/>
      </c>
      <c r="AK188">
        <f>IFERROR(AVERAGEIF($A$4:$A$1004,AI188,$W$4:$W$1004),"")</f>
        <v/>
      </c>
      <c r="AL188">
        <f>IFERROR(AVERAGEIF($A$4:$A$1004,AI188,$X$4:$X$1004),"")</f>
        <v/>
      </c>
    </row>
    <row r="189">
      <c r="A189" s="1">
        <f>IF(Data!A189&gt;0,Data!A189,"")</f>
        <v/>
      </c>
      <c r="B189" s="1">
        <f>IF(Data!B189&gt;0,Data!B189,"")</f>
        <v/>
      </c>
      <c r="C189" s="1">
        <f>IF(Data!C189&gt;0,Data!C189,"")</f>
        <v/>
      </c>
      <c r="D189" s="1">
        <f>IF(Data!D189&gt;0,Data!D189,"")</f>
        <v/>
      </c>
      <c r="E189" s="1">
        <f>IF(Data!E189&gt;0,Data!E189,"")</f>
        <v/>
      </c>
      <c r="F189" s="1">
        <f>IF(Data!F189&gt;0,Data!F189,"")</f>
        <v/>
      </c>
      <c r="G189" s="1">
        <f>IF(Data!G189&gt;0,Data!G189,"")</f>
        <v/>
      </c>
      <c r="H189" s="1">
        <f>IF(Data!H189&gt;0,Data!H189,"")</f>
        <v/>
      </c>
      <c r="I189" s="1">
        <f>IF(Data!I189&gt;0,Data!I189,"")</f>
        <v/>
      </c>
      <c r="J189" s="1">
        <f>IF(Data!J189&gt;0,Data!J189,"")</f>
        <v/>
      </c>
      <c r="K189" s="1">
        <f>IF(Data!K189&gt;0,Data!K189,"")</f>
        <v/>
      </c>
      <c r="L189" s="1">
        <f>IF(Data!L189&gt;0,Data!L189,"")</f>
        <v/>
      </c>
      <c r="M189" s="1">
        <f>IF(Data!M189&gt;0,Data!M189,"")</f>
        <v/>
      </c>
      <c r="N189" s="1">
        <f>IF(Data!N189&gt;0,Data!N189,"")</f>
        <v/>
      </c>
      <c r="O189" s="1">
        <f>IF(Data!O189&gt;0,Data!O189,"")</f>
        <v/>
      </c>
      <c r="P189" s="1">
        <f>IF(Data!P189&gt;0,Data!P189,"")</f>
        <v/>
      </c>
      <c r="Q189" s="1">
        <f>IF(Data!Q189&gt;0,Data!Q189,"")</f>
        <v/>
      </c>
      <c r="R189" s="1">
        <f>IF(Data!R189&gt;0,Data!R189,"")</f>
        <v/>
      </c>
      <c r="S189" s="1">
        <f>IF(Data!S189&gt;0,Data!S189,"")</f>
        <v/>
      </c>
      <c r="V189" s="3">
        <f>IF(COUNT(D189,J189,K189,L189,M189,O189)&gt;0,AVERAGE(D189,J189,K189,L189,M189,O189),"")</f>
        <v/>
      </c>
      <c r="W189" s="3">
        <f>IF(COUNT(C189,F189,G189,N189,Q189)&gt;0,AVERAGE(C189,F189,G189,N189,Q189),"")</f>
        <v/>
      </c>
      <c r="X189" s="3">
        <f>IF(COUNT(B189,E189,H189,I189,P189,R189,S189)&gt;0,AVERAGE(B189,E189,H189,I189,P189,R189,S189),"")</f>
        <v/>
      </c>
      <c r="Y189" s="3" t="n"/>
      <c r="AJ189">
        <f>IFERROR(AVERAGEIF($A$4:$A$1004,AI189,$V$4:$V$1004),"")</f>
        <v/>
      </c>
      <c r="AK189">
        <f>IFERROR(AVERAGEIF($A$4:$A$1004,AI189,$W$4:$W$1004),"")</f>
        <v/>
      </c>
      <c r="AL189">
        <f>IFERROR(AVERAGEIF($A$4:$A$1004,AI189,$X$4:$X$1004),"")</f>
        <v/>
      </c>
    </row>
    <row r="190">
      <c r="A190" s="1">
        <f>IF(Data!A190&gt;0,Data!A190,"")</f>
        <v/>
      </c>
      <c r="B190" s="1">
        <f>IF(Data!B190&gt;0,Data!B190,"")</f>
        <v/>
      </c>
      <c r="C190" s="1">
        <f>IF(Data!C190&gt;0,Data!C190,"")</f>
        <v/>
      </c>
      <c r="D190" s="1">
        <f>IF(Data!D190&gt;0,Data!D190,"")</f>
        <v/>
      </c>
      <c r="E190" s="1">
        <f>IF(Data!E190&gt;0,Data!E190,"")</f>
        <v/>
      </c>
      <c r="F190" s="1">
        <f>IF(Data!F190&gt;0,Data!F190,"")</f>
        <v/>
      </c>
      <c r="G190" s="1">
        <f>IF(Data!G190&gt;0,Data!G190,"")</f>
        <v/>
      </c>
      <c r="H190" s="1">
        <f>IF(Data!H190&gt;0,Data!H190,"")</f>
        <v/>
      </c>
      <c r="I190" s="1">
        <f>IF(Data!I190&gt;0,Data!I190,"")</f>
        <v/>
      </c>
      <c r="J190" s="1">
        <f>IF(Data!J190&gt;0,Data!J190,"")</f>
        <v/>
      </c>
      <c r="K190" s="1">
        <f>IF(Data!K190&gt;0,Data!K190,"")</f>
        <v/>
      </c>
      <c r="L190" s="1">
        <f>IF(Data!L190&gt;0,Data!L190,"")</f>
        <v/>
      </c>
      <c r="M190" s="1">
        <f>IF(Data!M190&gt;0,Data!M190,"")</f>
        <v/>
      </c>
      <c r="N190" s="1">
        <f>IF(Data!N190&gt;0,Data!N190,"")</f>
        <v/>
      </c>
      <c r="O190" s="1">
        <f>IF(Data!O190&gt;0,Data!O190,"")</f>
        <v/>
      </c>
      <c r="P190" s="1">
        <f>IF(Data!P190&gt;0,Data!P190,"")</f>
        <v/>
      </c>
      <c r="Q190" s="1">
        <f>IF(Data!Q190&gt;0,Data!Q190,"")</f>
        <v/>
      </c>
      <c r="R190" s="1">
        <f>IF(Data!R190&gt;0,Data!R190,"")</f>
        <v/>
      </c>
      <c r="S190" s="1">
        <f>IF(Data!S190&gt;0,Data!S190,"")</f>
        <v/>
      </c>
      <c r="V190" s="3">
        <f>IF(COUNT(D190,J190,K190,L190,M190,O190)&gt;0,AVERAGE(D190,J190,K190,L190,M190,O190),"")</f>
        <v/>
      </c>
      <c r="W190" s="3">
        <f>IF(COUNT(C190,F190,G190,N190,Q190)&gt;0,AVERAGE(C190,F190,G190,N190,Q190),"")</f>
        <v/>
      </c>
      <c r="X190" s="3">
        <f>IF(COUNT(B190,E190,H190,I190,P190,R190,S190)&gt;0,AVERAGE(B190,E190,H190,I190,P190,R190,S190),"")</f>
        <v/>
      </c>
      <c r="Y190" s="3" t="n"/>
      <c r="AJ190">
        <f>IFERROR(AVERAGEIF($A$4:$A$1004,AI190,$V$4:$V$1004),"")</f>
        <v/>
      </c>
      <c r="AK190">
        <f>IFERROR(AVERAGEIF($A$4:$A$1004,AI190,$W$4:$W$1004),"")</f>
        <v/>
      </c>
      <c r="AL190">
        <f>IFERROR(AVERAGEIF($A$4:$A$1004,AI190,$X$4:$X$1004),"")</f>
        <v/>
      </c>
    </row>
    <row r="191">
      <c r="A191" s="1">
        <f>IF(Data!A191&gt;0,Data!A191,"")</f>
        <v/>
      </c>
      <c r="B191" s="1">
        <f>IF(Data!B191&gt;0,Data!B191,"")</f>
        <v/>
      </c>
      <c r="C191" s="1">
        <f>IF(Data!C191&gt;0,Data!C191,"")</f>
        <v/>
      </c>
      <c r="D191" s="1">
        <f>IF(Data!D191&gt;0,Data!D191,"")</f>
        <v/>
      </c>
      <c r="E191" s="1">
        <f>IF(Data!E191&gt;0,Data!E191,"")</f>
        <v/>
      </c>
      <c r="F191" s="1">
        <f>IF(Data!F191&gt;0,Data!F191,"")</f>
        <v/>
      </c>
      <c r="G191" s="1">
        <f>IF(Data!G191&gt;0,Data!G191,"")</f>
        <v/>
      </c>
      <c r="H191" s="1">
        <f>IF(Data!H191&gt;0,Data!H191,"")</f>
        <v/>
      </c>
      <c r="I191" s="1">
        <f>IF(Data!I191&gt;0,Data!I191,"")</f>
        <v/>
      </c>
      <c r="J191" s="1">
        <f>IF(Data!J191&gt;0,Data!J191,"")</f>
        <v/>
      </c>
      <c r="K191" s="1">
        <f>IF(Data!K191&gt;0,Data!K191,"")</f>
        <v/>
      </c>
      <c r="L191" s="1">
        <f>IF(Data!L191&gt;0,Data!L191,"")</f>
        <v/>
      </c>
      <c r="M191" s="1">
        <f>IF(Data!M191&gt;0,Data!M191,"")</f>
        <v/>
      </c>
      <c r="N191" s="1">
        <f>IF(Data!N191&gt;0,Data!N191,"")</f>
        <v/>
      </c>
      <c r="O191" s="1">
        <f>IF(Data!O191&gt;0,Data!O191,"")</f>
        <v/>
      </c>
      <c r="P191" s="1">
        <f>IF(Data!P191&gt;0,Data!P191,"")</f>
        <v/>
      </c>
      <c r="Q191" s="1">
        <f>IF(Data!Q191&gt;0,Data!Q191,"")</f>
        <v/>
      </c>
      <c r="R191" s="1">
        <f>IF(Data!R191&gt;0,Data!R191,"")</f>
        <v/>
      </c>
      <c r="S191" s="1">
        <f>IF(Data!S191&gt;0,Data!S191,"")</f>
        <v/>
      </c>
      <c r="V191" s="3">
        <f>IF(COUNT(D191,J191,K191,L191,M191,O191)&gt;0,AVERAGE(D191,J191,K191,L191,M191,O191),"")</f>
        <v/>
      </c>
      <c r="W191" s="3">
        <f>IF(COUNT(C191,F191,G191,N191,Q191)&gt;0,AVERAGE(C191,F191,G191,N191,Q191),"")</f>
        <v/>
      </c>
      <c r="X191" s="3">
        <f>IF(COUNT(B191,E191,H191,I191,P191,R191,S191)&gt;0,AVERAGE(B191,E191,H191,I191,P191,R191,S191),"")</f>
        <v/>
      </c>
      <c r="Y191" s="3" t="n"/>
      <c r="AJ191">
        <f>IFERROR(AVERAGEIF($A$4:$A$1004,AI191,$V$4:$V$1004),"")</f>
        <v/>
      </c>
      <c r="AK191">
        <f>IFERROR(AVERAGEIF($A$4:$A$1004,AI191,$W$4:$W$1004),"")</f>
        <v/>
      </c>
      <c r="AL191">
        <f>IFERROR(AVERAGEIF($A$4:$A$1004,AI191,$X$4:$X$1004),"")</f>
        <v/>
      </c>
    </row>
    <row r="192">
      <c r="A192" s="1">
        <f>IF(Data!A192&gt;0,Data!A192,"")</f>
        <v/>
      </c>
      <c r="B192" s="1">
        <f>IF(Data!B192&gt;0,Data!B192,"")</f>
        <v/>
      </c>
      <c r="C192" s="1">
        <f>IF(Data!C192&gt;0,Data!C192,"")</f>
        <v/>
      </c>
      <c r="D192" s="1">
        <f>IF(Data!D192&gt;0,Data!D192,"")</f>
        <v/>
      </c>
      <c r="E192" s="1">
        <f>IF(Data!E192&gt;0,Data!E192,"")</f>
        <v/>
      </c>
      <c r="F192" s="1">
        <f>IF(Data!F192&gt;0,Data!F192,"")</f>
        <v/>
      </c>
      <c r="G192" s="1">
        <f>IF(Data!G192&gt;0,Data!G192,"")</f>
        <v/>
      </c>
      <c r="H192" s="1">
        <f>IF(Data!H192&gt;0,Data!H192,"")</f>
        <v/>
      </c>
      <c r="I192" s="1">
        <f>IF(Data!I192&gt;0,Data!I192,"")</f>
        <v/>
      </c>
      <c r="J192" s="1">
        <f>IF(Data!J192&gt;0,Data!J192,"")</f>
        <v/>
      </c>
      <c r="K192" s="1">
        <f>IF(Data!K192&gt;0,Data!K192,"")</f>
        <v/>
      </c>
      <c r="L192" s="1">
        <f>IF(Data!L192&gt;0,Data!L192,"")</f>
        <v/>
      </c>
      <c r="M192" s="1">
        <f>IF(Data!M192&gt;0,Data!M192,"")</f>
        <v/>
      </c>
      <c r="N192" s="1">
        <f>IF(Data!N192&gt;0,Data!N192,"")</f>
        <v/>
      </c>
      <c r="O192" s="1">
        <f>IF(Data!O192&gt;0,Data!O192,"")</f>
        <v/>
      </c>
      <c r="P192" s="1">
        <f>IF(Data!P192&gt;0,Data!P192,"")</f>
        <v/>
      </c>
      <c r="Q192" s="1">
        <f>IF(Data!Q192&gt;0,Data!Q192,"")</f>
        <v/>
      </c>
      <c r="R192" s="1">
        <f>IF(Data!R192&gt;0,Data!R192,"")</f>
        <v/>
      </c>
      <c r="S192" s="1">
        <f>IF(Data!S192&gt;0,Data!S192,"")</f>
        <v/>
      </c>
      <c r="V192" s="3">
        <f>IF(COUNT(D192,J192,K192,L192,M192,O192)&gt;0,AVERAGE(D192,J192,K192,L192,M192,O192),"")</f>
        <v/>
      </c>
      <c r="W192" s="3">
        <f>IF(COUNT(C192,F192,G192,N192,Q192)&gt;0,AVERAGE(C192,F192,G192,N192,Q192),"")</f>
        <v/>
      </c>
      <c r="X192" s="3">
        <f>IF(COUNT(B192,E192,H192,I192,P192,R192,S192)&gt;0,AVERAGE(B192,E192,H192,I192,P192,R192,S192),"")</f>
        <v/>
      </c>
      <c r="Y192" s="3" t="n"/>
      <c r="AJ192">
        <f>IFERROR(AVERAGEIF($A$4:$A$1004,AI192,$V$4:$V$1004),"")</f>
        <v/>
      </c>
      <c r="AK192">
        <f>IFERROR(AVERAGEIF($A$4:$A$1004,AI192,$W$4:$W$1004),"")</f>
        <v/>
      </c>
      <c r="AL192">
        <f>IFERROR(AVERAGEIF($A$4:$A$1004,AI192,$X$4:$X$1004),"")</f>
        <v/>
      </c>
    </row>
    <row r="193">
      <c r="A193" s="1">
        <f>IF(Data!A193&gt;0,Data!A193,"")</f>
        <v/>
      </c>
      <c r="B193" s="1">
        <f>IF(Data!B193&gt;0,Data!B193,"")</f>
        <v/>
      </c>
      <c r="C193" s="1">
        <f>IF(Data!C193&gt;0,Data!C193,"")</f>
        <v/>
      </c>
      <c r="D193" s="1">
        <f>IF(Data!D193&gt;0,Data!D193,"")</f>
        <v/>
      </c>
      <c r="E193" s="1">
        <f>IF(Data!E193&gt;0,Data!E193,"")</f>
        <v/>
      </c>
      <c r="F193" s="1">
        <f>IF(Data!F193&gt;0,Data!F193,"")</f>
        <v/>
      </c>
      <c r="G193" s="1">
        <f>IF(Data!G193&gt;0,Data!G193,"")</f>
        <v/>
      </c>
      <c r="H193" s="1">
        <f>IF(Data!H193&gt;0,Data!H193,"")</f>
        <v/>
      </c>
      <c r="I193" s="1">
        <f>IF(Data!I193&gt;0,Data!I193,"")</f>
        <v/>
      </c>
      <c r="J193" s="1">
        <f>IF(Data!J193&gt;0,Data!J193,"")</f>
        <v/>
      </c>
      <c r="K193" s="1">
        <f>IF(Data!K193&gt;0,Data!K193,"")</f>
        <v/>
      </c>
      <c r="L193" s="1">
        <f>IF(Data!L193&gt;0,Data!L193,"")</f>
        <v/>
      </c>
      <c r="M193" s="1">
        <f>IF(Data!M193&gt;0,Data!M193,"")</f>
        <v/>
      </c>
      <c r="N193" s="1">
        <f>IF(Data!N193&gt;0,Data!N193,"")</f>
        <v/>
      </c>
      <c r="O193" s="1">
        <f>IF(Data!O193&gt;0,Data!O193,"")</f>
        <v/>
      </c>
      <c r="P193" s="1">
        <f>IF(Data!P193&gt;0,Data!P193,"")</f>
        <v/>
      </c>
      <c r="Q193" s="1">
        <f>IF(Data!Q193&gt;0,Data!Q193,"")</f>
        <v/>
      </c>
      <c r="R193" s="1">
        <f>IF(Data!R193&gt;0,Data!R193,"")</f>
        <v/>
      </c>
      <c r="S193" s="1">
        <f>IF(Data!S193&gt;0,Data!S193,"")</f>
        <v/>
      </c>
      <c r="V193" s="3">
        <f>IF(COUNT(D193,J193,K193,L193,M193,O193)&gt;0,AVERAGE(D193,J193,K193,L193,M193,O193),"")</f>
        <v/>
      </c>
      <c r="W193" s="3">
        <f>IF(COUNT(C193,F193,G193,N193,Q193)&gt;0,AVERAGE(C193,F193,G193,N193,Q193),"")</f>
        <v/>
      </c>
      <c r="X193" s="3">
        <f>IF(COUNT(B193,E193,H193,I193,P193,R193,S193)&gt;0,AVERAGE(B193,E193,H193,I193,P193,R193,S193),"")</f>
        <v/>
      </c>
      <c r="Y193" s="3" t="n"/>
      <c r="AJ193">
        <f>IFERROR(AVERAGEIF($A$4:$A$1004,AI193,$V$4:$V$1004),"")</f>
        <v/>
      </c>
      <c r="AK193">
        <f>IFERROR(AVERAGEIF($A$4:$A$1004,AI193,$W$4:$W$1004),"")</f>
        <v/>
      </c>
      <c r="AL193">
        <f>IFERROR(AVERAGEIF($A$4:$A$1004,AI193,$X$4:$X$1004),"")</f>
        <v/>
      </c>
    </row>
    <row r="194">
      <c r="A194" s="1">
        <f>IF(Data!A194&gt;0,Data!A194,"")</f>
        <v/>
      </c>
      <c r="B194" s="1">
        <f>IF(Data!B194&gt;0,Data!B194,"")</f>
        <v/>
      </c>
      <c r="C194" s="1">
        <f>IF(Data!C194&gt;0,Data!C194,"")</f>
        <v/>
      </c>
      <c r="D194" s="1">
        <f>IF(Data!D194&gt;0,Data!D194,"")</f>
        <v/>
      </c>
      <c r="E194" s="1">
        <f>IF(Data!E194&gt;0,Data!E194,"")</f>
        <v/>
      </c>
      <c r="F194" s="1">
        <f>IF(Data!F194&gt;0,Data!F194,"")</f>
        <v/>
      </c>
      <c r="G194" s="1">
        <f>IF(Data!G194&gt;0,Data!G194,"")</f>
        <v/>
      </c>
      <c r="H194" s="1">
        <f>IF(Data!H194&gt;0,Data!H194,"")</f>
        <v/>
      </c>
      <c r="I194" s="1">
        <f>IF(Data!I194&gt;0,Data!I194,"")</f>
        <v/>
      </c>
      <c r="J194" s="1">
        <f>IF(Data!J194&gt;0,Data!J194,"")</f>
        <v/>
      </c>
      <c r="K194" s="1">
        <f>IF(Data!K194&gt;0,Data!K194,"")</f>
        <v/>
      </c>
      <c r="L194" s="1">
        <f>IF(Data!L194&gt;0,Data!L194,"")</f>
        <v/>
      </c>
      <c r="M194" s="1">
        <f>IF(Data!M194&gt;0,Data!M194,"")</f>
        <v/>
      </c>
      <c r="N194" s="1">
        <f>IF(Data!N194&gt;0,Data!N194,"")</f>
        <v/>
      </c>
      <c r="O194" s="1">
        <f>IF(Data!O194&gt;0,Data!O194,"")</f>
        <v/>
      </c>
      <c r="P194" s="1">
        <f>IF(Data!P194&gt;0,Data!P194,"")</f>
        <v/>
      </c>
      <c r="Q194" s="1">
        <f>IF(Data!Q194&gt;0,Data!Q194,"")</f>
        <v/>
      </c>
      <c r="R194" s="1">
        <f>IF(Data!R194&gt;0,Data!R194,"")</f>
        <v/>
      </c>
      <c r="S194" s="1">
        <f>IF(Data!S194&gt;0,Data!S194,"")</f>
        <v/>
      </c>
      <c r="V194" s="3">
        <f>IF(COUNT(D194,J194,K194,L194,M194,O194)&gt;0,AVERAGE(D194,J194,K194,L194,M194,O194),"")</f>
        <v/>
      </c>
      <c r="W194" s="3">
        <f>IF(COUNT(C194,F194,G194,N194,Q194)&gt;0,AVERAGE(C194,F194,G194,N194,Q194),"")</f>
        <v/>
      </c>
      <c r="X194" s="3">
        <f>IF(COUNT(B194,E194,H194,I194,P194,R194,S194)&gt;0,AVERAGE(B194,E194,H194,I194,P194,R194,S194),"")</f>
        <v/>
      </c>
      <c r="Y194" s="3" t="n"/>
      <c r="AJ194">
        <f>IFERROR(AVERAGEIF($A$4:$A$1004,AI194,$V$4:$V$1004),"")</f>
        <v/>
      </c>
      <c r="AK194">
        <f>IFERROR(AVERAGEIF($A$4:$A$1004,AI194,$W$4:$W$1004),"")</f>
        <v/>
      </c>
      <c r="AL194">
        <f>IFERROR(AVERAGEIF($A$4:$A$1004,AI194,$X$4:$X$1004),"")</f>
        <v/>
      </c>
    </row>
    <row r="195">
      <c r="A195" s="1">
        <f>IF(Data!A195&gt;0,Data!A195,"")</f>
        <v/>
      </c>
      <c r="B195" s="1">
        <f>IF(Data!B195&gt;0,Data!B195,"")</f>
        <v/>
      </c>
      <c r="C195" s="1">
        <f>IF(Data!C195&gt;0,Data!C195,"")</f>
        <v/>
      </c>
      <c r="D195" s="1">
        <f>IF(Data!D195&gt;0,Data!D195,"")</f>
        <v/>
      </c>
      <c r="E195" s="1">
        <f>IF(Data!E195&gt;0,Data!E195,"")</f>
        <v/>
      </c>
      <c r="F195" s="1">
        <f>IF(Data!F195&gt;0,Data!F195,"")</f>
        <v/>
      </c>
      <c r="G195" s="1">
        <f>IF(Data!G195&gt;0,Data!G195,"")</f>
        <v/>
      </c>
      <c r="H195" s="1">
        <f>IF(Data!H195&gt;0,Data!H195,"")</f>
        <v/>
      </c>
      <c r="I195" s="1">
        <f>IF(Data!I195&gt;0,Data!I195,"")</f>
        <v/>
      </c>
      <c r="J195" s="1">
        <f>IF(Data!J195&gt;0,Data!J195,"")</f>
        <v/>
      </c>
      <c r="K195" s="1">
        <f>IF(Data!K195&gt;0,Data!K195,"")</f>
        <v/>
      </c>
      <c r="L195" s="1">
        <f>IF(Data!L195&gt;0,Data!L195,"")</f>
        <v/>
      </c>
      <c r="M195" s="1">
        <f>IF(Data!M195&gt;0,Data!M195,"")</f>
        <v/>
      </c>
      <c r="N195" s="1">
        <f>IF(Data!N195&gt;0,Data!N195,"")</f>
        <v/>
      </c>
      <c r="O195" s="1">
        <f>IF(Data!O195&gt;0,Data!O195,"")</f>
        <v/>
      </c>
      <c r="P195" s="1">
        <f>IF(Data!P195&gt;0,Data!P195,"")</f>
        <v/>
      </c>
      <c r="Q195" s="1">
        <f>IF(Data!Q195&gt;0,Data!Q195,"")</f>
        <v/>
      </c>
      <c r="R195" s="1">
        <f>IF(Data!R195&gt;0,Data!R195,"")</f>
        <v/>
      </c>
      <c r="S195" s="1">
        <f>IF(Data!S195&gt;0,Data!S195,"")</f>
        <v/>
      </c>
      <c r="V195" s="3">
        <f>IF(COUNT(D195,J195,K195,L195,M195,O195)&gt;0,AVERAGE(D195,J195,K195,L195,M195,O195),"")</f>
        <v/>
      </c>
      <c r="W195" s="3">
        <f>IF(COUNT(C195,F195,G195,N195,Q195)&gt;0,AVERAGE(C195,F195,G195,N195,Q195),"")</f>
        <v/>
      </c>
      <c r="X195" s="3">
        <f>IF(COUNT(B195,E195,H195,I195,P195,R195,S195)&gt;0,AVERAGE(B195,E195,H195,I195,P195,R195,S195),"")</f>
        <v/>
      </c>
      <c r="Y195" s="3" t="n"/>
      <c r="AJ195">
        <f>IFERROR(AVERAGEIF($A$4:$A$1004,AI195,$V$4:$V$1004),"")</f>
        <v/>
      </c>
      <c r="AK195">
        <f>IFERROR(AVERAGEIF($A$4:$A$1004,AI195,$W$4:$W$1004),"")</f>
        <v/>
      </c>
      <c r="AL195">
        <f>IFERROR(AVERAGEIF($A$4:$A$1004,AI195,$X$4:$X$1004),"")</f>
        <v/>
      </c>
    </row>
    <row r="196">
      <c r="A196" s="1">
        <f>IF(Data!A196&gt;0,Data!A196,"")</f>
        <v/>
      </c>
      <c r="B196" s="1">
        <f>IF(Data!B196&gt;0,Data!B196,"")</f>
        <v/>
      </c>
      <c r="C196" s="1">
        <f>IF(Data!C196&gt;0,Data!C196,"")</f>
        <v/>
      </c>
      <c r="D196" s="1">
        <f>IF(Data!D196&gt;0,Data!D196,"")</f>
        <v/>
      </c>
      <c r="E196" s="1">
        <f>IF(Data!E196&gt;0,Data!E196,"")</f>
        <v/>
      </c>
      <c r="F196" s="1">
        <f>IF(Data!F196&gt;0,Data!F196,"")</f>
        <v/>
      </c>
      <c r="G196" s="1">
        <f>IF(Data!G196&gt;0,Data!G196,"")</f>
        <v/>
      </c>
      <c r="H196" s="1">
        <f>IF(Data!H196&gt;0,Data!H196,"")</f>
        <v/>
      </c>
      <c r="I196" s="1">
        <f>IF(Data!I196&gt;0,Data!I196,"")</f>
        <v/>
      </c>
      <c r="J196" s="1">
        <f>IF(Data!J196&gt;0,Data!J196,"")</f>
        <v/>
      </c>
      <c r="K196" s="1">
        <f>IF(Data!K196&gt;0,Data!K196,"")</f>
        <v/>
      </c>
      <c r="L196" s="1">
        <f>IF(Data!L196&gt;0,Data!L196,"")</f>
        <v/>
      </c>
      <c r="M196" s="1">
        <f>IF(Data!M196&gt;0,Data!M196,"")</f>
        <v/>
      </c>
      <c r="N196" s="1">
        <f>IF(Data!N196&gt;0,Data!N196,"")</f>
        <v/>
      </c>
      <c r="O196" s="1">
        <f>IF(Data!O196&gt;0,Data!O196,"")</f>
        <v/>
      </c>
      <c r="P196" s="1">
        <f>IF(Data!P196&gt;0,Data!P196,"")</f>
        <v/>
      </c>
      <c r="Q196" s="1">
        <f>IF(Data!Q196&gt;0,Data!Q196,"")</f>
        <v/>
      </c>
      <c r="R196" s="1">
        <f>IF(Data!R196&gt;0,Data!R196,"")</f>
        <v/>
      </c>
      <c r="S196" s="1">
        <f>IF(Data!S196&gt;0,Data!S196,"")</f>
        <v/>
      </c>
      <c r="V196" s="3">
        <f>IF(COUNT(D196,J196,K196,L196,M196,O196)&gt;0,AVERAGE(D196,J196,K196,L196,M196,O196),"")</f>
        <v/>
      </c>
      <c r="W196" s="3">
        <f>IF(COUNT(C196,F196,G196,N196,Q196)&gt;0,AVERAGE(C196,F196,G196,N196,Q196),"")</f>
        <v/>
      </c>
      <c r="X196" s="3">
        <f>IF(COUNT(B196,E196,H196,I196,P196,R196,S196)&gt;0,AVERAGE(B196,E196,H196,I196,P196,R196,S196),"")</f>
        <v/>
      </c>
      <c r="Y196" s="3" t="n"/>
      <c r="AJ196">
        <f>IFERROR(AVERAGEIF($A$4:$A$1004,AI196,$V$4:$V$1004),"")</f>
        <v/>
      </c>
      <c r="AK196">
        <f>IFERROR(AVERAGEIF($A$4:$A$1004,AI196,$W$4:$W$1004),"")</f>
        <v/>
      </c>
      <c r="AL196">
        <f>IFERROR(AVERAGEIF($A$4:$A$1004,AI196,$X$4:$X$1004),"")</f>
        <v/>
      </c>
    </row>
    <row r="197">
      <c r="A197" s="1">
        <f>IF(Data!A197&gt;0,Data!A197,"")</f>
        <v/>
      </c>
      <c r="B197" s="1">
        <f>IF(Data!B197&gt;0,Data!B197,"")</f>
        <v/>
      </c>
      <c r="C197" s="1">
        <f>IF(Data!C197&gt;0,Data!C197,"")</f>
        <v/>
      </c>
      <c r="D197" s="1">
        <f>IF(Data!D197&gt;0,Data!D197,"")</f>
        <v/>
      </c>
      <c r="E197" s="1">
        <f>IF(Data!E197&gt;0,Data!E197,"")</f>
        <v/>
      </c>
      <c r="F197" s="1">
        <f>IF(Data!F197&gt;0,Data!F197,"")</f>
        <v/>
      </c>
      <c r="G197" s="1">
        <f>IF(Data!G197&gt;0,Data!G197,"")</f>
        <v/>
      </c>
      <c r="H197" s="1">
        <f>IF(Data!H197&gt;0,Data!H197,"")</f>
        <v/>
      </c>
      <c r="I197" s="1">
        <f>IF(Data!I197&gt;0,Data!I197,"")</f>
        <v/>
      </c>
      <c r="J197" s="1">
        <f>IF(Data!J197&gt;0,Data!J197,"")</f>
        <v/>
      </c>
      <c r="K197" s="1">
        <f>IF(Data!K197&gt;0,Data!K197,"")</f>
        <v/>
      </c>
      <c r="L197" s="1">
        <f>IF(Data!L197&gt;0,Data!L197,"")</f>
        <v/>
      </c>
      <c r="M197" s="1">
        <f>IF(Data!M197&gt;0,Data!M197,"")</f>
        <v/>
      </c>
      <c r="N197" s="1">
        <f>IF(Data!N197&gt;0,Data!N197,"")</f>
        <v/>
      </c>
      <c r="O197" s="1">
        <f>IF(Data!O197&gt;0,Data!O197,"")</f>
        <v/>
      </c>
      <c r="P197" s="1">
        <f>IF(Data!P197&gt;0,Data!P197,"")</f>
        <v/>
      </c>
      <c r="Q197" s="1">
        <f>IF(Data!Q197&gt;0,Data!Q197,"")</f>
        <v/>
      </c>
      <c r="R197" s="1">
        <f>IF(Data!R197&gt;0,Data!R197,"")</f>
        <v/>
      </c>
      <c r="S197" s="1">
        <f>IF(Data!S197&gt;0,Data!S197,"")</f>
        <v/>
      </c>
      <c r="V197" s="3">
        <f>IF(COUNT(D197,J197,K197,L197,M197,O197)&gt;0,AVERAGE(D197,J197,K197,L197,M197,O197),"")</f>
        <v/>
      </c>
      <c r="W197" s="3">
        <f>IF(COUNT(C197,F197,G197,N197,Q197)&gt;0,AVERAGE(C197,F197,G197,N197,Q197),"")</f>
        <v/>
      </c>
      <c r="X197" s="3">
        <f>IF(COUNT(B197,E197,H197,I197,P197,R197,S197)&gt;0,AVERAGE(B197,E197,H197,I197,P197,R197,S197),"")</f>
        <v/>
      </c>
      <c r="Y197" s="3" t="n"/>
      <c r="AJ197">
        <f>IFERROR(AVERAGEIF($A$4:$A$1004,AI197,$V$4:$V$1004),"")</f>
        <v/>
      </c>
      <c r="AK197">
        <f>IFERROR(AVERAGEIF($A$4:$A$1004,AI197,$W$4:$W$1004),"")</f>
        <v/>
      </c>
      <c r="AL197">
        <f>IFERROR(AVERAGEIF($A$4:$A$1004,AI197,$X$4:$X$1004),"")</f>
        <v/>
      </c>
    </row>
    <row r="198">
      <c r="A198" s="1">
        <f>IF(Data!A198&gt;0,Data!A198,"")</f>
        <v/>
      </c>
      <c r="B198" s="1">
        <f>IF(Data!B198&gt;0,Data!B198,"")</f>
        <v/>
      </c>
      <c r="C198" s="1">
        <f>IF(Data!C198&gt;0,Data!C198,"")</f>
        <v/>
      </c>
      <c r="D198" s="1">
        <f>IF(Data!D198&gt;0,Data!D198,"")</f>
        <v/>
      </c>
      <c r="E198" s="1">
        <f>IF(Data!E198&gt;0,Data!E198,"")</f>
        <v/>
      </c>
      <c r="F198" s="1">
        <f>IF(Data!F198&gt;0,Data!F198,"")</f>
        <v/>
      </c>
      <c r="G198" s="1">
        <f>IF(Data!G198&gt;0,Data!G198,"")</f>
        <v/>
      </c>
      <c r="H198" s="1">
        <f>IF(Data!H198&gt;0,Data!H198,"")</f>
        <v/>
      </c>
      <c r="I198" s="1">
        <f>IF(Data!I198&gt;0,Data!I198,"")</f>
        <v/>
      </c>
      <c r="J198" s="1">
        <f>IF(Data!J198&gt;0,Data!J198,"")</f>
        <v/>
      </c>
      <c r="K198" s="1">
        <f>IF(Data!K198&gt;0,Data!K198,"")</f>
        <v/>
      </c>
      <c r="L198" s="1">
        <f>IF(Data!L198&gt;0,Data!L198,"")</f>
        <v/>
      </c>
      <c r="M198" s="1">
        <f>IF(Data!M198&gt;0,Data!M198,"")</f>
        <v/>
      </c>
      <c r="N198" s="1">
        <f>IF(Data!N198&gt;0,Data!N198,"")</f>
        <v/>
      </c>
      <c r="O198" s="1">
        <f>IF(Data!O198&gt;0,Data!O198,"")</f>
        <v/>
      </c>
      <c r="P198" s="1">
        <f>IF(Data!P198&gt;0,Data!P198,"")</f>
        <v/>
      </c>
      <c r="Q198" s="1">
        <f>IF(Data!Q198&gt;0,Data!Q198,"")</f>
        <v/>
      </c>
      <c r="R198" s="1">
        <f>IF(Data!R198&gt;0,Data!R198,"")</f>
        <v/>
      </c>
      <c r="S198" s="1">
        <f>IF(Data!S198&gt;0,Data!S198,"")</f>
        <v/>
      </c>
      <c r="V198" s="3">
        <f>IF(COUNT(D198,J198,K198,L198,M198,O198)&gt;0,AVERAGE(D198,J198,K198,L198,M198,O198),"")</f>
        <v/>
      </c>
      <c r="W198" s="3">
        <f>IF(COUNT(C198,F198,G198,N198,Q198)&gt;0,AVERAGE(C198,F198,G198,N198,Q198),"")</f>
        <v/>
      </c>
      <c r="X198" s="3">
        <f>IF(COUNT(B198,E198,H198,I198,P198,R198,S198)&gt;0,AVERAGE(B198,E198,H198,I198,P198,R198,S198),"")</f>
        <v/>
      </c>
      <c r="Y198" s="3" t="n"/>
      <c r="AJ198">
        <f>IFERROR(AVERAGEIF($A$4:$A$1004,AI198,$V$4:$V$1004),"")</f>
        <v/>
      </c>
      <c r="AK198">
        <f>IFERROR(AVERAGEIF($A$4:$A$1004,AI198,$W$4:$W$1004),"")</f>
        <v/>
      </c>
      <c r="AL198">
        <f>IFERROR(AVERAGEIF($A$4:$A$1004,AI198,$X$4:$X$1004),"")</f>
        <v/>
      </c>
    </row>
    <row r="199">
      <c r="A199" s="1">
        <f>IF(Data!A199&gt;0,Data!A199,"")</f>
        <v/>
      </c>
      <c r="B199" s="1">
        <f>IF(Data!B199&gt;0,Data!B199,"")</f>
        <v/>
      </c>
      <c r="C199" s="1">
        <f>IF(Data!C199&gt;0,Data!C199,"")</f>
        <v/>
      </c>
      <c r="D199" s="1">
        <f>IF(Data!D199&gt;0,Data!D199,"")</f>
        <v/>
      </c>
      <c r="E199" s="1">
        <f>IF(Data!E199&gt;0,Data!E199,"")</f>
        <v/>
      </c>
      <c r="F199" s="1">
        <f>IF(Data!F199&gt;0,Data!F199,"")</f>
        <v/>
      </c>
      <c r="G199" s="1">
        <f>IF(Data!G199&gt;0,Data!G199,"")</f>
        <v/>
      </c>
      <c r="H199" s="1">
        <f>IF(Data!H199&gt;0,Data!H199,"")</f>
        <v/>
      </c>
      <c r="I199" s="1">
        <f>IF(Data!I199&gt;0,Data!I199,"")</f>
        <v/>
      </c>
      <c r="J199" s="1">
        <f>IF(Data!J199&gt;0,Data!J199,"")</f>
        <v/>
      </c>
      <c r="K199" s="1">
        <f>IF(Data!K199&gt;0,Data!K199,"")</f>
        <v/>
      </c>
      <c r="L199" s="1">
        <f>IF(Data!L199&gt;0,Data!L199,"")</f>
        <v/>
      </c>
      <c r="M199" s="1">
        <f>IF(Data!M199&gt;0,Data!M199,"")</f>
        <v/>
      </c>
      <c r="N199" s="1">
        <f>IF(Data!N199&gt;0,Data!N199,"")</f>
        <v/>
      </c>
      <c r="O199" s="1">
        <f>IF(Data!O199&gt;0,Data!O199,"")</f>
        <v/>
      </c>
      <c r="P199" s="1">
        <f>IF(Data!P199&gt;0,Data!P199,"")</f>
        <v/>
      </c>
      <c r="Q199" s="1">
        <f>IF(Data!Q199&gt;0,Data!Q199,"")</f>
        <v/>
      </c>
      <c r="R199" s="1">
        <f>IF(Data!R199&gt;0,Data!R199,"")</f>
        <v/>
      </c>
      <c r="S199" s="1">
        <f>IF(Data!S199&gt;0,Data!S199,"")</f>
        <v/>
      </c>
      <c r="V199" s="3">
        <f>IF(COUNT(D199,J199,K199,L199,M199,O199)&gt;0,AVERAGE(D199,J199,K199,L199,M199,O199),"")</f>
        <v/>
      </c>
      <c r="W199" s="3">
        <f>IF(COUNT(C199,F199,G199,N199,Q199)&gt;0,AVERAGE(C199,F199,G199,N199,Q199),"")</f>
        <v/>
      </c>
      <c r="X199" s="3">
        <f>IF(COUNT(B199,E199,H199,I199,P199,R199,S199)&gt;0,AVERAGE(B199,E199,H199,I199,P199,R199,S199),"")</f>
        <v/>
      </c>
      <c r="Y199" s="3" t="n"/>
      <c r="AJ199">
        <f>IFERROR(AVERAGEIF($A$4:$A$1004,AI199,$V$4:$V$1004),"")</f>
        <v/>
      </c>
      <c r="AK199">
        <f>IFERROR(AVERAGEIF($A$4:$A$1004,AI199,$W$4:$W$1004),"")</f>
        <v/>
      </c>
      <c r="AL199">
        <f>IFERROR(AVERAGEIF($A$4:$A$1004,AI199,$X$4:$X$1004),"")</f>
        <v/>
      </c>
    </row>
    <row r="200">
      <c r="A200" s="1">
        <f>IF(Data!A200&gt;0,Data!A200,"")</f>
        <v/>
      </c>
      <c r="B200" s="1">
        <f>IF(Data!B200&gt;0,Data!B200,"")</f>
        <v/>
      </c>
      <c r="C200" s="1">
        <f>IF(Data!C200&gt;0,Data!C200,"")</f>
        <v/>
      </c>
      <c r="D200" s="1">
        <f>IF(Data!D200&gt;0,Data!D200,"")</f>
        <v/>
      </c>
      <c r="E200" s="1">
        <f>IF(Data!E200&gt;0,Data!E200,"")</f>
        <v/>
      </c>
      <c r="F200" s="1">
        <f>IF(Data!F200&gt;0,Data!F200,"")</f>
        <v/>
      </c>
      <c r="G200" s="1">
        <f>IF(Data!G200&gt;0,Data!G200,"")</f>
        <v/>
      </c>
      <c r="H200" s="1">
        <f>IF(Data!H200&gt;0,Data!H200,"")</f>
        <v/>
      </c>
      <c r="I200" s="1">
        <f>IF(Data!I200&gt;0,Data!I200,"")</f>
        <v/>
      </c>
      <c r="J200" s="1">
        <f>IF(Data!J200&gt;0,Data!J200,"")</f>
        <v/>
      </c>
      <c r="K200" s="1">
        <f>IF(Data!K200&gt;0,Data!K200,"")</f>
        <v/>
      </c>
      <c r="L200" s="1">
        <f>IF(Data!L200&gt;0,Data!L200,"")</f>
        <v/>
      </c>
      <c r="M200" s="1">
        <f>IF(Data!M200&gt;0,Data!M200,"")</f>
        <v/>
      </c>
      <c r="N200" s="1">
        <f>IF(Data!N200&gt;0,Data!N200,"")</f>
        <v/>
      </c>
      <c r="O200" s="1">
        <f>IF(Data!O200&gt;0,Data!O200,"")</f>
        <v/>
      </c>
      <c r="P200" s="1">
        <f>IF(Data!P200&gt;0,Data!P200,"")</f>
        <v/>
      </c>
      <c r="Q200" s="1">
        <f>IF(Data!Q200&gt;0,Data!Q200,"")</f>
        <v/>
      </c>
      <c r="R200" s="1">
        <f>IF(Data!R200&gt;0,Data!R200,"")</f>
        <v/>
      </c>
      <c r="S200" s="1">
        <f>IF(Data!S200&gt;0,Data!S200,"")</f>
        <v/>
      </c>
      <c r="V200" s="3">
        <f>IF(COUNT(D200,J200,K200,L200,M200,O200)&gt;0,AVERAGE(D200,J200,K200,L200,M200,O200),"")</f>
        <v/>
      </c>
      <c r="W200" s="3">
        <f>IF(COUNT(C200,F200,G200,N200,Q200)&gt;0,AVERAGE(C200,F200,G200,N200,Q200),"")</f>
        <v/>
      </c>
      <c r="X200" s="3">
        <f>IF(COUNT(B200,E200,H200,I200,P200,R200,S200)&gt;0,AVERAGE(B200,E200,H200,I200,P200,R200,S200),"")</f>
        <v/>
      </c>
      <c r="Y200" s="3" t="n"/>
      <c r="AJ200">
        <f>IFERROR(AVERAGEIF($A$4:$A$1004,AI200,$V$4:$V$1004),"")</f>
        <v/>
      </c>
      <c r="AK200">
        <f>IFERROR(AVERAGEIF($A$4:$A$1004,AI200,$W$4:$W$1004),"")</f>
        <v/>
      </c>
      <c r="AL200">
        <f>IFERROR(AVERAGEIF($A$4:$A$1004,AI200,$X$4:$X$1004),"")</f>
        <v/>
      </c>
    </row>
    <row r="201">
      <c r="A201" s="1">
        <f>IF(Data!A201&gt;0,Data!A201,"")</f>
        <v/>
      </c>
      <c r="B201" s="1">
        <f>IF(Data!B201&gt;0,Data!B201,"")</f>
        <v/>
      </c>
      <c r="C201" s="1">
        <f>IF(Data!C201&gt;0,Data!C201,"")</f>
        <v/>
      </c>
      <c r="D201" s="1">
        <f>IF(Data!D201&gt;0,Data!D201,"")</f>
        <v/>
      </c>
      <c r="E201" s="1">
        <f>IF(Data!E201&gt;0,Data!E201,"")</f>
        <v/>
      </c>
      <c r="F201" s="1">
        <f>IF(Data!F201&gt;0,Data!F201,"")</f>
        <v/>
      </c>
      <c r="G201" s="1">
        <f>IF(Data!G201&gt;0,Data!G201,"")</f>
        <v/>
      </c>
      <c r="H201" s="1">
        <f>IF(Data!H201&gt;0,Data!H201,"")</f>
        <v/>
      </c>
      <c r="I201" s="1">
        <f>IF(Data!I201&gt;0,Data!I201,"")</f>
        <v/>
      </c>
      <c r="J201" s="1">
        <f>IF(Data!J201&gt;0,Data!J201,"")</f>
        <v/>
      </c>
      <c r="K201" s="1">
        <f>IF(Data!K201&gt;0,Data!K201,"")</f>
        <v/>
      </c>
      <c r="L201" s="1">
        <f>IF(Data!L201&gt;0,Data!L201,"")</f>
        <v/>
      </c>
      <c r="M201" s="1">
        <f>IF(Data!M201&gt;0,Data!M201,"")</f>
        <v/>
      </c>
      <c r="N201" s="1">
        <f>IF(Data!N201&gt;0,Data!N201,"")</f>
        <v/>
      </c>
      <c r="O201" s="1">
        <f>IF(Data!O201&gt;0,Data!O201,"")</f>
        <v/>
      </c>
      <c r="P201" s="1">
        <f>IF(Data!P201&gt;0,Data!P201,"")</f>
        <v/>
      </c>
      <c r="Q201" s="1">
        <f>IF(Data!Q201&gt;0,Data!Q201,"")</f>
        <v/>
      </c>
      <c r="R201" s="1">
        <f>IF(Data!R201&gt;0,Data!R201,"")</f>
        <v/>
      </c>
      <c r="S201" s="1">
        <f>IF(Data!S201&gt;0,Data!S201,"")</f>
        <v/>
      </c>
      <c r="V201" s="3">
        <f>IF(COUNT(D201,J201,K201,L201,M201,O201)&gt;0,AVERAGE(D201,J201,K201,L201,M201,O201),"")</f>
        <v/>
      </c>
      <c r="W201" s="3">
        <f>IF(COUNT(C201,F201,G201,N201,Q201)&gt;0,AVERAGE(C201,F201,G201,N201,Q201),"")</f>
        <v/>
      </c>
      <c r="X201" s="3">
        <f>IF(COUNT(B201,E201,H201,I201,P201,R201,S201)&gt;0,AVERAGE(B201,E201,H201,I201,P201,R201,S201),"")</f>
        <v/>
      </c>
      <c r="Y201" s="3" t="n"/>
      <c r="AJ201">
        <f>IFERROR(AVERAGEIF($A$4:$A$1004,AI201,$V$4:$V$1004),"")</f>
        <v/>
      </c>
      <c r="AK201">
        <f>IFERROR(AVERAGEIF($A$4:$A$1004,AI201,$W$4:$W$1004),"")</f>
        <v/>
      </c>
      <c r="AL201">
        <f>IFERROR(AVERAGEIF($A$4:$A$1004,AI201,$X$4:$X$1004),"")</f>
        <v/>
      </c>
    </row>
    <row r="202">
      <c r="A202" s="1">
        <f>IF(Data!A202&gt;0,Data!A202,"")</f>
        <v/>
      </c>
      <c r="B202" s="1">
        <f>IF(Data!B202&gt;0,Data!B202,"")</f>
        <v/>
      </c>
      <c r="C202" s="1">
        <f>IF(Data!C202&gt;0,Data!C202,"")</f>
        <v/>
      </c>
      <c r="D202" s="1">
        <f>IF(Data!D202&gt;0,Data!D202,"")</f>
        <v/>
      </c>
      <c r="E202" s="1">
        <f>IF(Data!E202&gt;0,Data!E202,"")</f>
        <v/>
      </c>
      <c r="F202" s="1">
        <f>IF(Data!F202&gt;0,Data!F202,"")</f>
        <v/>
      </c>
      <c r="G202" s="1">
        <f>IF(Data!G202&gt;0,Data!G202,"")</f>
        <v/>
      </c>
      <c r="H202" s="1">
        <f>IF(Data!H202&gt;0,Data!H202,"")</f>
        <v/>
      </c>
      <c r="I202" s="1">
        <f>IF(Data!I202&gt;0,Data!I202,"")</f>
        <v/>
      </c>
      <c r="J202" s="1">
        <f>IF(Data!J202&gt;0,Data!J202,"")</f>
        <v/>
      </c>
      <c r="K202" s="1">
        <f>IF(Data!K202&gt;0,Data!K202,"")</f>
        <v/>
      </c>
      <c r="L202" s="1">
        <f>IF(Data!L202&gt;0,Data!L202,"")</f>
        <v/>
      </c>
      <c r="M202" s="1">
        <f>IF(Data!M202&gt;0,Data!M202,"")</f>
        <v/>
      </c>
      <c r="N202" s="1">
        <f>IF(Data!N202&gt;0,Data!N202,"")</f>
        <v/>
      </c>
      <c r="O202" s="1">
        <f>IF(Data!O202&gt;0,Data!O202,"")</f>
        <v/>
      </c>
      <c r="P202" s="1">
        <f>IF(Data!P202&gt;0,Data!P202,"")</f>
        <v/>
      </c>
      <c r="Q202" s="1">
        <f>IF(Data!Q202&gt;0,Data!Q202,"")</f>
        <v/>
      </c>
      <c r="R202" s="1">
        <f>IF(Data!R202&gt;0,Data!R202,"")</f>
        <v/>
      </c>
      <c r="S202" s="1">
        <f>IF(Data!S202&gt;0,Data!S202,"")</f>
        <v/>
      </c>
      <c r="V202" s="3">
        <f>IF(COUNT(D202,J202,K202,L202,M202,O202)&gt;0,AVERAGE(D202,J202,K202,L202,M202,O202),"")</f>
        <v/>
      </c>
      <c r="W202" s="3">
        <f>IF(COUNT(C202,F202,G202,N202,Q202)&gt;0,AVERAGE(C202,F202,G202,N202,Q202),"")</f>
        <v/>
      </c>
      <c r="X202" s="3">
        <f>IF(COUNT(B202,E202,H202,I202,P202,R202,S202)&gt;0,AVERAGE(B202,E202,H202,I202,P202,R202,S202),"")</f>
        <v/>
      </c>
      <c r="Y202" s="3" t="n"/>
      <c r="AJ202">
        <f>IFERROR(AVERAGEIF($A$4:$A$1004,AI202,$V$4:$V$1004),"")</f>
        <v/>
      </c>
      <c r="AK202">
        <f>IFERROR(AVERAGEIF($A$4:$A$1004,AI202,$W$4:$W$1004),"")</f>
        <v/>
      </c>
      <c r="AL202">
        <f>IFERROR(AVERAGEIF($A$4:$A$1004,AI202,$X$4:$X$1004),"")</f>
        <v/>
      </c>
    </row>
    <row r="203">
      <c r="A203" s="1">
        <f>IF(Data!A203&gt;0,Data!A203,"")</f>
        <v/>
      </c>
      <c r="B203" s="1">
        <f>IF(Data!B203&gt;0,Data!B203,"")</f>
        <v/>
      </c>
      <c r="C203" s="1">
        <f>IF(Data!C203&gt;0,Data!C203,"")</f>
        <v/>
      </c>
      <c r="D203" s="1">
        <f>IF(Data!D203&gt;0,Data!D203,"")</f>
        <v/>
      </c>
      <c r="E203" s="1">
        <f>IF(Data!E203&gt;0,Data!E203,"")</f>
        <v/>
      </c>
      <c r="F203" s="1">
        <f>IF(Data!F203&gt;0,Data!F203,"")</f>
        <v/>
      </c>
      <c r="G203" s="1">
        <f>IF(Data!G203&gt;0,Data!G203,"")</f>
        <v/>
      </c>
      <c r="H203" s="1">
        <f>IF(Data!H203&gt;0,Data!H203,"")</f>
        <v/>
      </c>
      <c r="I203" s="1">
        <f>IF(Data!I203&gt;0,Data!I203,"")</f>
        <v/>
      </c>
      <c r="J203" s="1">
        <f>IF(Data!J203&gt;0,Data!J203,"")</f>
        <v/>
      </c>
      <c r="K203" s="1">
        <f>IF(Data!K203&gt;0,Data!K203,"")</f>
        <v/>
      </c>
      <c r="L203" s="1">
        <f>IF(Data!L203&gt;0,Data!L203,"")</f>
        <v/>
      </c>
      <c r="M203" s="1">
        <f>IF(Data!M203&gt;0,Data!M203,"")</f>
        <v/>
      </c>
      <c r="N203" s="1">
        <f>IF(Data!N203&gt;0,Data!N203,"")</f>
        <v/>
      </c>
      <c r="O203" s="1">
        <f>IF(Data!O203&gt;0,Data!O203,"")</f>
        <v/>
      </c>
      <c r="P203" s="1">
        <f>IF(Data!P203&gt;0,Data!P203,"")</f>
        <v/>
      </c>
      <c r="Q203" s="1">
        <f>IF(Data!Q203&gt;0,Data!Q203,"")</f>
        <v/>
      </c>
      <c r="R203" s="1">
        <f>IF(Data!R203&gt;0,Data!R203,"")</f>
        <v/>
      </c>
      <c r="S203" s="1">
        <f>IF(Data!S203&gt;0,Data!S203,"")</f>
        <v/>
      </c>
      <c r="V203" s="3">
        <f>IF(COUNT(D203,J203,K203,L203,M203,O203)&gt;0,AVERAGE(D203,J203,K203,L203,M203,O203),"")</f>
        <v/>
      </c>
      <c r="W203" s="3">
        <f>IF(COUNT(C203,F203,G203,N203,Q203)&gt;0,AVERAGE(C203,F203,G203,N203,Q203),"")</f>
        <v/>
      </c>
      <c r="X203" s="3">
        <f>IF(COUNT(B203,E203,H203,I203,P203,R203,S203)&gt;0,AVERAGE(B203,E203,H203,I203,P203,R203,S203),"")</f>
        <v/>
      </c>
      <c r="Y203" s="3" t="n"/>
      <c r="AJ203">
        <f>IFERROR(AVERAGEIF($A$4:$A$1004,AI203,$V$4:$V$1004),"")</f>
        <v/>
      </c>
      <c r="AK203">
        <f>IFERROR(AVERAGEIF($A$4:$A$1004,AI203,$W$4:$W$1004),"")</f>
        <v/>
      </c>
      <c r="AL203">
        <f>IFERROR(AVERAGEIF($A$4:$A$1004,AI203,$X$4:$X$1004),"")</f>
        <v/>
      </c>
    </row>
    <row r="204">
      <c r="A204" s="1">
        <f>IF(Data!A204&gt;0,Data!A204,"")</f>
        <v/>
      </c>
      <c r="B204" s="1">
        <f>IF(Data!B204&gt;0,Data!B204,"")</f>
        <v/>
      </c>
      <c r="C204" s="1">
        <f>IF(Data!C204&gt;0,Data!C204,"")</f>
        <v/>
      </c>
      <c r="D204" s="1">
        <f>IF(Data!D204&gt;0,Data!D204,"")</f>
        <v/>
      </c>
      <c r="E204" s="1">
        <f>IF(Data!E204&gt;0,Data!E204,"")</f>
        <v/>
      </c>
      <c r="F204" s="1">
        <f>IF(Data!F204&gt;0,Data!F204,"")</f>
        <v/>
      </c>
      <c r="G204" s="1">
        <f>IF(Data!G204&gt;0,Data!G204,"")</f>
        <v/>
      </c>
      <c r="H204" s="1">
        <f>IF(Data!H204&gt;0,Data!H204,"")</f>
        <v/>
      </c>
      <c r="I204" s="1">
        <f>IF(Data!I204&gt;0,Data!I204,"")</f>
        <v/>
      </c>
      <c r="J204" s="1">
        <f>IF(Data!J204&gt;0,Data!J204,"")</f>
        <v/>
      </c>
      <c r="K204" s="1">
        <f>IF(Data!K204&gt;0,Data!K204,"")</f>
        <v/>
      </c>
      <c r="L204" s="1">
        <f>IF(Data!L204&gt;0,Data!L204,"")</f>
        <v/>
      </c>
      <c r="M204" s="1">
        <f>IF(Data!M204&gt;0,Data!M204,"")</f>
        <v/>
      </c>
      <c r="N204" s="1">
        <f>IF(Data!N204&gt;0,Data!N204,"")</f>
        <v/>
      </c>
      <c r="O204" s="1">
        <f>IF(Data!O204&gt;0,Data!O204,"")</f>
        <v/>
      </c>
      <c r="P204" s="1">
        <f>IF(Data!P204&gt;0,Data!P204,"")</f>
        <v/>
      </c>
      <c r="Q204" s="1">
        <f>IF(Data!Q204&gt;0,Data!Q204,"")</f>
        <v/>
      </c>
      <c r="R204" s="1">
        <f>IF(Data!R204&gt;0,Data!R204,"")</f>
        <v/>
      </c>
      <c r="S204" s="1">
        <f>IF(Data!S204&gt;0,Data!S204,"")</f>
        <v/>
      </c>
      <c r="V204" s="3">
        <f>IF(COUNT(D204,J204,K204,L204,M204,O204)&gt;0,AVERAGE(D204,J204,K204,L204,M204,O204),"")</f>
        <v/>
      </c>
      <c r="W204" s="3">
        <f>IF(COUNT(C204,F204,G204,N204,Q204)&gt;0,AVERAGE(C204,F204,G204,N204,Q204),"")</f>
        <v/>
      </c>
      <c r="X204" s="3">
        <f>IF(COUNT(B204,E204,H204,I204,P204,R204,S204)&gt;0,AVERAGE(B204,E204,H204,I204,P204,R204,S204),"")</f>
        <v/>
      </c>
      <c r="Y204" s="3" t="n"/>
      <c r="AJ204">
        <f>IFERROR(AVERAGEIF($A$4:$A$1004,AI204,$V$4:$V$1004),"")</f>
        <v/>
      </c>
      <c r="AK204">
        <f>IFERROR(AVERAGEIF($A$4:$A$1004,AI204,$W$4:$W$1004),"")</f>
        <v/>
      </c>
      <c r="AL204">
        <f>IFERROR(AVERAGEIF($A$4:$A$1004,AI204,$X$4:$X$1004),"")</f>
        <v/>
      </c>
    </row>
    <row r="205">
      <c r="A205" s="1">
        <f>IF(Data!A205&gt;0,Data!A205,"")</f>
        <v/>
      </c>
      <c r="B205" s="1">
        <f>IF(Data!B205&gt;0,Data!B205,"")</f>
        <v/>
      </c>
      <c r="C205" s="1">
        <f>IF(Data!C205&gt;0,Data!C205,"")</f>
        <v/>
      </c>
      <c r="D205" s="1">
        <f>IF(Data!D205&gt;0,Data!D205,"")</f>
        <v/>
      </c>
      <c r="E205" s="1">
        <f>IF(Data!E205&gt;0,Data!E205,"")</f>
        <v/>
      </c>
      <c r="F205" s="1">
        <f>IF(Data!F205&gt;0,Data!F205,"")</f>
        <v/>
      </c>
      <c r="G205" s="1">
        <f>IF(Data!G205&gt;0,Data!G205,"")</f>
        <v/>
      </c>
      <c r="H205" s="1">
        <f>IF(Data!H205&gt;0,Data!H205,"")</f>
        <v/>
      </c>
      <c r="I205" s="1">
        <f>IF(Data!I205&gt;0,Data!I205,"")</f>
        <v/>
      </c>
      <c r="J205" s="1">
        <f>IF(Data!J205&gt;0,Data!J205,"")</f>
        <v/>
      </c>
      <c r="K205" s="1">
        <f>IF(Data!K205&gt;0,Data!K205,"")</f>
        <v/>
      </c>
      <c r="L205" s="1">
        <f>IF(Data!L205&gt;0,Data!L205,"")</f>
        <v/>
      </c>
      <c r="M205" s="1">
        <f>IF(Data!M205&gt;0,Data!M205,"")</f>
        <v/>
      </c>
      <c r="N205" s="1">
        <f>IF(Data!N205&gt;0,Data!N205,"")</f>
        <v/>
      </c>
      <c r="O205" s="1">
        <f>IF(Data!O205&gt;0,Data!O205,"")</f>
        <v/>
      </c>
      <c r="P205" s="1">
        <f>IF(Data!P205&gt;0,Data!P205,"")</f>
        <v/>
      </c>
      <c r="Q205" s="1">
        <f>IF(Data!Q205&gt;0,Data!Q205,"")</f>
        <v/>
      </c>
      <c r="R205" s="1">
        <f>IF(Data!R205&gt;0,Data!R205,"")</f>
        <v/>
      </c>
      <c r="S205" s="1">
        <f>IF(Data!S205&gt;0,Data!S205,"")</f>
        <v/>
      </c>
      <c r="V205" s="3">
        <f>IF(COUNT(D205,J205,K205,L205,M205,O205)&gt;0,AVERAGE(D205,J205,K205,L205,M205,O205),"")</f>
        <v/>
      </c>
      <c r="W205" s="3">
        <f>IF(COUNT(C205,F205,G205,N205,Q205)&gt;0,AVERAGE(C205,F205,G205,N205,Q205),"")</f>
        <v/>
      </c>
      <c r="X205" s="3">
        <f>IF(COUNT(B205,E205,H205,I205,P205,R205,S205)&gt;0,AVERAGE(B205,E205,H205,I205,P205,R205,S205),"")</f>
        <v/>
      </c>
      <c r="Y205" s="3" t="n"/>
      <c r="AJ205">
        <f>IFERROR(AVERAGEIF($A$4:$A$1004,AI205,$V$4:$V$1004),"")</f>
        <v/>
      </c>
      <c r="AK205">
        <f>IFERROR(AVERAGEIF($A$4:$A$1004,AI205,$W$4:$W$1004),"")</f>
        <v/>
      </c>
      <c r="AL205">
        <f>IFERROR(AVERAGEIF($A$4:$A$1004,AI205,$X$4:$X$1004),"")</f>
        <v/>
      </c>
    </row>
    <row r="206">
      <c r="A206" s="1">
        <f>IF(Data!A206&gt;0,Data!A206,"")</f>
        <v/>
      </c>
      <c r="B206" s="1">
        <f>IF(Data!B206&gt;0,Data!B206,"")</f>
        <v/>
      </c>
      <c r="C206" s="1">
        <f>IF(Data!C206&gt;0,Data!C206,"")</f>
        <v/>
      </c>
      <c r="D206" s="1">
        <f>IF(Data!D206&gt;0,Data!D206,"")</f>
        <v/>
      </c>
      <c r="E206" s="1">
        <f>IF(Data!E206&gt;0,Data!E206,"")</f>
        <v/>
      </c>
      <c r="F206" s="1">
        <f>IF(Data!F206&gt;0,Data!F206,"")</f>
        <v/>
      </c>
      <c r="G206" s="1">
        <f>IF(Data!G206&gt;0,Data!G206,"")</f>
        <v/>
      </c>
      <c r="H206" s="1">
        <f>IF(Data!H206&gt;0,Data!H206,"")</f>
        <v/>
      </c>
      <c r="I206" s="1">
        <f>IF(Data!I206&gt;0,Data!I206,"")</f>
        <v/>
      </c>
      <c r="J206" s="1">
        <f>IF(Data!J206&gt;0,Data!J206,"")</f>
        <v/>
      </c>
      <c r="K206" s="1">
        <f>IF(Data!K206&gt;0,Data!K206,"")</f>
        <v/>
      </c>
      <c r="L206" s="1">
        <f>IF(Data!L206&gt;0,Data!L206,"")</f>
        <v/>
      </c>
      <c r="M206" s="1">
        <f>IF(Data!M206&gt;0,Data!M206,"")</f>
        <v/>
      </c>
      <c r="N206" s="1">
        <f>IF(Data!N206&gt;0,Data!N206,"")</f>
        <v/>
      </c>
      <c r="O206" s="1">
        <f>IF(Data!O206&gt;0,Data!O206,"")</f>
        <v/>
      </c>
      <c r="P206" s="1">
        <f>IF(Data!P206&gt;0,Data!P206,"")</f>
        <v/>
      </c>
      <c r="Q206" s="1">
        <f>IF(Data!Q206&gt;0,Data!Q206,"")</f>
        <v/>
      </c>
      <c r="R206" s="1">
        <f>IF(Data!R206&gt;0,Data!R206,"")</f>
        <v/>
      </c>
      <c r="S206" s="1">
        <f>IF(Data!S206&gt;0,Data!S206,"")</f>
        <v/>
      </c>
      <c r="V206" s="3">
        <f>IF(COUNT(D206,J206,K206,L206,M206,O206)&gt;0,AVERAGE(D206,J206,K206,L206,M206,O206),"")</f>
        <v/>
      </c>
      <c r="W206" s="3">
        <f>IF(COUNT(C206,F206,G206,N206,Q206)&gt;0,AVERAGE(C206,F206,G206,N206,Q206),"")</f>
        <v/>
      </c>
      <c r="X206" s="3">
        <f>IF(COUNT(B206,E206,H206,I206,P206,R206,S206)&gt;0,AVERAGE(B206,E206,H206,I206,P206,R206,S206),"")</f>
        <v/>
      </c>
      <c r="Y206" s="3" t="n"/>
      <c r="AJ206">
        <f>IFERROR(AVERAGEIF($A$4:$A$1004,AI206,$V$4:$V$1004),"")</f>
        <v/>
      </c>
      <c r="AK206">
        <f>IFERROR(AVERAGEIF($A$4:$A$1004,AI206,$W$4:$W$1004),"")</f>
        <v/>
      </c>
      <c r="AL206">
        <f>IFERROR(AVERAGEIF($A$4:$A$1004,AI206,$X$4:$X$1004),"")</f>
        <v/>
      </c>
    </row>
    <row r="207">
      <c r="A207" s="1">
        <f>IF(Data!A207&gt;0,Data!A207,"")</f>
        <v/>
      </c>
      <c r="B207" s="1">
        <f>IF(Data!B207&gt;0,Data!B207,"")</f>
        <v/>
      </c>
      <c r="C207" s="1">
        <f>IF(Data!C207&gt;0,Data!C207,"")</f>
        <v/>
      </c>
      <c r="D207" s="1">
        <f>IF(Data!D207&gt;0,Data!D207,"")</f>
        <v/>
      </c>
      <c r="E207" s="1">
        <f>IF(Data!E207&gt;0,Data!E207,"")</f>
        <v/>
      </c>
      <c r="F207" s="1">
        <f>IF(Data!F207&gt;0,Data!F207,"")</f>
        <v/>
      </c>
      <c r="G207" s="1">
        <f>IF(Data!G207&gt;0,Data!G207,"")</f>
        <v/>
      </c>
      <c r="H207" s="1">
        <f>IF(Data!H207&gt;0,Data!H207,"")</f>
        <v/>
      </c>
      <c r="I207" s="1">
        <f>IF(Data!I207&gt;0,Data!I207,"")</f>
        <v/>
      </c>
      <c r="J207" s="1">
        <f>IF(Data!J207&gt;0,Data!J207,"")</f>
        <v/>
      </c>
      <c r="K207" s="1">
        <f>IF(Data!K207&gt;0,Data!K207,"")</f>
        <v/>
      </c>
      <c r="L207" s="1">
        <f>IF(Data!L207&gt;0,Data!L207,"")</f>
        <v/>
      </c>
      <c r="M207" s="1">
        <f>IF(Data!M207&gt;0,Data!M207,"")</f>
        <v/>
      </c>
      <c r="N207" s="1">
        <f>IF(Data!N207&gt;0,Data!N207,"")</f>
        <v/>
      </c>
      <c r="O207" s="1">
        <f>IF(Data!O207&gt;0,Data!O207,"")</f>
        <v/>
      </c>
      <c r="P207" s="1">
        <f>IF(Data!P207&gt;0,Data!P207,"")</f>
        <v/>
      </c>
      <c r="Q207" s="1">
        <f>IF(Data!Q207&gt;0,Data!Q207,"")</f>
        <v/>
      </c>
      <c r="R207" s="1">
        <f>IF(Data!R207&gt;0,Data!R207,"")</f>
        <v/>
      </c>
      <c r="S207" s="1">
        <f>IF(Data!S207&gt;0,Data!S207,"")</f>
        <v/>
      </c>
      <c r="V207" s="3">
        <f>IF(COUNT(D207,J207,K207,L207,M207,O207)&gt;0,AVERAGE(D207,J207,K207,L207,M207,O207),"")</f>
        <v/>
      </c>
      <c r="W207" s="3">
        <f>IF(COUNT(C207,F207,G207,N207,Q207)&gt;0,AVERAGE(C207,F207,G207,N207,Q207),"")</f>
        <v/>
      </c>
      <c r="X207" s="3">
        <f>IF(COUNT(B207,E207,H207,I207,P207,R207,S207)&gt;0,AVERAGE(B207,E207,H207,I207,P207,R207,S207),"")</f>
        <v/>
      </c>
      <c r="Y207" s="3" t="n"/>
      <c r="AJ207">
        <f>IFERROR(AVERAGEIF($A$4:$A$1004,AI207,$V$4:$V$1004),"")</f>
        <v/>
      </c>
      <c r="AK207">
        <f>IFERROR(AVERAGEIF($A$4:$A$1004,AI207,$W$4:$W$1004),"")</f>
        <v/>
      </c>
      <c r="AL207">
        <f>IFERROR(AVERAGEIF($A$4:$A$1004,AI207,$X$4:$X$1004),"")</f>
        <v/>
      </c>
    </row>
    <row r="208">
      <c r="A208" s="1">
        <f>IF(Data!A208&gt;0,Data!A208,"")</f>
        <v/>
      </c>
      <c r="B208" s="1">
        <f>IF(Data!B208&gt;0,Data!B208,"")</f>
        <v/>
      </c>
      <c r="C208" s="1">
        <f>IF(Data!C208&gt;0,Data!C208,"")</f>
        <v/>
      </c>
      <c r="D208" s="1">
        <f>IF(Data!D208&gt;0,Data!D208,"")</f>
        <v/>
      </c>
      <c r="E208" s="1">
        <f>IF(Data!E208&gt;0,Data!E208,"")</f>
        <v/>
      </c>
      <c r="F208" s="1">
        <f>IF(Data!F208&gt;0,Data!F208,"")</f>
        <v/>
      </c>
      <c r="G208" s="1">
        <f>IF(Data!G208&gt;0,Data!G208,"")</f>
        <v/>
      </c>
      <c r="H208" s="1">
        <f>IF(Data!H208&gt;0,Data!H208,"")</f>
        <v/>
      </c>
      <c r="I208" s="1">
        <f>IF(Data!I208&gt;0,Data!I208,"")</f>
        <v/>
      </c>
      <c r="J208" s="1">
        <f>IF(Data!J208&gt;0,Data!J208,"")</f>
        <v/>
      </c>
      <c r="K208" s="1">
        <f>IF(Data!K208&gt;0,Data!K208,"")</f>
        <v/>
      </c>
      <c r="L208" s="1">
        <f>IF(Data!L208&gt;0,Data!L208,"")</f>
        <v/>
      </c>
      <c r="M208" s="1">
        <f>IF(Data!M208&gt;0,Data!M208,"")</f>
        <v/>
      </c>
      <c r="N208" s="1">
        <f>IF(Data!N208&gt;0,Data!N208,"")</f>
        <v/>
      </c>
      <c r="O208" s="1">
        <f>IF(Data!O208&gt;0,Data!O208,"")</f>
        <v/>
      </c>
      <c r="P208" s="1">
        <f>IF(Data!P208&gt;0,Data!P208,"")</f>
        <v/>
      </c>
      <c r="Q208" s="1">
        <f>IF(Data!Q208&gt;0,Data!Q208,"")</f>
        <v/>
      </c>
      <c r="R208" s="1">
        <f>IF(Data!R208&gt;0,Data!R208,"")</f>
        <v/>
      </c>
      <c r="S208" s="1">
        <f>IF(Data!S208&gt;0,Data!S208,"")</f>
        <v/>
      </c>
      <c r="V208" s="3">
        <f>IF(COUNT(D208,J208,K208,L208,M208,O208)&gt;0,AVERAGE(D208,J208,K208,L208,M208,O208),"")</f>
        <v/>
      </c>
      <c r="W208" s="3">
        <f>IF(COUNT(C208,F208,G208,N208,Q208)&gt;0,AVERAGE(C208,F208,G208,N208,Q208),"")</f>
        <v/>
      </c>
      <c r="X208" s="3">
        <f>IF(COUNT(B208,E208,H208,I208,P208,R208,S208)&gt;0,AVERAGE(B208,E208,H208,I208,P208,R208,S208),"")</f>
        <v/>
      </c>
      <c r="Y208" s="3" t="n"/>
      <c r="AJ208">
        <f>IFERROR(AVERAGEIF($A$4:$A$1004,AI208,$V$4:$V$1004),"")</f>
        <v/>
      </c>
      <c r="AK208">
        <f>IFERROR(AVERAGEIF($A$4:$A$1004,AI208,$W$4:$W$1004),"")</f>
        <v/>
      </c>
      <c r="AL208">
        <f>IFERROR(AVERAGEIF($A$4:$A$1004,AI208,$X$4:$X$1004),"")</f>
        <v/>
      </c>
    </row>
    <row r="209">
      <c r="A209" s="1">
        <f>IF(Data!A209&gt;0,Data!A209,"")</f>
        <v/>
      </c>
      <c r="B209" s="1">
        <f>IF(Data!B209&gt;0,Data!B209,"")</f>
        <v/>
      </c>
      <c r="C209" s="1">
        <f>IF(Data!C209&gt;0,Data!C209,"")</f>
        <v/>
      </c>
      <c r="D209" s="1">
        <f>IF(Data!D209&gt;0,Data!D209,"")</f>
        <v/>
      </c>
      <c r="E209" s="1">
        <f>IF(Data!E209&gt;0,Data!E209,"")</f>
        <v/>
      </c>
      <c r="F209" s="1">
        <f>IF(Data!F209&gt;0,Data!F209,"")</f>
        <v/>
      </c>
      <c r="G209" s="1">
        <f>IF(Data!G209&gt;0,Data!G209,"")</f>
        <v/>
      </c>
      <c r="H209" s="1">
        <f>IF(Data!H209&gt;0,Data!H209,"")</f>
        <v/>
      </c>
      <c r="I209" s="1">
        <f>IF(Data!I209&gt;0,Data!I209,"")</f>
        <v/>
      </c>
      <c r="J209" s="1">
        <f>IF(Data!J209&gt;0,Data!J209,"")</f>
        <v/>
      </c>
      <c r="K209" s="1">
        <f>IF(Data!K209&gt;0,Data!K209,"")</f>
        <v/>
      </c>
      <c r="L209" s="1">
        <f>IF(Data!L209&gt;0,Data!L209,"")</f>
        <v/>
      </c>
      <c r="M209" s="1">
        <f>IF(Data!M209&gt;0,Data!M209,"")</f>
        <v/>
      </c>
      <c r="N209" s="1">
        <f>IF(Data!N209&gt;0,Data!N209,"")</f>
        <v/>
      </c>
      <c r="O209" s="1">
        <f>IF(Data!O209&gt;0,Data!O209,"")</f>
        <v/>
      </c>
      <c r="P209" s="1">
        <f>IF(Data!P209&gt;0,Data!P209,"")</f>
        <v/>
      </c>
      <c r="Q209" s="1">
        <f>IF(Data!Q209&gt;0,Data!Q209,"")</f>
        <v/>
      </c>
      <c r="R209" s="1">
        <f>IF(Data!R209&gt;0,Data!R209,"")</f>
        <v/>
      </c>
      <c r="S209" s="1">
        <f>IF(Data!S209&gt;0,Data!S209,"")</f>
        <v/>
      </c>
      <c r="V209" s="3">
        <f>IF(COUNT(D209,J209,K209,L209,M209,O209)&gt;0,AVERAGE(D209,J209,K209,L209,M209,O209),"")</f>
        <v/>
      </c>
      <c r="W209" s="3">
        <f>IF(COUNT(C209,F209,G209,N209,Q209)&gt;0,AVERAGE(C209,F209,G209,N209,Q209),"")</f>
        <v/>
      </c>
      <c r="X209" s="3">
        <f>IF(COUNT(B209,E209,H209,I209,P209,R209,S209)&gt;0,AVERAGE(B209,E209,H209,I209,P209,R209,S209),"")</f>
        <v/>
      </c>
      <c r="Y209" s="3" t="n"/>
      <c r="AJ209">
        <f>IFERROR(AVERAGEIF($A$4:$A$1004,AI209,$V$4:$V$1004),"")</f>
        <v/>
      </c>
      <c r="AK209">
        <f>IFERROR(AVERAGEIF($A$4:$A$1004,AI209,$W$4:$W$1004),"")</f>
        <v/>
      </c>
      <c r="AL209">
        <f>IFERROR(AVERAGEIF($A$4:$A$1004,AI209,$X$4:$X$1004),"")</f>
        <v/>
      </c>
    </row>
    <row r="210">
      <c r="A210" s="1">
        <f>IF(Data!A210&gt;0,Data!A210,"")</f>
        <v/>
      </c>
      <c r="B210" s="1">
        <f>IF(Data!B210&gt;0,Data!B210,"")</f>
        <v/>
      </c>
      <c r="C210" s="1">
        <f>IF(Data!C210&gt;0,Data!C210,"")</f>
        <v/>
      </c>
      <c r="D210" s="1">
        <f>IF(Data!D210&gt;0,Data!D210,"")</f>
        <v/>
      </c>
      <c r="E210" s="1">
        <f>IF(Data!E210&gt;0,Data!E210,"")</f>
        <v/>
      </c>
      <c r="F210" s="1">
        <f>IF(Data!F210&gt;0,Data!F210,"")</f>
        <v/>
      </c>
      <c r="G210" s="1">
        <f>IF(Data!G210&gt;0,Data!G210,"")</f>
        <v/>
      </c>
      <c r="H210" s="1">
        <f>IF(Data!H210&gt;0,Data!H210,"")</f>
        <v/>
      </c>
      <c r="I210" s="1">
        <f>IF(Data!I210&gt;0,Data!I210,"")</f>
        <v/>
      </c>
      <c r="J210" s="1">
        <f>IF(Data!J210&gt;0,Data!J210,"")</f>
        <v/>
      </c>
      <c r="K210" s="1">
        <f>IF(Data!K210&gt;0,Data!K210,"")</f>
        <v/>
      </c>
      <c r="L210" s="1">
        <f>IF(Data!L210&gt;0,Data!L210,"")</f>
        <v/>
      </c>
      <c r="M210" s="1">
        <f>IF(Data!M210&gt;0,Data!M210,"")</f>
        <v/>
      </c>
      <c r="N210" s="1">
        <f>IF(Data!N210&gt;0,Data!N210,"")</f>
        <v/>
      </c>
      <c r="O210" s="1">
        <f>IF(Data!O210&gt;0,Data!O210,"")</f>
        <v/>
      </c>
      <c r="P210" s="1">
        <f>IF(Data!P210&gt;0,Data!P210,"")</f>
        <v/>
      </c>
      <c r="Q210" s="1">
        <f>IF(Data!Q210&gt;0,Data!Q210,"")</f>
        <v/>
      </c>
      <c r="R210" s="1">
        <f>IF(Data!R210&gt;0,Data!R210,"")</f>
        <v/>
      </c>
      <c r="S210" s="1">
        <f>IF(Data!S210&gt;0,Data!S210,"")</f>
        <v/>
      </c>
      <c r="V210" s="3">
        <f>IF(COUNT(D210,J210,K210,L210,M210,O210)&gt;0,AVERAGE(D210,J210,K210,L210,M210,O210),"")</f>
        <v/>
      </c>
      <c r="W210" s="3">
        <f>IF(COUNT(C210,F210,G210,N210,Q210)&gt;0,AVERAGE(C210,F210,G210,N210,Q210),"")</f>
        <v/>
      </c>
      <c r="X210" s="3">
        <f>IF(COUNT(B210,E210,H210,I210,P210,R210,S210)&gt;0,AVERAGE(B210,E210,H210,I210,P210,R210,S210),"")</f>
        <v/>
      </c>
      <c r="Y210" s="3" t="n"/>
      <c r="AJ210">
        <f>IFERROR(AVERAGEIF($A$4:$A$1004,AI210,$V$4:$V$1004),"")</f>
        <v/>
      </c>
      <c r="AK210">
        <f>IFERROR(AVERAGEIF($A$4:$A$1004,AI210,$W$4:$W$1004),"")</f>
        <v/>
      </c>
      <c r="AL210">
        <f>IFERROR(AVERAGEIF($A$4:$A$1004,AI210,$X$4:$X$1004),"")</f>
        <v/>
      </c>
    </row>
    <row r="211">
      <c r="A211" s="1">
        <f>IF(Data!A211&gt;0,Data!A211,"")</f>
        <v/>
      </c>
      <c r="B211" s="1">
        <f>IF(Data!B211&gt;0,Data!B211,"")</f>
        <v/>
      </c>
      <c r="C211" s="1">
        <f>IF(Data!C211&gt;0,Data!C211,"")</f>
        <v/>
      </c>
      <c r="D211" s="1">
        <f>IF(Data!D211&gt;0,Data!D211,"")</f>
        <v/>
      </c>
      <c r="E211" s="1">
        <f>IF(Data!E211&gt;0,Data!E211,"")</f>
        <v/>
      </c>
      <c r="F211" s="1">
        <f>IF(Data!F211&gt;0,Data!F211,"")</f>
        <v/>
      </c>
      <c r="G211" s="1">
        <f>IF(Data!G211&gt;0,Data!G211,"")</f>
        <v/>
      </c>
      <c r="H211" s="1">
        <f>IF(Data!H211&gt;0,Data!H211,"")</f>
        <v/>
      </c>
      <c r="I211" s="1">
        <f>IF(Data!I211&gt;0,Data!I211,"")</f>
        <v/>
      </c>
      <c r="J211" s="1">
        <f>IF(Data!J211&gt;0,Data!J211,"")</f>
        <v/>
      </c>
      <c r="K211" s="1">
        <f>IF(Data!K211&gt;0,Data!K211,"")</f>
        <v/>
      </c>
      <c r="L211" s="1">
        <f>IF(Data!L211&gt;0,Data!L211,"")</f>
        <v/>
      </c>
      <c r="M211" s="1">
        <f>IF(Data!M211&gt;0,Data!M211,"")</f>
        <v/>
      </c>
      <c r="N211" s="1">
        <f>IF(Data!N211&gt;0,Data!N211,"")</f>
        <v/>
      </c>
      <c r="O211" s="1">
        <f>IF(Data!O211&gt;0,Data!O211,"")</f>
        <v/>
      </c>
      <c r="P211" s="1">
        <f>IF(Data!P211&gt;0,Data!P211,"")</f>
        <v/>
      </c>
      <c r="Q211" s="1">
        <f>IF(Data!Q211&gt;0,Data!Q211,"")</f>
        <v/>
      </c>
      <c r="R211" s="1">
        <f>IF(Data!R211&gt;0,Data!R211,"")</f>
        <v/>
      </c>
      <c r="S211" s="1">
        <f>IF(Data!S211&gt;0,Data!S211,"")</f>
        <v/>
      </c>
      <c r="V211" s="3">
        <f>IF(COUNT(D211,J211,K211,L211,M211,O211)&gt;0,AVERAGE(D211,J211,K211,L211,M211,O211),"")</f>
        <v/>
      </c>
      <c r="W211" s="3">
        <f>IF(COUNT(C211,F211,G211,N211,Q211)&gt;0,AVERAGE(C211,F211,G211,N211,Q211),"")</f>
        <v/>
      </c>
      <c r="X211" s="3">
        <f>IF(COUNT(B211,E211,H211,I211,P211,R211,S211)&gt;0,AVERAGE(B211,E211,H211,I211,P211,R211,S211),"")</f>
        <v/>
      </c>
      <c r="Y211" s="3" t="n"/>
      <c r="AJ211">
        <f>IFERROR(AVERAGEIF($A$4:$A$1004,AI211,$V$4:$V$1004),"")</f>
        <v/>
      </c>
      <c r="AK211">
        <f>IFERROR(AVERAGEIF($A$4:$A$1004,AI211,$W$4:$W$1004),"")</f>
        <v/>
      </c>
      <c r="AL211">
        <f>IFERROR(AVERAGEIF($A$4:$A$1004,AI211,$X$4:$X$1004),"")</f>
        <v/>
      </c>
    </row>
    <row r="212">
      <c r="A212" s="1">
        <f>IF(Data!A212&gt;0,Data!A212,"")</f>
        <v/>
      </c>
      <c r="B212" s="1">
        <f>IF(Data!B212&gt;0,Data!B212,"")</f>
        <v/>
      </c>
      <c r="C212" s="1">
        <f>IF(Data!C212&gt;0,Data!C212,"")</f>
        <v/>
      </c>
      <c r="D212" s="1">
        <f>IF(Data!D212&gt;0,Data!D212,"")</f>
        <v/>
      </c>
      <c r="E212" s="1">
        <f>IF(Data!E212&gt;0,Data!E212,"")</f>
        <v/>
      </c>
      <c r="F212" s="1">
        <f>IF(Data!F212&gt;0,Data!F212,"")</f>
        <v/>
      </c>
      <c r="G212" s="1">
        <f>IF(Data!G212&gt;0,Data!G212,"")</f>
        <v/>
      </c>
      <c r="H212" s="1">
        <f>IF(Data!H212&gt;0,Data!H212,"")</f>
        <v/>
      </c>
      <c r="I212" s="1">
        <f>IF(Data!I212&gt;0,Data!I212,"")</f>
        <v/>
      </c>
      <c r="J212" s="1">
        <f>IF(Data!J212&gt;0,Data!J212,"")</f>
        <v/>
      </c>
      <c r="K212" s="1">
        <f>IF(Data!K212&gt;0,Data!K212,"")</f>
        <v/>
      </c>
      <c r="L212" s="1">
        <f>IF(Data!L212&gt;0,Data!L212,"")</f>
        <v/>
      </c>
      <c r="M212" s="1">
        <f>IF(Data!M212&gt;0,Data!M212,"")</f>
        <v/>
      </c>
      <c r="N212" s="1">
        <f>IF(Data!N212&gt;0,Data!N212,"")</f>
        <v/>
      </c>
      <c r="O212" s="1">
        <f>IF(Data!O212&gt;0,Data!O212,"")</f>
        <v/>
      </c>
      <c r="P212" s="1">
        <f>IF(Data!P212&gt;0,Data!P212,"")</f>
        <v/>
      </c>
      <c r="Q212" s="1">
        <f>IF(Data!Q212&gt;0,Data!Q212,"")</f>
        <v/>
      </c>
      <c r="R212" s="1">
        <f>IF(Data!R212&gt;0,Data!R212,"")</f>
        <v/>
      </c>
      <c r="S212" s="1">
        <f>IF(Data!S212&gt;0,Data!S212,"")</f>
        <v/>
      </c>
      <c r="V212" s="3">
        <f>IF(COUNT(D212,J212,K212,L212,M212,O212)&gt;0,AVERAGE(D212,J212,K212,L212,M212,O212),"")</f>
        <v/>
      </c>
      <c r="W212" s="3">
        <f>IF(COUNT(C212,F212,G212,N212,Q212)&gt;0,AVERAGE(C212,F212,G212,N212,Q212),"")</f>
        <v/>
      </c>
      <c r="X212" s="3">
        <f>IF(COUNT(B212,E212,H212,I212,P212,R212,S212)&gt;0,AVERAGE(B212,E212,H212,I212,P212,R212,S212),"")</f>
        <v/>
      </c>
      <c r="Y212" s="3" t="n"/>
      <c r="AJ212">
        <f>IFERROR(AVERAGEIF($A$4:$A$1004,AI212,$V$4:$V$1004),"")</f>
        <v/>
      </c>
      <c r="AK212">
        <f>IFERROR(AVERAGEIF($A$4:$A$1004,AI212,$W$4:$W$1004),"")</f>
        <v/>
      </c>
      <c r="AL212">
        <f>IFERROR(AVERAGEIF($A$4:$A$1004,AI212,$X$4:$X$1004),"")</f>
        <v/>
      </c>
    </row>
    <row r="213">
      <c r="A213" s="1">
        <f>IF(Data!A213&gt;0,Data!A213,"")</f>
        <v/>
      </c>
      <c r="B213" s="1">
        <f>IF(Data!B213&gt;0,Data!B213,"")</f>
        <v/>
      </c>
      <c r="C213" s="1">
        <f>IF(Data!C213&gt;0,Data!C213,"")</f>
        <v/>
      </c>
      <c r="D213" s="1">
        <f>IF(Data!D213&gt;0,Data!D213,"")</f>
        <v/>
      </c>
      <c r="E213" s="1">
        <f>IF(Data!E213&gt;0,Data!E213,"")</f>
        <v/>
      </c>
      <c r="F213" s="1">
        <f>IF(Data!F213&gt;0,Data!F213,"")</f>
        <v/>
      </c>
      <c r="G213" s="1">
        <f>IF(Data!G213&gt;0,Data!G213,"")</f>
        <v/>
      </c>
      <c r="H213" s="1">
        <f>IF(Data!H213&gt;0,Data!H213,"")</f>
        <v/>
      </c>
      <c r="I213" s="1">
        <f>IF(Data!I213&gt;0,Data!I213,"")</f>
        <v/>
      </c>
      <c r="J213" s="1">
        <f>IF(Data!J213&gt;0,Data!J213,"")</f>
        <v/>
      </c>
      <c r="K213" s="1">
        <f>IF(Data!K213&gt;0,Data!K213,"")</f>
        <v/>
      </c>
      <c r="L213" s="1">
        <f>IF(Data!L213&gt;0,Data!L213,"")</f>
        <v/>
      </c>
      <c r="M213" s="1">
        <f>IF(Data!M213&gt;0,Data!M213,"")</f>
        <v/>
      </c>
      <c r="N213" s="1">
        <f>IF(Data!N213&gt;0,Data!N213,"")</f>
        <v/>
      </c>
      <c r="O213" s="1">
        <f>IF(Data!O213&gt;0,Data!O213,"")</f>
        <v/>
      </c>
      <c r="P213" s="1">
        <f>IF(Data!P213&gt;0,Data!P213,"")</f>
        <v/>
      </c>
      <c r="Q213" s="1">
        <f>IF(Data!Q213&gt;0,Data!Q213,"")</f>
        <v/>
      </c>
      <c r="R213" s="1">
        <f>IF(Data!R213&gt;0,Data!R213,"")</f>
        <v/>
      </c>
      <c r="S213" s="1">
        <f>IF(Data!S213&gt;0,Data!S213,"")</f>
        <v/>
      </c>
      <c r="V213" s="3">
        <f>IF(COUNT(D213,J213,K213,L213,M213,O213)&gt;0,AVERAGE(D213,J213,K213,L213,M213,O213),"")</f>
        <v/>
      </c>
      <c r="W213" s="3">
        <f>IF(COUNT(C213,F213,G213,N213,Q213)&gt;0,AVERAGE(C213,F213,G213,N213,Q213),"")</f>
        <v/>
      </c>
      <c r="X213" s="3">
        <f>IF(COUNT(B213,E213,H213,I213,P213,R213,S213)&gt;0,AVERAGE(B213,E213,H213,I213,P213,R213,S213),"")</f>
        <v/>
      </c>
      <c r="Y213" s="3" t="n"/>
      <c r="AJ213">
        <f>IFERROR(AVERAGEIF($A$4:$A$1004,AI213,$V$4:$V$1004),"")</f>
        <v/>
      </c>
      <c r="AK213">
        <f>IFERROR(AVERAGEIF($A$4:$A$1004,AI213,$W$4:$W$1004),"")</f>
        <v/>
      </c>
      <c r="AL213">
        <f>IFERROR(AVERAGEIF($A$4:$A$1004,AI213,$X$4:$X$1004),"")</f>
        <v/>
      </c>
    </row>
    <row r="214">
      <c r="A214" s="1">
        <f>IF(Data!A214&gt;0,Data!A214,"")</f>
        <v/>
      </c>
      <c r="B214" s="1">
        <f>IF(Data!B214&gt;0,Data!B214,"")</f>
        <v/>
      </c>
      <c r="C214" s="1">
        <f>IF(Data!C214&gt;0,Data!C214,"")</f>
        <v/>
      </c>
      <c r="D214" s="1">
        <f>IF(Data!D214&gt;0,Data!D214,"")</f>
        <v/>
      </c>
      <c r="E214" s="1">
        <f>IF(Data!E214&gt;0,Data!E214,"")</f>
        <v/>
      </c>
      <c r="F214" s="1">
        <f>IF(Data!F214&gt;0,Data!F214,"")</f>
        <v/>
      </c>
      <c r="G214" s="1">
        <f>IF(Data!G214&gt;0,Data!G214,"")</f>
        <v/>
      </c>
      <c r="H214" s="1">
        <f>IF(Data!H214&gt;0,Data!H214,"")</f>
        <v/>
      </c>
      <c r="I214" s="1">
        <f>IF(Data!I214&gt;0,Data!I214,"")</f>
        <v/>
      </c>
      <c r="J214" s="1">
        <f>IF(Data!J214&gt;0,Data!J214,"")</f>
        <v/>
      </c>
      <c r="K214" s="1">
        <f>IF(Data!K214&gt;0,Data!K214,"")</f>
        <v/>
      </c>
      <c r="L214" s="1">
        <f>IF(Data!L214&gt;0,Data!L214,"")</f>
        <v/>
      </c>
      <c r="M214" s="1">
        <f>IF(Data!M214&gt;0,Data!M214,"")</f>
        <v/>
      </c>
      <c r="N214" s="1">
        <f>IF(Data!N214&gt;0,Data!N214,"")</f>
        <v/>
      </c>
      <c r="O214" s="1">
        <f>IF(Data!O214&gt;0,Data!O214,"")</f>
        <v/>
      </c>
      <c r="P214" s="1">
        <f>IF(Data!P214&gt;0,Data!P214,"")</f>
        <v/>
      </c>
      <c r="Q214" s="1">
        <f>IF(Data!Q214&gt;0,Data!Q214,"")</f>
        <v/>
      </c>
      <c r="R214" s="1">
        <f>IF(Data!R214&gt;0,Data!R214,"")</f>
        <v/>
      </c>
      <c r="S214" s="1">
        <f>IF(Data!S214&gt;0,Data!S214,"")</f>
        <v/>
      </c>
      <c r="V214" s="3">
        <f>IF(COUNT(D214,J214,K214,L214,M214,O214)&gt;0,AVERAGE(D214,J214,K214,L214,M214,O214),"")</f>
        <v/>
      </c>
      <c r="W214" s="3">
        <f>IF(COUNT(C214,F214,G214,N214,Q214)&gt;0,AVERAGE(C214,F214,G214,N214,Q214),"")</f>
        <v/>
      </c>
      <c r="X214" s="3">
        <f>IF(COUNT(B214,E214,H214,I214,P214,R214,S214)&gt;0,AVERAGE(B214,E214,H214,I214,P214,R214,S214),"")</f>
        <v/>
      </c>
      <c r="Y214" s="3" t="n"/>
      <c r="AJ214">
        <f>IFERROR(AVERAGEIF($A$4:$A$1004,AI214,$V$4:$V$1004),"")</f>
        <v/>
      </c>
      <c r="AK214">
        <f>IFERROR(AVERAGEIF($A$4:$A$1004,AI214,$W$4:$W$1004),"")</f>
        <v/>
      </c>
      <c r="AL214">
        <f>IFERROR(AVERAGEIF($A$4:$A$1004,AI214,$X$4:$X$1004),"")</f>
        <v/>
      </c>
    </row>
    <row r="215">
      <c r="A215" s="1">
        <f>IF(Data!A215&gt;0,Data!A215,"")</f>
        <v/>
      </c>
      <c r="B215" s="1">
        <f>IF(Data!B215&gt;0,Data!B215,"")</f>
        <v/>
      </c>
      <c r="C215" s="1">
        <f>IF(Data!C215&gt;0,Data!C215,"")</f>
        <v/>
      </c>
      <c r="D215" s="1">
        <f>IF(Data!D215&gt;0,Data!D215,"")</f>
        <v/>
      </c>
      <c r="E215" s="1">
        <f>IF(Data!E215&gt;0,Data!E215,"")</f>
        <v/>
      </c>
      <c r="F215" s="1">
        <f>IF(Data!F215&gt;0,Data!F215,"")</f>
        <v/>
      </c>
      <c r="G215" s="1">
        <f>IF(Data!G215&gt;0,Data!G215,"")</f>
        <v/>
      </c>
      <c r="H215" s="1">
        <f>IF(Data!H215&gt;0,Data!H215,"")</f>
        <v/>
      </c>
      <c r="I215" s="1">
        <f>IF(Data!I215&gt;0,Data!I215,"")</f>
        <v/>
      </c>
      <c r="J215" s="1">
        <f>IF(Data!J215&gt;0,Data!J215,"")</f>
        <v/>
      </c>
      <c r="K215" s="1">
        <f>IF(Data!K215&gt;0,Data!K215,"")</f>
        <v/>
      </c>
      <c r="L215" s="1">
        <f>IF(Data!L215&gt;0,Data!L215,"")</f>
        <v/>
      </c>
      <c r="M215" s="1">
        <f>IF(Data!M215&gt;0,Data!M215,"")</f>
        <v/>
      </c>
      <c r="N215" s="1">
        <f>IF(Data!N215&gt;0,Data!N215,"")</f>
        <v/>
      </c>
      <c r="O215" s="1">
        <f>IF(Data!O215&gt;0,Data!O215,"")</f>
        <v/>
      </c>
      <c r="P215" s="1">
        <f>IF(Data!P215&gt;0,Data!P215,"")</f>
        <v/>
      </c>
      <c r="Q215" s="1">
        <f>IF(Data!Q215&gt;0,Data!Q215,"")</f>
        <v/>
      </c>
      <c r="R215" s="1">
        <f>IF(Data!R215&gt;0,Data!R215,"")</f>
        <v/>
      </c>
      <c r="S215" s="1">
        <f>IF(Data!S215&gt;0,Data!S215,"")</f>
        <v/>
      </c>
      <c r="V215" s="3">
        <f>IF(COUNT(D215,J215,K215,L215,M215,O215)&gt;0,AVERAGE(D215,J215,K215,L215,M215,O215),"")</f>
        <v/>
      </c>
      <c r="W215" s="3">
        <f>IF(COUNT(C215,F215,G215,N215,Q215)&gt;0,AVERAGE(C215,F215,G215,N215,Q215),"")</f>
        <v/>
      </c>
      <c r="X215" s="3">
        <f>IF(COUNT(B215,E215,H215,I215,P215,R215,S215)&gt;0,AVERAGE(B215,E215,H215,I215,P215,R215,S215),"")</f>
        <v/>
      </c>
      <c r="Y215" s="3" t="n"/>
      <c r="AJ215">
        <f>IFERROR(AVERAGEIF($A$4:$A$1004,AI215,$V$4:$V$1004),"")</f>
        <v/>
      </c>
      <c r="AK215">
        <f>IFERROR(AVERAGEIF($A$4:$A$1004,AI215,$W$4:$W$1004),"")</f>
        <v/>
      </c>
      <c r="AL215">
        <f>IFERROR(AVERAGEIF($A$4:$A$1004,AI215,$X$4:$X$1004),"")</f>
        <v/>
      </c>
    </row>
    <row r="216">
      <c r="A216" s="1">
        <f>IF(Data!A216&gt;0,Data!A216,"")</f>
        <v/>
      </c>
      <c r="B216" s="1">
        <f>IF(Data!B216&gt;0,Data!B216,"")</f>
        <v/>
      </c>
      <c r="C216" s="1">
        <f>IF(Data!C216&gt;0,Data!C216,"")</f>
        <v/>
      </c>
      <c r="D216" s="1">
        <f>IF(Data!D216&gt;0,Data!D216,"")</f>
        <v/>
      </c>
      <c r="E216" s="1">
        <f>IF(Data!E216&gt;0,Data!E216,"")</f>
        <v/>
      </c>
      <c r="F216" s="1">
        <f>IF(Data!F216&gt;0,Data!F216,"")</f>
        <v/>
      </c>
      <c r="G216" s="1">
        <f>IF(Data!G216&gt;0,Data!G216,"")</f>
        <v/>
      </c>
      <c r="H216" s="1">
        <f>IF(Data!H216&gt;0,Data!H216,"")</f>
        <v/>
      </c>
      <c r="I216" s="1">
        <f>IF(Data!I216&gt;0,Data!I216,"")</f>
        <v/>
      </c>
      <c r="J216" s="1">
        <f>IF(Data!J216&gt;0,Data!J216,"")</f>
        <v/>
      </c>
      <c r="K216" s="1">
        <f>IF(Data!K216&gt;0,Data!K216,"")</f>
        <v/>
      </c>
      <c r="L216" s="1">
        <f>IF(Data!L216&gt;0,Data!L216,"")</f>
        <v/>
      </c>
      <c r="M216" s="1">
        <f>IF(Data!M216&gt;0,Data!M216,"")</f>
        <v/>
      </c>
      <c r="N216" s="1">
        <f>IF(Data!N216&gt;0,Data!N216,"")</f>
        <v/>
      </c>
      <c r="O216" s="1">
        <f>IF(Data!O216&gt;0,Data!O216,"")</f>
        <v/>
      </c>
      <c r="P216" s="1">
        <f>IF(Data!P216&gt;0,Data!P216,"")</f>
        <v/>
      </c>
      <c r="Q216" s="1">
        <f>IF(Data!Q216&gt;0,Data!Q216,"")</f>
        <v/>
      </c>
      <c r="R216" s="1">
        <f>IF(Data!R216&gt;0,Data!R216,"")</f>
        <v/>
      </c>
      <c r="S216" s="1">
        <f>IF(Data!S216&gt;0,Data!S216,"")</f>
        <v/>
      </c>
      <c r="V216" s="3">
        <f>IF(COUNT(D216,J216,K216,L216,M216,O216)&gt;0,AVERAGE(D216,J216,K216,L216,M216,O216),"")</f>
        <v/>
      </c>
      <c r="W216" s="3">
        <f>IF(COUNT(C216,F216,G216,N216,Q216)&gt;0,AVERAGE(C216,F216,G216,N216,Q216),"")</f>
        <v/>
      </c>
      <c r="X216" s="3">
        <f>IF(COUNT(B216,E216,H216,I216,P216,R216,S216)&gt;0,AVERAGE(B216,E216,H216,I216,P216,R216,S216),"")</f>
        <v/>
      </c>
      <c r="Y216" s="3" t="n"/>
      <c r="AJ216">
        <f>IFERROR(AVERAGEIF($A$4:$A$1004,AI216,$V$4:$V$1004),"")</f>
        <v/>
      </c>
      <c r="AK216">
        <f>IFERROR(AVERAGEIF($A$4:$A$1004,AI216,$W$4:$W$1004),"")</f>
        <v/>
      </c>
      <c r="AL216">
        <f>IFERROR(AVERAGEIF($A$4:$A$1004,AI216,$X$4:$X$1004),"")</f>
        <v/>
      </c>
    </row>
    <row r="217">
      <c r="A217" s="1">
        <f>IF(Data!A217&gt;0,Data!A217,"")</f>
        <v/>
      </c>
      <c r="B217" s="1">
        <f>IF(Data!B217&gt;0,Data!B217,"")</f>
        <v/>
      </c>
      <c r="C217" s="1">
        <f>IF(Data!C217&gt;0,Data!C217,"")</f>
        <v/>
      </c>
      <c r="D217" s="1">
        <f>IF(Data!D217&gt;0,Data!D217,"")</f>
        <v/>
      </c>
      <c r="E217" s="1">
        <f>IF(Data!E217&gt;0,Data!E217,"")</f>
        <v/>
      </c>
      <c r="F217" s="1">
        <f>IF(Data!F217&gt;0,Data!F217,"")</f>
        <v/>
      </c>
      <c r="G217" s="1">
        <f>IF(Data!G217&gt;0,Data!G217,"")</f>
        <v/>
      </c>
      <c r="H217" s="1">
        <f>IF(Data!H217&gt;0,Data!H217,"")</f>
        <v/>
      </c>
      <c r="I217" s="1">
        <f>IF(Data!I217&gt;0,Data!I217,"")</f>
        <v/>
      </c>
      <c r="J217" s="1">
        <f>IF(Data!J217&gt;0,Data!J217,"")</f>
        <v/>
      </c>
      <c r="K217" s="1">
        <f>IF(Data!K217&gt;0,Data!K217,"")</f>
        <v/>
      </c>
      <c r="L217" s="1">
        <f>IF(Data!L217&gt;0,Data!L217,"")</f>
        <v/>
      </c>
      <c r="M217" s="1">
        <f>IF(Data!M217&gt;0,Data!M217,"")</f>
        <v/>
      </c>
      <c r="N217" s="1">
        <f>IF(Data!N217&gt;0,Data!N217,"")</f>
        <v/>
      </c>
      <c r="O217" s="1">
        <f>IF(Data!O217&gt;0,Data!O217,"")</f>
        <v/>
      </c>
      <c r="P217" s="1">
        <f>IF(Data!P217&gt;0,Data!P217,"")</f>
        <v/>
      </c>
      <c r="Q217" s="1">
        <f>IF(Data!Q217&gt;0,Data!Q217,"")</f>
        <v/>
      </c>
      <c r="R217" s="1">
        <f>IF(Data!R217&gt;0,Data!R217,"")</f>
        <v/>
      </c>
      <c r="S217" s="1">
        <f>IF(Data!S217&gt;0,Data!S217,"")</f>
        <v/>
      </c>
      <c r="V217" s="3">
        <f>IF(COUNT(D217,J217,K217,L217,M217,O217)&gt;0,AVERAGE(D217,J217,K217,L217,M217,O217),"")</f>
        <v/>
      </c>
      <c r="W217" s="3">
        <f>IF(COUNT(C217,F217,G217,N217,Q217)&gt;0,AVERAGE(C217,F217,G217,N217,Q217),"")</f>
        <v/>
      </c>
      <c r="X217" s="3">
        <f>IF(COUNT(B217,E217,H217,I217,P217,R217,S217)&gt;0,AVERAGE(B217,E217,H217,I217,P217,R217,S217),"")</f>
        <v/>
      </c>
      <c r="Y217" s="3" t="n"/>
      <c r="AJ217">
        <f>IFERROR(AVERAGEIF($A$4:$A$1004,AI217,$V$4:$V$1004),"")</f>
        <v/>
      </c>
      <c r="AK217">
        <f>IFERROR(AVERAGEIF($A$4:$A$1004,AI217,$W$4:$W$1004),"")</f>
        <v/>
      </c>
      <c r="AL217">
        <f>IFERROR(AVERAGEIF($A$4:$A$1004,AI217,$X$4:$X$1004),"")</f>
        <v/>
      </c>
    </row>
    <row r="218">
      <c r="A218" s="1">
        <f>IF(Data!A218&gt;0,Data!A218,"")</f>
        <v/>
      </c>
      <c r="B218" s="1">
        <f>IF(Data!B218&gt;0,Data!B218,"")</f>
        <v/>
      </c>
      <c r="C218" s="1">
        <f>IF(Data!C218&gt;0,Data!C218,"")</f>
        <v/>
      </c>
      <c r="D218" s="1">
        <f>IF(Data!D218&gt;0,Data!D218,"")</f>
        <v/>
      </c>
      <c r="E218" s="1">
        <f>IF(Data!E218&gt;0,Data!E218,"")</f>
        <v/>
      </c>
      <c r="F218" s="1">
        <f>IF(Data!F218&gt;0,Data!F218,"")</f>
        <v/>
      </c>
      <c r="G218" s="1">
        <f>IF(Data!G218&gt;0,Data!G218,"")</f>
        <v/>
      </c>
      <c r="H218" s="1">
        <f>IF(Data!H218&gt;0,Data!H218,"")</f>
        <v/>
      </c>
      <c r="I218" s="1">
        <f>IF(Data!I218&gt;0,Data!I218,"")</f>
        <v/>
      </c>
      <c r="J218" s="1">
        <f>IF(Data!J218&gt;0,Data!J218,"")</f>
        <v/>
      </c>
      <c r="K218" s="1">
        <f>IF(Data!K218&gt;0,Data!K218,"")</f>
        <v/>
      </c>
      <c r="L218" s="1">
        <f>IF(Data!L218&gt;0,Data!L218,"")</f>
        <v/>
      </c>
      <c r="M218" s="1">
        <f>IF(Data!M218&gt;0,Data!M218,"")</f>
        <v/>
      </c>
      <c r="N218" s="1">
        <f>IF(Data!N218&gt;0,Data!N218,"")</f>
        <v/>
      </c>
      <c r="O218" s="1">
        <f>IF(Data!O218&gt;0,Data!O218,"")</f>
        <v/>
      </c>
      <c r="P218" s="1">
        <f>IF(Data!P218&gt;0,Data!P218,"")</f>
        <v/>
      </c>
      <c r="Q218" s="1">
        <f>IF(Data!Q218&gt;0,Data!Q218,"")</f>
        <v/>
      </c>
      <c r="R218" s="1">
        <f>IF(Data!R218&gt;0,Data!R218,"")</f>
        <v/>
      </c>
      <c r="S218" s="1">
        <f>IF(Data!S218&gt;0,Data!S218,"")</f>
        <v/>
      </c>
      <c r="V218" s="3">
        <f>IF(COUNT(D218,J218,K218,L218,M218,O218)&gt;0,AVERAGE(D218,J218,K218,L218,M218,O218),"")</f>
        <v/>
      </c>
      <c r="W218" s="3">
        <f>IF(COUNT(C218,F218,G218,N218,Q218)&gt;0,AVERAGE(C218,F218,G218,N218,Q218),"")</f>
        <v/>
      </c>
      <c r="X218" s="3">
        <f>IF(COUNT(B218,E218,H218,I218,P218,R218,S218)&gt;0,AVERAGE(B218,E218,H218,I218,P218,R218,S218),"")</f>
        <v/>
      </c>
      <c r="Y218" s="3" t="n"/>
      <c r="AJ218">
        <f>IFERROR(AVERAGEIF($A$4:$A$1004,AI218,$V$4:$V$1004),"")</f>
        <v/>
      </c>
      <c r="AK218">
        <f>IFERROR(AVERAGEIF($A$4:$A$1004,AI218,$W$4:$W$1004),"")</f>
        <v/>
      </c>
      <c r="AL218">
        <f>IFERROR(AVERAGEIF($A$4:$A$1004,AI218,$X$4:$X$1004),"")</f>
        <v/>
      </c>
    </row>
    <row r="219">
      <c r="A219" s="1">
        <f>IF(Data!A219&gt;0,Data!A219,"")</f>
        <v/>
      </c>
      <c r="B219" s="1">
        <f>IF(Data!B219&gt;0,Data!B219,"")</f>
        <v/>
      </c>
      <c r="C219" s="1">
        <f>IF(Data!C219&gt;0,Data!C219,"")</f>
        <v/>
      </c>
      <c r="D219" s="1">
        <f>IF(Data!D219&gt;0,Data!D219,"")</f>
        <v/>
      </c>
      <c r="E219" s="1">
        <f>IF(Data!E219&gt;0,Data!E219,"")</f>
        <v/>
      </c>
      <c r="F219" s="1">
        <f>IF(Data!F219&gt;0,Data!F219,"")</f>
        <v/>
      </c>
      <c r="G219" s="1">
        <f>IF(Data!G219&gt;0,Data!G219,"")</f>
        <v/>
      </c>
      <c r="H219" s="1">
        <f>IF(Data!H219&gt;0,Data!H219,"")</f>
        <v/>
      </c>
      <c r="I219" s="1">
        <f>IF(Data!I219&gt;0,Data!I219,"")</f>
        <v/>
      </c>
      <c r="J219" s="1">
        <f>IF(Data!J219&gt;0,Data!J219,"")</f>
        <v/>
      </c>
      <c r="K219" s="1">
        <f>IF(Data!K219&gt;0,Data!K219,"")</f>
        <v/>
      </c>
      <c r="L219" s="1">
        <f>IF(Data!L219&gt;0,Data!L219,"")</f>
        <v/>
      </c>
      <c r="M219" s="1">
        <f>IF(Data!M219&gt;0,Data!M219,"")</f>
        <v/>
      </c>
      <c r="N219" s="1">
        <f>IF(Data!N219&gt;0,Data!N219,"")</f>
        <v/>
      </c>
      <c r="O219" s="1">
        <f>IF(Data!O219&gt;0,Data!O219,"")</f>
        <v/>
      </c>
      <c r="P219" s="1">
        <f>IF(Data!P219&gt;0,Data!P219,"")</f>
        <v/>
      </c>
      <c r="Q219" s="1">
        <f>IF(Data!Q219&gt;0,Data!Q219,"")</f>
        <v/>
      </c>
      <c r="R219" s="1">
        <f>IF(Data!R219&gt;0,Data!R219,"")</f>
        <v/>
      </c>
      <c r="S219" s="1">
        <f>IF(Data!S219&gt;0,Data!S219,"")</f>
        <v/>
      </c>
      <c r="V219" s="3">
        <f>IF(COUNT(D219,J219,K219,L219,M219,O219)&gt;0,AVERAGE(D219,J219,K219,L219,M219,O219),"")</f>
        <v/>
      </c>
      <c r="W219" s="3">
        <f>IF(COUNT(C219,F219,G219,N219,Q219)&gt;0,AVERAGE(C219,F219,G219,N219,Q219),"")</f>
        <v/>
      </c>
      <c r="X219" s="3">
        <f>IF(COUNT(B219,E219,H219,I219,P219,R219,S219)&gt;0,AVERAGE(B219,E219,H219,I219,P219,R219,S219),"")</f>
        <v/>
      </c>
      <c r="Y219" s="3" t="n"/>
      <c r="AJ219">
        <f>IFERROR(AVERAGEIF($A$4:$A$1004,AI219,$V$4:$V$1004),"")</f>
        <v/>
      </c>
      <c r="AK219">
        <f>IFERROR(AVERAGEIF($A$4:$A$1004,AI219,$W$4:$W$1004),"")</f>
        <v/>
      </c>
      <c r="AL219">
        <f>IFERROR(AVERAGEIF($A$4:$A$1004,AI219,$X$4:$X$1004),"")</f>
        <v/>
      </c>
    </row>
    <row r="220">
      <c r="A220" s="1">
        <f>IF(Data!A220&gt;0,Data!A220,"")</f>
        <v/>
      </c>
      <c r="B220" s="1">
        <f>IF(Data!B220&gt;0,Data!B220,"")</f>
        <v/>
      </c>
      <c r="C220" s="1">
        <f>IF(Data!C220&gt;0,Data!C220,"")</f>
        <v/>
      </c>
      <c r="D220" s="1">
        <f>IF(Data!D220&gt;0,Data!D220,"")</f>
        <v/>
      </c>
      <c r="E220" s="1">
        <f>IF(Data!E220&gt;0,Data!E220,"")</f>
        <v/>
      </c>
      <c r="F220" s="1">
        <f>IF(Data!F220&gt;0,Data!F220,"")</f>
        <v/>
      </c>
      <c r="G220" s="1">
        <f>IF(Data!G220&gt;0,Data!G220,"")</f>
        <v/>
      </c>
      <c r="H220" s="1">
        <f>IF(Data!H220&gt;0,Data!H220,"")</f>
        <v/>
      </c>
      <c r="I220" s="1">
        <f>IF(Data!I220&gt;0,Data!I220,"")</f>
        <v/>
      </c>
      <c r="J220" s="1">
        <f>IF(Data!J220&gt;0,Data!J220,"")</f>
        <v/>
      </c>
      <c r="K220" s="1">
        <f>IF(Data!K220&gt;0,Data!K220,"")</f>
        <v/>
      </c>
      <c r="L220" s="1">
        <f>IF(Data!L220&gt;0,Data!L220,"")</f>
        <v/>
      </c>
      <c r="M220" s="1">
        <f>IF(Data!M220&gt;0,Data!M220,"")</f>
        <v/>
      </c>
      <c r="N220" s="1">
        <f>IF(Data!N220&gt;0,Data!N220,"")</f>
        <v/>
      </c>
      <c r="O220" s="1">
        <f>IF(Data!O220&gt;0,Data!O220,"")</f>
        <v/>
      </c>
      <c r="P220" s="1">
        <f>IF(Data!P220&gt;0,Data!P220,"")</f>
        <v/>
      </c>
      <c r="Q220" s="1">
        <f>IF(Data!Q220&gt;0,Data!Q220,"")</f>
        <v/>
      </c>
      <c r="R220" s="1">
        <f>IF(Data!R220&gt;0,Data!R220,"")</f>
        <v/>
      </c>
      <c r="S220" s="1">
        <f>IF(Data!S220&gt;0,Data!S220,"")</f>
        <v/>
      </c>
      <c r="V220" s="3">
        <f>IF(COUNT(D220,J220,K220,L220,M220,O220)&gt;0,AVERAGE(D220,J220,K220,L220,M220,O220),"")</f>
        <v/>
      </c>
      <c r="W220" s="3">
        <f>IF(COUNT(C220,F220,G220,N220,Q220)&gt;0,AVERAGE(C220,F220,G220,N220,Q220),"")</f>
        <v/>
      </c>
      <c r="X220" s="3">
        <f>IF(COUNT(B220,E220,H220,I220,P220,R220,S220)&gt;0,AVERAGE(B220,E220,H220,I220,P220,R220,S220),"")</f>
        <v/>
      </c>
      <c r="Y220" s="3" t="n"/>
      <c r="AJ220">
        <f>IFERROR(AVERAGEIF($A$4:$A$1004,AI220,$V$4:$V$1004),"")</f>
        <v/>
      </c>
      <c r="AK220">
        <f>IFERROR(AVERAGEIF($A$4:$A$1004,AI220,$W$4:$W$1004),"")</f>
        <v/>
      </c>
      <c r="AL220">
        <f>IFERROR(AVERAGEIF($A$4:$A$1004,AI220,$X$4:$X$1004),"")</f>
        <v/>
      </c>
    </row>
    <row r="221">
      <c r="A221" s="1">
        <f>IF(Data!A221&gt;0,Data!A221,"")</f>
        <v/>
      </c>
      <c r="B221" s="1">
        <f>IF(Data!B221&gt;0,Data!B221,"")</f>
        <v/>
      </c>
      <c r="C221" s="1">
        <f>IF(Data!C221&gt;0,Data!C221,"")</f>
        <v/>
      </c>
      <c r="D221" s="1">
        <f>IF(Data!D221&gt;0,Data!D221,"")</f>
        <v/>
      </c>
      <c r="E221" s="1">
        <f>IF(Data!E221&gt;0,Data!E221,"")</f>
        <v/>
      </c>
      <c r="F221" s="1">
        <f>IF(Data!F221&gt;0,Data!F221,"")</f>
        <v/>
      </c>
      <c r="G221" s="1">
        <f>IF(Data!G221&gt;0,Data!G221,"")</f>
        <v/>
      </c>
      <c r="H221" s="1">
        <f>IF(Data!H221&gt;0,Data!H221,"")</f>
        <v/>
      </c>
      <c r="I221" s="1">
        <f>IF(Data!I221&gt;0,Data!I221,"")</f>
        <v/>
      </c>
      <c r="J221" s="1">
        <f>IF(Data!J221&gt;0,Data!J221,"")</f>
        <v/>
      </c>
      <c r="K221" s="1">
        <f>IF(Data!K221&gt;0,Data!K221,"")</f>
        <v/>
      </c>
      <c r="L221" s="1">
        <f>IF(Data!L221&gt;0,Data!L221,"")</f>
        <v/>
      </c>
      <c r="M221" s="1">
        <f>IF(Data!M221&gt;0,Data!M221,"")</f>
        <v/>
      </c>
      <c r="N221" s="1">
        <f>IF(Data!N221&gt;0,Data!N221,"")</f>
        <v/>
      </c>
      <c r="O221" s="1">
        <f>IF(Data!O221&gt;0,Data!O221,"")</f>
        <v/>
      </c>
      <c r="P221" s="1">
        <f>IF(Data!P221&gt;0,Data!P221,"")</f>
        <v/>
      </c>
      <c r="Q221" s="1">
        <f>IF(Data!Q221&gt;0,Data!Q221,"")</f>
        <v/>
      </c>
      <c r="R221" s="1">
        <f>IF(Data!R221&gt;0,Data!R221,"")</f>
        <v/>
      </c>
      <c r="S221" s="1">
        <f>IF(Data!S221&gt;0,Data!S221,"")</f>
        <v/>
      </c>
      <c r="V221" s="3">
        <f>IF(COUNT(D221,J221,K221,L221,M221,O221)&gt;0,AVERAGE(D221,J221,K221,L221,M221,O221),"")</f>
        <v/>
      </c>
      <c r="W221" s="3">
        <f>IF(COUNT(C221,F221,G221,N221,Q221)&gt;0,AVERAGE(C221,F221,G221,N221,Q221),"")</f>
        <v/>
      </c>
      <c r="X221" s="3">
        <f>IF(COUNT(B221,E221,H221,I221,P221,R221,S221)&gt;0,AVERAGE(B221,E221,H221,I221,P221,R221,S221),"")</f>
        <v/>
      </c>
      <c r="Y221" s="3" t="n"/>
      <c r="AJ221">
        <f>IFERROR(AVERAGEIF($A$4:$A$1004,AI221,$V$4:$V$1004),"")</f>
        <v/>
      </c>
      <c r="AK221">
        <f>IFERROR(AVERAGEIF($A$4:$A$1004,AI221,$W$4:$W$1004),"")</f>
        <v/>
      </c>
      <c r="AL221">
        <f>IFERROR(AVERAGEIF($A$4:$A$1004,AI221,$X$4:$X$1004),"")</f>
        <v/>
      </c>
    </row>
    <row r="222">
      <c r="A222" s="1">
        <f>IF(Data!A222&gt;0,Data!A222,"")</f>
        <v/>
      </c>
      <c r="B222" s="1">
        <f>IF(Data!B222&gt;0,Data!B222,"")</f>
        <v/>
      </c>
      <c r="C222" s="1">
        <f>IF(Data!C222&gt;0,Data!C222,"")</f>
        <v/>
      </c>
      <c r="D222" s="1">
        <f>IF(Data!D222&gt;0,Data!D222,"")</f>
        <v/>
      </c>
      <c r="E222" s="1">
        <f>IF(Data!E222&gt;0,Data!E222,"")</f>
        <v/>
      </c>
      <c r="F222" s="1">
        <f>IF(Data!F222&gt;0,Data!F222,"")</f>
        <v/>
      </c>
      <c r="G222" s="1">
        <f>IF(Data!G222&gt;0,Data!G222,"")</f>
        <v/>
      </c>
      <c r="H222" s="1">
        <f>IF(Data!H222&gt;0,Data!H222,"")</f>
        <v/>
      </c>
      <c r="I222" s="1">
        <f>IF(Data!I222&gt;0,Data!I222,"")</f>
        <v/>
      </c>
      <c r="J222" s="1">
        <f>IF(Data!J222&gt;0,Data!J222,"")</f>
        <v/>
      </c>
      <c r="K222" s="1">
        <f>IF(Data!K222&gt;0,Data!K222,"")</f>
        <v/>
      </c>
      <c r="L222" s="1">
        <f>IF(Data!L222&gt;0,Data!L222,"")</f>
        <v/>
      </c>
      <c r="M222" s="1">
        <f>IF(Data!M222&gt;0,Data!M222,"")</f>
        <v/>
      </c>
      <c r="N222" s="1">
        <f>IF(Data!N222&gt;0,Data!N222,"")</f>
        <v/>
      </c>
      <c r="O222" s="1">
        <f>IF(Data!O222&gt;0,Data!O222,"")</f>
        <v/>
      </c>
      <c r="P222" s="1">
        <f>IF(Data!P222&gt;0,Data!P222,"")</f>
        <v/>
      </c>
      <c r="Q222" s="1">
        <f>IF(Data!Q222&gt;0,Data!Q222,"")</f>
        <v/>
      </c>
      <c r="R222" s="1">
        <f>IF(Data!R222&gt;0,Data!R222,"")</f>
        <v/>
      </c>
      <c r="S222" s="1">
        <f>IF(Data!S222&gt;0,Data!S222,"")</f>
        <v/>
      </c>
      <c r="V222" s="3">
        <f>IF(COUNT(D222,J222,K222,L222,M222,O222)&gt;0,AVERAGE(D222,J222,K222,L222,M222,O222),"")</f>
        <v/>
      </c>
      <c r="W222" s="3">
        <f>IF(COUNT(C222,F222,G222,N222,Q222)&gt;0,AVERAGE(C222,F222,G222,N222,Q222),"")</f>
        <v/>
      </c>
      <c r="X222" s="3">
        <f>IF(COUNT(B222,E222,H222,I222,P222,R222,S222)&gt;0,AVERAGE(B222,E222,H222,I222,P222,R222,S222),"")</f>
        <v/>
      </c>
      <c r="Y222" s="3" t="n"/>
      <c r="AJ222">
        <f>IFERROR(AVERAGEIF($A$4:$A$1004,AI222,$V$4:$V$1004),"")</f>
        <v/>
      </c>
      <c r="AK222">
        <f>IFERROR(AVERAGEIF($A$4:$A$1004,AI222,$W$4:$W$1004),"")</f>
        <v/>
      </c>
      <c r="AL222">
        <f>IFERROR(AVERAGEIF($A$4:$A$1004,AI222,$X$4:$X$1004),"")</f>
        <v/>
      </c>
    </row>
    <row r="223">
      <c r="A223" s="1">
        <f>IF(Data!A223&gt;0,Data!A223,"")</f>
        <v/>
      </c>
      <c r="B223" s="1">
        <f>IF(Data!B223&gt;0,Data!B223,"")</f>
        <v/>
      </c>
      <c r="C223" s="1">
        <f>IF(Data!C223&gt;0,Data!C223,"")</f>
        <v/>
      </c>
      <c r="D223" s="1">
        <f>IF(Data!D223&gt;0,Data!D223,"")</f>
        <v/>
      </c>
      <c r="E223" s="1">
        <f>IF(Data!E223&gt;0,Data!E223,"")</f>
        <v/>
      </c>
      <c r="F223" s="1">
        <f>IF(Data!F223&gt;0,Data!F223,"")</f>
        <v/>
      </c>
      <c r="G223" s="1">
        <f>IF(Data!G223&gt;0,Data!G223,"")</f>
        <v/>
      </c>
      <c r="H223" s="1">
        <f>IF(Data!H223&gt;0,Data!H223,"")</f>
        <v/>
      </c>
      <c r="I223" s="1">
        <f>IF(Data!I223&gt;0,Data!I223,"")</f>
        <v/>
      </c>
      <c r="J223" s="1">
        <f>IF(Data!J223&gt;0,Data!J223,"")</f>
        <v/>
      </c>
      <c r="K223" s="1">
        <f>IF(Data!K223&gt;0,Data!K223,"")</f>
        <v/>
      </c>
      <c r="L223" s="1">
        <f>IF(Data!L223&gt;0,Data!L223,"")</f>
        <v/>
      </c>
      <c r="M223" s="1">
        <f>IF(Data!M223&gt;0,Data!M223,"")</f>
        <v/>
      </c>
      <c r="N223" s="1">
        <f>IF(Data!N223&gt;0,Data!N223,"")</f>
        <v/>
      </c>
      <c r="O223" s="1">
        <f>IF(Data!O223&gt;0,Data!O223,"")</f>
        <v/>
      </c>
      <c r="P223" s="1">
        <f>IF(Data!P223&gt;0,Data!P223,"")</f>
        <v/>
      </c>
      <c r="Q223" s="1">
        <f>IF(Data!Q223&gt;0,Data!Q223,"")</f>
        <v/>
      </c>
      <c r="R223" s="1">
        <f>IF(Data!R223&gt;0,Data!R223,"")</f>
        <v/>
      </c>
      <c r="S223" s="1">
        <f>IF(Data!S223&gt;0,Data!S223,"")</f>
        <v/>
      </c>
      <c r="V223" s="3">
        <f>IF(COUNT(D223,J223,K223,L223,M223,O223)&gt;0,AVERAGE(D223,J223,K223,L223,M223,O223),"")</f>
        <v/>
      </c>
      <c r="W223" s="3">
        <f>IF(COUNT(C223,F223,G223,N223,Q223)&gt;0,AVERAGE(C223,F223,G223,N223,Q223),"")</f>
        <v/>
      </c>
      <c r="X223" s="3">
        <f>IF(COUNT(B223,E223,H223,I223,P223,R223,S223)&gt;0,AVERAGE(B223,E223,H223,I223,P223,R223,S223),"")</f>
        <v/>
      </c>
      <c r="Y223" s="3" t="n"/>
      <c r="AJ223">
        <f>IFERROR(AVERAGEIF($A$4:$A$1004,AI223,$V$4:$V$1004),"")</f>
        <v/>
      </c>
      <c r="AK223">
        <f>IFERROR(AVERAGEIF($A$4:$A$1004,AI223,$W$4:$W$1004),"")</f>
        <v/>
      </c>
      <c r="AL223">
        <f>IFERROR(AVERAGEIF($A$4:$A$1004,AI223,$X$4:$X$1004),"")</f>
        <v/>
      </c>
    </row>
    <row r="224">
      <c r="A224" s="1">
        <f>IF(Data!A224&gt;0,Data!A224,"")</f>
        <v/>
      </c>
      <c r="B224" s="1">
        <f>IF(Data!B224&gt;0,Data!B224,"")</f>
        <v/>
      </c>
      <c r="C224" s="1">
        <f>IF(Data!C224&gt;0,Data!C224,"")</f>
        <v/>
      </c>
      <c r="D224" s="1">
        <f>IF(Data!D224&gt;0,Data!D224,"")</f>
        <v/>
      </c>
      <c r="E224" s="1">
        <f>IF(Data!E224&gt;0,Data!E224,"")</f>
        <v/>
      </c>
      <c r="F224" s="1">
        <f>IF(Data!F224&gt;0,Data!F224,"")</f>
        <v/>
      </c>
      <c r="G224" s="1">
        <f>IF(Data!G224&gt;0,Data!G224,"")</f>
        <v/>
      </c>
      <c r="H224" s="1">
        <f>IF(Data!H224&gt;0,Data!H224,"")</f>
        <v/>
      </c>
      <c r="I224" s="1">
        <f>IF(Data!I224&gt;0,Data!I224,"")</f>
        <v/>
      </c>
      <c r="J224" s="1">
        <f>IF(Data!J224&gt;0,Data!J224,"")</f>
        <v/>
      </c>
      <c r="K224" s="1">
        <f>IF(Data!K224&gt;0,Data!K224,"")</f>
        <v/>
      </c>
      <c r="L224" s="1">
        <f>IF(Data!L224&gt;0,Data!L224,"")</f>
        <v/>
      </c>
      <c r="M224" s="1">
        <f>IF(Data!M224&gt;0,Data!M224,"")</f>
        <v/>
      </c>
      <c r="N224" s="1">
        <f>IF(Data!N224&gt;0,Data!N224,"")</f>
        <v/>
      </c>
      <c r="O224" s="1">
        <f>IF(Data!O224&gt;0,Data!O224,"")</f>
        <v/>
      </c>
      <c r="P224" s="1">
        <f>IF(Data!P224&gt;0,Data!P224,"")</f>
        <v/>
      </c>
      <c r="Q224" s="1">
        <f>IF(Data!Q224&gt;0,Data!Q224,"")</f>
        <v/>
      </c>
      <c r="R224" s="1">
        <f>IF(Data!R224&gt;0,Data!R224,"")</f>
        <v/>
      </c>
      <c r="S224" s="1">
        <f>IF(Data!S224&gt;0,Data!S224,"")</f>
        <v/>
      </c>
      <c r="V224" s="3">
        <f>IF(COUNT(D224,J224,K224,L224,M224,O224)&gt;0,AVERAGE(D224,J224,K224,L224,M224,O224),"")</f>
        <v/>
      </c>
      <c r="W224" s="3">
        <f>IF(COUNT(C224,F224,G224,N224,Q224)&gt;0,AVERAGE(C224,F224,G224,N224,Q224),"")</f>
        <v/>
      </c>
      <c r="X224" s="3">
        <f>IF(COUNT(B224,E224,H224,I224,P224,R224,S224)&gt;0,AVERAGE(B224,E224,H224,I224,P224,R224,S224),"")</f>
        <v/>
      </c>
      <c r="Y224" s="3" t="n"/>
      <c r="AJ224">
        <f>IFERROR(AVERAGEIF($A$4:$A$1004,AI224,$V$4:$V$1004),"")</f>
        <v/>
      </c>
      <c r="AK224">
        <f>IFERROR(AVERAGEIF($A$4:$A$1004,AI224,$W$4:$W$1004),"")</f>
        <v/>
      </c>
      <c r="AL224">
        <f>IFERROR(AVERAGEIF($A$4:$A$1004,AI224,$X$4:$X$1004),"")</f>
        <v/>
      </c>
    </row>
    <row r="225">
      <c r="A225" s="1">
        <f>IF(Data!A225&gt;0,Data!A225,"")</f>
        <v/>
      </c>
      <c r="B225" s="1">
        <f>IF(Data!B225&gt;0,Data!B225,"")</f>
        <v/>
      </c>
      <c r="C225" s="1">
        <f>IF(Data!C225&gt;0,Data!C225,"")</f>
        <v/>
      </c>
      <c r="D225" s="1">
        <f>IF(Data!D225&gt;0,Data!D225,"")</f>
        <v/>
      </c>
      <c r="E225" s="1">
        <f>IF(Data!E225&gt;0,Data!E225,"")</f>
        <v/>
      </c>
      <c r="F225" s="1">
        <f>IF(Data!F225&gt;0,Data!F225,"")</f>
        <v/>
      </c>
      <c r="G225" s="1">
        <f>IF(Data!G225&gt;0,Data!G225,"")</f>
        <v/>
      </c>
      <c r="H225" s="1">
        <f>IF(Data!H225&gt;0,Data!H225,"")</f>
        <v/>
      </c>
      <c r="I225" s="1">
        <f>IF(Data!I225&gt;0,Data!I225,"")</f>
        <v/>
      </c>
      <c r="J225" s="1">
        <f>IF(Data!J225&gt;0,Data!J225,"")</f>
        <v/>
      </c>
      <c r="K225" s="1">
        <f>IF(Data!K225&gt;0,Data!K225,"")</f>
        <v/>
      </c>
      <c r="L225" s="1">
        <f>IF(Data!L225&gt;0,Data!L225,"")</f>
        <v/>
      </c>
      <c r="M225" s="1">
        <f>IF(Data!M225&gt;0,Data!M225,"")</f>
        <v/>
      </c>
      <c r="N225" s="1">
        <f>IF(Data!N225&gt;0,Data!N225,"")</f>
        <v/>
      </c>
      <c r="O225" s="1">
        <f>IF(Data!O225&gt;0,Data!O225,"")</f>
        <v/>
      </c>
      <c r="P225" s="1">
        <f>IF(Data!P225&gt;0,Data!P225,"")</f>
        <v/>
      </c>
      <c r="Q225" s="1">
        <f>IF(Data!Q225&gt;0,Data!Q225,"")</f>
        <v/>
      </c>
      <c r="R225" s="1">
        <f>IF(Data!R225&gt;0,Data!R225,"")</f>
        <v/>
      </c>
      <c r="S225" s="1">
        <f>IF(Data!S225&gt;0,Data!S225,"")</f>
        <v/>
      </c>
      <c r="V225" s="3">
        <f>IF(COUNT(D225,J225,K225,L225,M225,O225)&gt;0,AVERAGE(D225,J225,K225,L225,M225,O225),"")</f>
        <v/>
      </c>
      <c r="W225" s="3">
        <f>IF(COUNT(C225,F225,G225,N225,Q225)&gt;0,AVERAGE(C225,F225,G225,N225,Q225),"")</f>
        <v/>
      </c>
      <c r="X225" s="3">
        <f>IF(COUNT(B225,E225,H225,I225,P225,R225,S225)&gt;0,AVERAGE(B225,E225,H225,I225,P225,R225,S225),"")</f>
        <v/>
      </c>
      <c r="Y225" s="3" t="n"/>
      <c r="AJ225">
        <f>IFERROR(AVERAGEIF($A$4:$A$1004,AI225,$V$4:$V$1004),"")</f>
        <v/>
      </c>
      <c r="AK225">
        <f>IFERROR(AVERAGEIF($A$4:$A$1004,AI225,$W$4:$W$1004),"")</f>
        <v/>
      </c>
      <c r="AL225">
        <f>IFERROR(AVERAGEIF($A$4:$A$1004,AI225,$X$4:$X$1004),"")</f>
        <v/>
      </c>
    </row>
    <row r="226">
      <c r="A226" s="1">
        <f>IF(Data!A226&gt;0,Data!A226,"")</f>
        <v/>
      </c>
      <c r="B226" s="1">
        <f>IF(Data!B226&gt;0,Data!B226,"")</f>
        <v/>
      </c>
      <c r="C226" s="1">
        <f>IF(Data!C226&gt;0,Data!C226,"")</f>
        <v/>
      </c>
      <c r="D226" s="1">
        <f>IF(Data!D226&gt;0,Data!D226,"")</f>
        <v/>
      </c>
      <c r="E226" s="1">
        <f>IF(Data!E226&gt;0,Data!E226,"")</f>
        <v/>
      </c>
      <c r="F226" s="1">
        <f>IF(Data!F226&gt;0,Data!F226,"")</f>
        <v/>
      </c>
      <c r="G226" s="1">
        <f>IF(Data!G226&gt;0,Data!G226,"")</f>
        <v/>
      </c>
      <c r="H226" s="1">
        <f>IF(Data!H226&gt;0,Data!H226,"")</f>
        <v/>
      </c>
      <c r="I226" s="1">
        <f>IF(Data!I226&gt;0,Data!I226,"")</f>
        <v/>
      </c>
      <c r="J226" s="1">
        <f>IF(Data!J226&gt;0,Data!J226,"")</f>
        <v/>
      </c>
      <c r="K226" s="1">
        <f>IF(Data!K226&gt;0,Data!K226,"")</f>
        <v/>
      </c>
      <c r="L226" s="1">
        <f>IF(Data!L226&gt;0,Data!L226,"")</f>
        <v/>
      </c>
      <c r="M226" s="1">
        <f>IF(Data!M226&gt;0,Data!M226,"")</f>
        <v/>
      </c>
      <c r="N226" s="1">
        <f>IF(Data!N226&gt;0,Data!N226,"")</f>
        <v/>
      </c>
      <c r="O226" s="1">
        <f>IF(Data!O226&gt;0,Data!O226,"")</f>
        <v/>
      </c>
      <c r="P226" s="1">
        <f>IF(Data!P226&gt;0,Data!P226,"")</f>
        <v/>
      </c>
      <c r="Q226" s="1">
        <f>IF(Data!Q226&gt;0,Data!Q226,"")</f>
        <v/>
      </c>
      <c r="R226" s="1">
        <f>IF(Data!R226&gt;0,Data!R226,"")</f>
        <v/>
      </c>
      <c r="S226" s="1">
        <f>IF(Data!S226&gt;0,Data!S226,"")</f>
        <v/>
      </c>
      <c r="V226" s="3">
        <f>IF(COUNT(D226,J226,K226,L226,M226,O226)&gt;0,AVERAGE(D226,J226,K226,L226,M226,O226),"")</f>
        <v/>
      </c>
      <c r="W226" s="3">
        <f>IF(COUNT(C226,F226,G226,N226,Q226)&gt;0,AVERAGE(C226,F226,G226,N226,Q226),"")</f>
        <v/>
      </c>
      <c r="X226" s="3">
        <f>IF(COUNT(B226,E226,H226,I226,P226,R226,S226)&gt;0,AVERAGE(B226,E226,H226,I226,P226,R226,S226),"")</f>
        <v/>
      </c>
      <c r="Y226" s="3" t="n"/>
      <c r="AJ226">
        <f>IFERROR(AVERAGEIF($A$4:$A$1004,AI226,$V$4:$V$1004),"")</f>
        <v/>
      </c>
      <c r="AK226">
        <f>IFERROR(AVERAGEIF($A$4:$A$1004,AI226,$W$4:$W$1004),"")</f>
        <v/>
      </c>
      <c r="AL226">
        <f>IFERROR(AVERAGEIF($A$4:$A$1004,AI226,$X$4:$X$1004),"")</f>
        <v/>
      </c>
    </row>
    <row r="227">
      <c r="A227" s="1">
        <f>IF(Data!A227&gt;0,Data!A227,"")</f>
        <v/>
      </c>
      <c r="B227" s="1">
        <f>IF(Data!B227&gt;0,Data!B227,"")</f>
        <v/>
      </c>
      <c r="C227" s="1">
        <f>IF(Data!C227&gt;0,Data!C227,"")</f>
        <v/>
      </c>
      <c r="D227" s="1">
        <f>IF(Data!D227&gt;0,Data!D227,"")</f>
        <v/>
      </c>
      <c r="E227" s="1">
        <f>IF(Data!E227&gt;0,Data!E227,"")</f>
        <v/>
      </c>
      <c r="F227" s="1">
        <f>IF(Data!F227&gt;0,Data!F227,"")</f>
        <v/>
      </c>
      <c r="G227" s="1">
        <f>IF(Data!G227&gt;0,Data!G227,"")</f>
        <v/>
      </c>
      <c r="H227" s="1">
        <f>IF(Data!H227&gt;0,Data!H227,"")</f>
        <v/>
      </c>
      <c r="I227" s="1">
        <f>IF(Data!I227&gt;0,Data!I227,"")</f>
        <v/>
      </c>
      <c r="J227" s="1">
        <f>IF(Data!J227&gt;0,Data!J227,"")</f>
        <v/>
      </c>
      <c r="K227" s="1">
        <f>IF(Data!K227&gt;0,Data!K227,"")</f>
        <v/>
      </c>
      <c r="L227" s="1">
        <f>IF(Data!L227&gt;0,Data!L227,"")</f>
        <v/>
      </c>
      <c r="M227" s="1">
        <f>IF(Data!M227&gt;0,Data!M227,"")</f>
        <v/>
      </c>
      <c r="N227" s="1">
        <f>IF(Data!N227&gt;0,Data!N227,"")</f>
        <v/>
      </c>
      <c r="O227" s="1">
        <f>IF(Data!O227&gt;0,Data!O227,"")</f>
        <v/>
      </c>
      <c r="P227" s="1">
        <f>IF(Data!P227&gt;0,Data!P227,"")</f>
        <v/>
      </c>
      <c r="Q227" s="1">
        <f>IF(Data!Q227&gt;0,Data!Q227,"")</f>
        <v/>
      </c>
      <c r="R227" s="1">
        <f>IF(Data!R227&gt;0,Data!R227,"")</f>
        <v/>
      </c>
      <c r="S227" s="1">
        <f>IF(Data!S227&gt;0,Data!S227,"")</f>
        <v/>
      </c>
      <c r="V227" s="3">
        <f>IF(COUNT(D227,J227,K227,L227,M227,O227)&gt;0,AVERAGE(D227,J227,K227,L227,M227,O227),"")</f>
        <v/>
      </c>
      <c r="W227" s="3">
        <f>IF(COUNT(C227,F227,G227,N227,Q227)&gt;0,AVERAGE(C227,F227,G227,N227,Q227),"")</f>
        <v/>
      </c>
      <c r="X227" s="3">
        <f>IF(COUNT(B227,E227,H227,I227,P227,R227,S227)&gt;0,AVERAGE(B227,E227,H227,I227,P227,R227,S227),"")</f>
        <v/>
      </c>
      <c r="Y227" s="3" t="n"/>
      <c r="AJ227">
        <f>IFERROR(AVERAGEIF($A$4:$A$1004,AI227,$V$4:$V$1004),"")</f>
        <v/>
      </c>
      <c r="AK227">
        <f>IFERROR(AVERAGEIF($A$4:$A$1004,AI227,$W$4:$W$1004),"")</f>
        <v/>
      </c>
      <c r="AL227">
        <f>IFERROR(AVERAGEIF($A$4:$A$1004,AI227,$X$4:$X$1004),"")</f>
        <v/>
      </c>
    </row>
    <row r="228">
      <c r="A228" s="1">
        <f>IF(Data!A228&gt;0,Data!A228,"")</f>
        <v/>
      </c>
      <c r="B228" s="1">
        <f>IF(Data!B228&gt;0,Data!B228,"")</f>
        <v/>
      </c>
      <c r="C228" s="1">
        <f>IF(Data!C228&gt;0,Data!C228,"")</f>
        <v/>
      </c>
      <c r="D228" s="1">
        <f>IF(Data!D228&gt;0,Data!D228,"")</f>
        <v/>
      </c>
      <c r="E228" s="1">
        <f>IF(Data!E228&gt;0,Data!E228,"")</f>
        <v/>
      </c>
      <c r="F228" s="1">
        <f>IF(Data!F228&gt;0,Data!F228,"")</f>
        <v/>
      </c>
      <c r="G228" s="1">
        <f>IF(Data!G228&gt;0,Data!G228,"")</f>
        <v/>
      </c>
      <c r="H228" s="1">
        <f>IF(Data!H228&gt;0,Data!H228,"")</f>
        <v/>
      </c>
      <c r="I228" s="1">
        <f>IF(Data!I228&gt;0,Data!I228,"")</f>
        <v/>
      </c>
      <c r="J228" s="1">
        <f>IF(Data!J228&gt;0,Data!J228,"")</f>
        <v/>
      </c>
      <c r="K228" s="1">
        <f>IF(Data!K228&gt;0,Data!K228,"")</f>
        <v/>
      </c>
      <c r="L228" s="1">
        <f>IF(Data!L228&gt;0,Data!L228,"")</f>
        <v/>
      </c>
      <c r="M228" s="1">
        <f>IF(Data!M228&gt;0,Data!M228,"")</f>
        <v/>
      </c>
      <c r="N228" s="1">
        <f>IF(Data!N228&gt;0,Data!N228,"")</f>
        <v/>
      </c>
      <c r="O228" s="1">
        <f>IF(Data!O228&gt;0,Data!O228,"")</f>
        <v/>
      </c>
      <c r="P228" s="1">
        <f>IF(Data!P228&gt;0,Data!P228,"")</f>
        <v/>
      </c>
      <c r="Q228" s="1">
        <f>IF(Data!Q228&gt;0,Data!Q228,"")</f>
        <v/>
      </c>
      <c r="R228" s="1">
        <f>IF(Data!R228&gt;0,Data!R228,"")</f>
        <v/>
      </c>
      <c r="S228" s="1">
        <f>IF(Data!S228&gt;0,Data!S228,"")</f>
        <v/>
      </c>
      <c r="V228" s="3">
        <f>IF(COUNT(D228,J228,K228,L228,M228,O228)&gt;0,AVERAGE(D228,J228,K228,L228,M228,O228),"")</f>
        <v/>
      </c>
      <c r="W228" s="3">
        <f>IF(COUNT(C228,F228,G228,N228,Q228)&gt;0,AVERAGE(C228,F228,G228,N228,Q228),"")</f>
        <v/>
      </c>
      <c r="X228" s="3">
        <f>IF(COUNT(B228,E228,H228,I228,P228,R228,S228)&gt;0,AVERAGE(B228,E228,H228,I228,P228,R228,S228),"")</f>
        <v/>
      </c>
      <c r="Y228" s="3" t="n"/>
      <c r="AJ228">
        <f>IFERROR(AVERAGEIF($A$4:$A$1004,AI228,$V$4:$V$1004),"")</f>
        <v/>
      </c>
      <c r="AK228">
        <f>IFERROR(AVERAGEIF($A$4:$A$1004,AI228,$W$4:$W$1004),"")</f>
        <v/>
      </c>
      <c r="AL228">
        <f>IFERROR(AVERAGEIF($A$4:$A$1004,AI228,$X$4:$X$1004),"")</f>
        <v/>
      </c>
    </row>
    <row r="229">
      <c r="A229" s="1">
        <f>IF(Data!A229&gt;0,Data!A229,"")</f>
        <v/>
      </c>
      <c r="B229" s="1">
        <f>IF(Data!B229&gt;0,Data!B229,"")</f>
        <v/>
      </c>
      <c r="C229" s="1">
        <f>IF(Data!C229&gt;0,Data!C229,"")</f>
        <v/>
      </c>
      <c r="D229" s="1">
        <f>IF(Data!D229&gt;0,Data!D229,"")</f>
        <v/>
      </c>
      <c r="E229" s="1">
        <f>IF(Data!E229&gt;0,Data!E229,"")</f>
        <v/>
      </c>
      <c r="F229" s="1">
        <f>IF(Data!F229&gt;0,Data!F229,"")</f>
        <v/>
      </c>
      <c r="G229" s="1">
        <f>IF(Data!G229&gt;0,Data!G229,"")</f>
        <v/>
      </c>
      <c r="H229" s="1">
        <f>IF(Data!H229&gt;0,Data!H229,"")</f>
        <v/>
      </c>
      <c r="I229" s="1">
        <f>IF(Data!I229&gt;0,Data!I229,"")</f>
        <v/>
      </c>
      <c r="J229" s="1">
        <f>IF(Data!J229&gt;0,Data!J229,"")</f>
        <v/>
      </c>
      <c r="K229" s="1">
        <f>IF(Data!K229&gt;0,Data!K229,"")</f>
        <v/>
      </c>
      <c r="L229" s="1">
        <f>IF(Data!L229&gt;0,Data!L229,"")</f>
        <v/>
      </c>
      <c r="M229" s="1">
        <f>IF(Data!M229&gt;0,Data!M229,"")</f>
        <v/>
      </c>
      <c r="N229" s="1">
        <f>IF(Data!N229&gt;0,Data!N229,"")</f>
        <v/>
      </c>
      <c r="O229" s="1">
        <f>IF(Data!O229&gt;0,Data!O229,"")</f>
        <v/>
      </c>
      <c r="P229" s="1">
        <f>IF(Data!P229&gt;0,Data!P229,"")</f>
        <v/>
      </c>
      <c r="Q229" s="1">
        <f>IF(Data!Q229&gt;0,Data!Q229,"")</f>
        <v/>
      </c>
      <c r="R229" s="1">
        <f>IF(Data!R229&gt;0,Data!R229,"")</f>
        <v/>
      </c>
      <c r="S229" s="1">
        <f>IF(Data!S229&gt;0,Data!S229,"")</f>
        <v/>
      </c>
      <c r="V229" s="3">
        <f>IF(COUNT(D229,J229,K229,L229,M229,O229)&gt;0,AVERAGE(D229,J229,K229,L229,M229,O229),"")</f>
        <v/>
      </c>
      <c r="W229" s="3">
        <f>IF(COUNT(C229,F229,G229,N229,Q229)&gt;0,AVERAGE(C229,F229,G229,N229,Q229),"")</f>
        <v/>
      </c>
      <c r="X229" s="3">
        <f>IF(COUNT(B229,E229,H229,I229,P229,R229,S229)&gt;0,AVERAGE(B229,E229,H229,I229,P229,R229,S229),"")</f>
        <v/>
      </c>
      <c r="Y229" s="3" t="n"/>
      <c r="AJ229">
        <f>IFERROR(AVERAGEIF($A$4:$A$1004,AI229,$V$4:$V$1004),"")</f>
        <v/>
      </c>
      <c r="AK229">
        <f>IFERROR(AVERAGEIF($A$4:$A$1004,AI229,$W$4:$W$1004),"")</f>
        <v/>
      </c>
      <c r="AL229">
        <f>IFERROR(AVERAGEIF($A$4:$A$1004,AI229,$X$4:$X$1004),"")</f>
        <v/>
      </c>
    </row>
    <row r="230">
      <c r="A230" s="1">
        <f>IF(Data!A230&gt;0,Data!A230,"")</f>
        <v/>
      </c>
      <c r="B230" s="1">
        <f>IF(Data!B230&gt;0,Data!B230,"")</f>
        <v/>
      </c>
      <c r="C230" s="1">
        <f>IF(Data!C230&gt;0,Data!C230,"")</f>
        <v/>
      </c>
      <c r="D230" s="1">
        <f>IF(Data!D230&gt;0,Data!D230,"")</f>
        <v/>
      </c>
      <c r="E230" s="1">
        <f>IF(Data!E230&gt;0,Data!E230,"")</f>
        <v/>
      </c>
      <c r="F230" s="1">
        <f>IF(Data!F230&gt;0,Data!F230,"")</f>
        <v/>
      </c>
      <c r="G230" s="1">
        <f>IF(Data!G230&gt;0,Data!G230,"")</f>
        <v/>
      </c>
      <c r="H230" s="1">
        <f>IF(Data!H230&gt;0,Data!H230,"")</f>
        <v/>
      </c>
      <c r="I230" s="1">
        <f>IF(Data!I230&gt;0,Data!I230,"")</f>
        <v/>
      </c>
      <c r="J230" s="1">
        <f>IF(Data!J230&gt;0,Data!J230,"")</f>
        <v/>
      </c>
      <c r="K230" s="1">
        <f>IF(Data!K230&gt;0,Data!K230,"")</f>
        <v/>
      </c>
      <c r="L230" s="1">
        <f>IF(Data!L230&gt;0,Data!L230,"")</f>
        <v/>
      </c>
      <c r="M230" s="1">
        <f>IF(Data!M230&gt;0,Data!M230,"")</f>
        <v/>
      </c>
      <c r="N230" s="1">
        <f>IF(Data!N230&gt;0,Data!N230,"")</f>
        <v/>
      </c>
      <c r="O230" s="1">
        <f>IF(Data!O230&gt;0,Data!O230,"")</f>
        <v/>
      </c>
      <c r="P230" s="1">
        <f>IF(Data!P230&gt;0,Data!P230,"")</f>
        <v/>
      </c>
      <c r="Q230" s="1">
        <f>IF(Data!Q230&gt;0,Data!Q230,"")</f>
        <v/>
      </c>
      <c r="R230" s="1">
        <f>IF(Data!R230&gt;0,Data!R230,"")</f>
        <v/>
      </c>
      <c r="S230" s="1">
        <f>IF(Data!S230&gt;0,Data!S230,"")</f>
        <v/>
      </c>
      <c r="V230" s="3">
        <f>IF(COUNT(D230,J230,K230,L230,M230,O230)&gt;0,AVERAGE(D230,J230,K230,L230,M230,O230),"")</f>
        <v/>
      </c>
      <c r="W230" s="3">
        <f>IF(COUNT(C230,F230,G230,N230,Q230)&gt;0,AVERAGE(C230,F230,G230,N230,Q230),"")</f>
        <v/>
      </c>
      <c r="X230" s="3">
        <f>IF(COUNT(B230,E230,H230,I230,P230,R230,S230)&gt;0,AVERAGE(B230,E230,H230,I230,P230,R230,S230),"")</f>
        <v/>
      </c>
      <c r="Y230" s="3" t="n"/>
      <c r="AJ230">
        <f>IFERROR(AVERAGEIF($A$4:$A$1004,AI230,$V$4:$V$1004),"")</f>
        <v/>
      </c>
      <c r="AK230">
        <f>IFERROR(AVERAGEIF($A$4:$A$1004,AI230,$W$4:$W$1004),"")</f>
        <v/>
      </c>
      <c r="AL230">
        <f>IFERROR(AVERAGEIF($A$4:$A$1004,AI230,$X$4:$X$1004),"")</f>
        <v/>
      </c>
    </row>
    <row r="231">
      <c r="A231" s="1">
        <f>IF(Data!A231&gt;0,Data!A231,"")</f>
        <v/>
      </c>
      <c r="B231" s="1">
        <f>IF(Data!B231&gt;0,Data!B231,"")</f>
        <v/>
      </c>
      <c r="C231" s="1">
        <f>IF(Data!C231&gt;0,Data!C231,"")</f>
        <v/>
      </c>
      <c r="D231" s="1">
        <f>IF(Data!D231&gt;0,Data!D231,"")</f>
        <v/>
      </c>
      <c r="E231" s="1">
        <f>IF(Data!E231&gt;0,Data!E231,"")</f>
        <v/>
      </c>
      <c r="F231" s="1">
        <f>IF(Data!F231&gt;0,Data!F231,"")</f>
        <v/>
      </c>
      <c r="G231" s="1">
        <f>IF(Data!G231&gt;0,Data!G231,"")</f>
        <v/>
      </c>
      <c r="H231" s="1">
        <f>IF(Data!H231&gt;0,Data!H231,"")</f>
        <v/>
      </c>
      <c r="I231" s="1">
        <f>IF(Data!I231&gt;0,Data!I231,"")</f>
        <v/>
      </c>
      <c r="J231" s="1">
        <f>IF(Data!J231&gt;0,Data!J231,"")</f>
        <v/>
      </c>
      <c r="K231" s="1">
        <f>IF(Data!K231&gt;0,Data!K231,"")</f>
        <v/>
      </c>
      <c r="L231" s="1">
        <f>IF(Data!L231&gt;0,Data!L231,"")</f>
        <v/>
      </c>
      <c r="M231" s="1">
        <f>IF(Data!M231&gt;0,Data!M231,"")</f>
        <v/>
      </c>
      <c r="N231" s="1">
        <f>IF(Data!N231&gt;0,Data!N231,"")</f>
        <v/>
      </c>
      <c r="O231" s="1">
        <f>IF(Data!O231&gt;0,Data!O231,"")</f>
        <v/>
      </c>
      <c r="P231" s="1">
        <f>IF(Data!P231&gt;0,Data!P231,"")</f>
        <v/>
      </c>
      <c r="Q231" s="1">
        <f>IF(Data!Q231&gt;0,Data!Q231,"")</f>
        <v/>
      </c>
      <c r="R231" s="1">
        <f>IF(Data!R231&gt;0,Data!R231,"")</f>
        <v/>
      </c>
      <c r="S231" s="1">
        <f>IF(Data!S231&gt;0,Data!S231,"")</f>
        <v/>
      </c>
      <c r="V231" s="3">
        <f>IF(COUNT(D231,J231,K231,L231,M231,O231)&gt;0,AVERAGE(D231,J231,K231,L231,M231,O231),"")</f>
        <v/>
      </c>
      <c r="W231" s="3">
        <f>IF(COUNT(C231,F231,G231,N231,Q231)&gt;0,AVERAGE(C231,F231,G231,N231,Q231),"")</f>
        <v/>
      </c>
      <c r="X231" s="3">
        <f>IF(COUNT(B231,E231,H231,I231,P231,R231,S231)&gt;0,AVERAGE(B231,E231,H231,I231,P231,R231,S231),"")</f>
        <v/>
      </c>
      <c r="Y231" s="3" t="n"/>
      <c r="AJ231">
        <f>IFERROR(AVERAGEIF($A$4:$A$1004,AI231,$V$4:$V$1004),"")</f>
        <v/>
      </c>
      <c r="AK231">
        <f>IFERROR(AVERAGEIF($A$4:$A$1004,AI231,$W$4:$W$1004),"")</f>
        <v/>
      </c>
      <c r="AL231">
        <f>IFERROR(AVERAGEIF($A$4:$A$1004,AI231,$X$4:$X$1004),"")</f>
        <v/>
      </c>
    </row>
    <row r="232">
      <c r="A232" s="1">
        <f>IF(Data!A232&gt;0,Data!A232,"")</f>
        <v/>
      </c>
      <c r="B232" s="1">
        <f>IF(Data!B232&gt;0,Data!B232,"")</f>
        <v/>
      </c>
      <c r="C232" s="1">
        <f>IF(Data!C232&gt;0,Data!C232,"")</f>
        <v/>
      </c>
      <c r="D232" s="1">
        <f>IF(Data!D232&gt;0,Data!D232,"")</f>
        <v/>
      </c>
      <c r="E232" s="1">
        <f>IF(Data!E232&gt;0,Data!E232,"")</f>
        <v/>
      </c>
      <c r="F232" s="1">
        <f>IF(Data!F232&gt;0,Data!F232,"")</f>
        <v/>
      </c>
      <c r="G232" s="1">
        <f>IF(Data!G232&gt;0,Data!G232,"")</f>
        <v/>
      </c>
      <c r="H232" s="1">
        <f>IF(Data!H232&gt;0,Data!H232,"")</f>
        <v/>
      </c>
      <c r="I232" s="1">
        <f>IF(Data!I232&gt;0,Data!I232,"")</f>
        <v/>
      </c>
      <c r="J232" s="1">
        <f>IF(Data!J232&gt;0,Data!J232,"")</f>
        <v/>
      </c>
      <c r="K232" s="1">
        <f>IF(Data!K232&gt;0,Data!K232,"")</f>
        <v/>
      </c>
      <c r="L232" s="1">
        <f>IF(Data!L232&gt;0,Data!L232,"")</f>
        <v/>
      </c>
      <c r="M232" s="1">
        <f>IF(Data!M232&gt;0,Data!M232,"")</f>
        <v/>
      </c>
      <c r="N232" s="1">
        <f>IF(Data!N232&gt;0,Data!N232,"")</f>
        <v/>
      </c>
      <c r="O232" s="1">
        <f>IF(Data!O232&gt;0,Data!O232,"")</f>
        <v/>
      </c>
      <c r="P232" s="1">
        <f>IF(Data!P232&gt;0,Data!P232,"")</f>
        <v/>
      </c>
      <c r="Q232" s="1">
        <f>IF(Data!Q232&gt;0,Data!Q232,"")</f>
        <v/>
      </c>
      <c r="R232" s="1">
        <f>IF(Data!R232&gt;0,Data!R232,"")</f>
        <v/>
      </c>
      <c r="S232" s="1">
        <f>IF(Data!S232&gt;0,Data!S232,"")</f>
        <v/>
      </c>
      <c r="V232" s="3">
        <f>IF(COUNT(D232,J232,K232,L232,M232,O232)&gt;0,AVERAGE(D232,J232,K232,L232,M232,O232),"")</f>
        <v/>
      </c>
      <c r="W232" s="3">
        <f>IF(COUNT(C232,F232,G232,N232,Q232)&gt;0,AVERAGE(C232,F232,G232,N232,Q232),"")</f>
        <v/>
      </c>
      <c r="X232" s="3">
        <f>IF(COUNT(B232,E232,H232,I232,P232,R232,S232)&gt;0,AVERAGE(B232,E232,H232,I232,P232,R232,S232),"")</f>
        <v/>
      </c>
      <c r="Y232" s="3" t="n"/>
      <c r="AJ232">
        <f>IFERROR(AVERAGEIF($A$4:$A$1004,AI232,$V$4:$V$1004),"")</f>
        <v/>
      </c>
      <c r="AK232">
        <f>IFERROR(AVERAGEIF($A$4:$A$1004,AI232,$W$4:$W$1004),"")</f>
        <v/>
      </c>
      <c r="AL232">
        <f>IFERROR(AVERAGEIF($A$4:$A$1004,AI232,$X$4:$X$1004),"")</f>
        <v/>
      </c>
    </row>
    <row r="233">
      <c r="A233" s="1">
        <f>IF(Data!A233&gt;0,Data!A233,"")</f>
        <v/>
      </c>
      <c r="B233" s="1">
        <f>IF(Data!B233&gt;0,Data!B233,"")</f>
        <v/>
      </c>
      <c r="C233" s="1">
        <f>IF(Data!C233&gt;0,Data!C233,"")</f>
        <v/>
      </c>
      <c r="D233" s="1">
        <f>IF(Data!D233&gt;0,Data!D233,"")</f>
        <v/>
      </c>
      <c r="E233" s="1">
        <f>IF(Data!E233&gt;0,Data!E233,"")</f>
        <v/>
      </c>
      <c r="F233" s="1">
        <f>IF(Data!F233&gt;0,Data!F233,"")</f>
        <v/>
      </c>
      <c r="G233" s="1">
        <f>IF(Data!G233&gt;0,Data!G233,"")</f>
        <v/>
      </c>
      <c r="H233" s="1">
        <f>IF(Data!H233&gt;0,Data!H233,"")</f>
        <v/>
      </c>
      <c r="I233" s="1">
        <f>IF(Data!I233&gt;0,Data!I233,"")</f>
        <v/>
      </c>
      <c r="J233" s="1">
        <f>IF(Data!J233&gt;0,Data!J233,"")</f>
        <v/>
      </c>
      <c r="K233" s="1">
        <f>IF(Data!K233&gt;0,Data!K233,"")</f>
        <v/>
      </c>
      <c r="L233" s="1">
        <f>IF(Data!L233&gt;0,Data!L233,"")</f>
        <v/>
      </c>
      <c r="M233" s="1">
        <f>IF(Data!M233&gt;0,Data!M233,"")</f>
        <v/>
      </c>
      <c r="N233" s="1">
        <f>IF(Data!N233&gt;0,Data!N233,"")</f>
        <v/>
      </c>
      <c r="O233" s="1">
        <f>IF(Data!O233&gt;0,Data!O233,"")</f>
        <v/>
      </c>
      <c r="P233" s="1">
        <f>IF(Data!P233&gt;0,Data!P233,"")</f>
        <v/>
      </c>
      <c r="Q233" s="1">
        <f>IF(Data!Q233&gt;0,Data!Q233,"")</f>
        <v/>
      </c>
      <c r="R233" s="1">
        <f>IF(Data!R233&gt;0,Data!R233,"")</f>
        <v/>
      </c>
      <c r="S233" s="1">
        <f>IF(Data!S233&gt;0,Data!S233,"")</f>
        <v/>
      </c>
      <c r="V233" s="3">
        <f>IF(COUNT(D233,J233,K233,L233,M233,O233)&gt;0,AVERAGE(D233,J233,K233,L233,M233,O233),"")</f>
        <v/>
      </c>
      <c r="W233" s="3">
        <f>IF(COUNT(C233,F233,G233,N233,Q233)&gt;0,AVERAGE(C233,F233,G233,N233,Q233),"")</f>
        <v/>
      </c>
      <c r="X233" s="3">
        <f>IF(COUNT(B233,E233,H233,I233,P233,R233,S233)&gt;0,AVERAGE(B233,E233,H233,I233,P233,R233,S233),"")</f>
        <v/>
      </c>
      <c r="Y233" s="3" t="n"/>
      <c r="AJ233">
        <f>IFERROR(AVERAGEIF($A$4:$A$1004,AI233,$V$4:$V$1004),"")</f>
        <v/>
      </c>
      <c r="AK233">
        <f>IFERROR(AVERAGEIF($A$4:$A$1004,AI233,$W$4:$W$1004),"")</f>
        <v/>
      </c>
      <c r="AL233">
        <f>IFERROR(AVERAGEIF($A$4:$A$1004,AI233,$X$4:$X$1004),"")</f>
        <v/>
      </c>
    </row>
    <row r="234">
      <c r="A234" s="1">
        <f>IF(Data!A234&gt;0,Data!A234,"")</f>
        <v/>
      </c>
      <c r="B234" s="1">
        <f>IF(Data!B234&gt;0,Data!B234,"")</f>
        <v/>
      </c>
      <c r="C234" s="1">
        <f>IF(Data!C234&gt;0,Data!C234,"")</f>
        <v/>
      </c>
      <c r="D234" s="1">
        <f>IF(Data!D234&gt;0,Data!D234,"")</f>
        <v/>
      </c>
      <c r="E234" s="1">
        <f>IF(Data!E234&gt;0,Data!E234,"")</f>
        <v/>
      </c>
      <c r="F234" s="1">
        <f>IF(Data!F234&gt;0,Data!F234,"")</f>
        <v/>
      </c>
      <c r="G234" s="1">
        <f>IF(Data!G234&gt;0,Data!G234,"")</f>
        <v/>
      </c>
      <c r="H234" s="1">
        <f>IF(Data!H234&gt;0,Data!H234,"")</f>
        <v/>
      </c>
      <c r="I234" s="1">
        <f>IF(Data!I234&gt;0,Data!I234,"")</f>
        <v/>
      </c>
      <c r="J234" s="1">
        <f>IF(Data!J234&gt;0,Data!J234,"")</f>
        <v/>
      </c>
      <c r="K234" s="1">
        <f>IF(Data!K234&gt;0,Data!K234,"")</f>
        <v/>
      </c>
      <c r="L234" s="1">
        <f>IF(Data!L234&gt;0,Data!L234,"")</f>
        <v/>
      </c>
      <c r="M234" s="1">
        <f>IF(Data!M234&gt;0,Data!M234,"")</f>
        <v/>
      </c>
      <c r="N234" s="1">
        <f>IF(Data!N234&gt;0,Data!N234,"")</f>
        <v/>
      </c>
      <c r="O234" s="1">
        <f>IF(Data!O234&gt;0,Data!O234,"")</f>
        <v/>
      </c>
      <c r="P234" s="1">
        <f>IF(Data!P234&gt;0,Data!P234,"")</f>
        <v/>
      </c>
      <c r="Q234" s="1">
        <f>IF(Data!Q234&gt;0,Data!Q234,"")</f>
        <v/>
      </c>
      <c r="R234" s="1">
        <f>IF(Data!R234&gt;0,Data!R234,"")</f>
        <v/>
      </c>
      <c r="S234" s="1">
        <f>IF(Data!S234&gt;0,Data!S234,"")</f>
        <v/>
      </c>
      <c r="V234" s="3">
        <f>IF(COUNT(D234,J234,K234,L234,M234,O234)&gt;0,AVERAGE(D234,J234,K234,L234,M234,O234),"")</f>
        <v/>
      </c>
      <c r="W234" s="3">
        <f>IF(COUNT(C234,F234,G234,N234,Q234)&gt;0,AVERAGE(C234,F234,G234,N234,Q234),"")</f>
        <v/>
      </c>
      <c r="X234" s="3">
        <f>IF(COUNT(B234,E234,H234,I234,P234,R234,S234)&gt;0,AVERAGE(B234,E234,H234,I234,P234,R234,S234),"")</f>
        <v/>
      </c>
      <c r="Y234" s="3" t="n"/>
      <c r="AJ234">
        <f>IFERROR(AVERAGEIF($A$4:$A$1004,AI234,$V$4:$V$1004),"")</f>
        <v/>
      </c>
      <c r="AK234">
        <f>IFERROR(AVERAGEIF($A$4:$A$1004,AI234,$W$4:$W$1004),"")</f>
        <v/>
      </c>
      <c r="AL234">
        <f>IFERROR(AVERAGEIF($A$4:$A$1004,AI234,$X$4:$X$1004),"")</f>
        <v/>
      </c>
    </row>
    <row r="235">
      <c r="A235" s="1">
        <f>IF(Data!A235&gt;0,Data!A235,"")</f>
        <v/>
      </c>
      <c r="B235" s="1">
        <f>IF(Data!B235&gt;0,Data!B235,"")</f>
        <v/>
      </c>
      <c r="C235" s="1">
        <f>IF(Data!C235&gt;0,Data!C235,"")</f>
        <v/>
      </c>
      <c r="D235" s="1">
        <f>IF(Data!D235&gt;0,Data!D235,"")</f>
        <v/>
      </c>
      <c r="E235" s="1">
        <f>IF(Data!E235&gt;0,Data!E235,"")</f>
        <v/>
      </c>
      <c r="F235" s="1">
        <f>IF(Data!F235&gt;0,Data!F235,"")</f>
        <v/>
      </c>
      <c r="G235" s="1">
        <f>IF(Data!G235&gt;0,Data!G235,"")</f>
        <v/>
      </c>
      <c r="H235" s="1">
        <f>IF(Data!H235&gt;0,Data!H235,"")</f>
        <v/>
      </c>
      <c r="I235" s="1">
        <f>IF(Data!I235&gt;0,Data!I235,"")</f>
        <v/>
      </c>
      <c r="J235" s="1">
        <f>IF(Data!J235&gt;0,Data!J235,"")</f>
        <v/>
      </c>
      <c r="K235" s="1">
        <f>IF(Data!K235&gt;0,Data!K235,"")</f>
        <v/>
      </c>
      <c r="L235" s="1">
        <f>IF(Data!L235&gt;0,Data!L235,"")</f>
        <v/>
      </c>
      <c r="M235" s="1">
        <f>IF(Data!M235&gt;0,Data!M235,"")</f>
        <v/>
      </c>
      <c r="N235" s="1">
        <f>IF(Data!N235&gt;0,Data!N235,"")</f>
        <v/>
      </c>
      <c r="O235" s="1">
        <f>IF(Data!O235&gt;0,Data!O235,"")</f>
        <v/>
      </c>
      <c r="P235" s="1">
        <f>IF(Data!P235&gt;0,Data!P235,"")</f>
        <v/>
      </c>
      <c r="Q235" s="1">
        <f>IF(Data!Q235&gt;0,Data!Q235,"")</f>
        <v/>
      </c>
      <c r="R235" s="1">
        <f>IF(Data!R235&gt;0,Data!R235,"")</f>
        <v/>
      </c>
      <c r="S235" s="1">
        <f>IF(Data!S235&gt;0,Data!S235,"")</f>
        <v/>
      </c>
      <c r="V235" s="3">
        <f>IF(COUNT(D235,J235,K235,L235,M235,O235)&gt;0,AVERAGE(D235,J235,K235,L235,M235,O235),"")</f>
        <v/>
      </c>
      <c r="W235" s="3">
        <f>IF(COUNT(C235,F235,G235,N235,Q235)&gt;0,AVERAGE(C235,F235,G235,N235,Q235),"")</f>
        <v/>
      </c>
      <c r="X235" s="3">
        <f>IF(COUNT(B235,E235,H235,I235,P235,R235,S235)&gt;0,AVERAGE(B235,E235,H235,I235,P235,R235,S235),"")</f>
        <v/>
      </c>
      <c r="Y235" s="3" t="n"/>
      <c r="AJ235">
        <f>IFERROR(AVERAGEIF($A$4:$A$1004,AI235,$V$4:$V$1004),"")</f>
        <v/>
      </c>
      <c r="AK235">
        <f>IFERROR(AVERAGEIF($A$4:$A$1004,AI235,$W$4:$W$1004),"")</f>
        <v/>
      </c>
      <c r="AL235">
        <f>IFERROR(AVERAGEIF($A$4:$A$1004,AI235,$X$4:$X$1004),"")</f>
        <v/>
      </c>
    </row>
    <row r="236">
      <c r="A236" s="1">
        <f>IF(Data!A236&gt;0,Data!A236,"")</f>
        <v/>
      </c>
      <c r="B236" s="1">
        <f>IF(Data!B236&gt;0,Data!B236,"")</f>
        <v/>
      </c>
      <c r="C236" s="1">
        <f>IF(Data!C236&gt;0,Data!C236,"")</f>
        <v/>
      </c>
      <c r="D236" s="1">
        <f>IF(Data!D236&gt;0,Data!D236,"")</f>
        <v/>
      </c>
      <c r="E236" s="1">
        <f>IF(Data!E236&gt;0,Data!E236,"")</f>
        <v/>
      </c>
      <c r="F236" s="1">
        <f>IF(Data!F236&gt;0,Data!F236,"")</f>
        <v/>
      </c>
      <c r="G236" s="1">
        <f>IF(Data!G236&gt;0,Data!G236,"")</f>
        <v/>
      </c>
      <c r="H236" s="1">
        <f>IF(Data!H236&gt;0,Data!H236,"")</f>
        <v/>
      </c>
      <c r="I236" s="1">
        <f>IF(Data!I236&gt;0,Data!I236,"")</f>
        <v/>
      </c>
      <c r="J236" s="1">
        <f>IF(Data!J236&gt;0,Data!J236,"")</f>
        <v/>
      </c>
      <c r="K236" s="1">
        <f>IF(Data!K236&gt;0,Data!K236,"")</f>
        <v/>
      </c>
      <c r="L236" s="1">
        <f>IF(Data!L236&gt;0,Data!L236,"")</f>
        <v/>
      </c>
      <c r="M236" s="1">
        <f>IF(Data!M236&gt;0,Data!M236,"")</f>
        <v/>
      </c>
      <c r="N236" s="1">
        <f>IF(Data!N236&gt;0,Data!N236,"")</f>
        <v/>
      </c>
      <c r="O236" s="1">
        <f>IF(Data!O236&gt;0,Data!O236,"")</f>
        <v/>
      </c>
      <c r="P236" s="1">
        <f>IF(Data!P236&gt;0,Data!P236,"")</f>
        <v/>
      </c>
      <c r="Q236" s="1">
        <f>IF(Data!Q236&gt;0,Data!Q236,"")</f>
        <v/>
      </c>
      <c r="R236" s="1">
        <f>IF(Data!R236&gt;0,Data!R236,"")</f>
        <v/>
      </c>
      <c r="S236" s="1">
        <f>IF(Data!S236&gt;0,Data!S236,"")</f>
        <v/>
      </c>
      <c r="V236" s="3">
        <f>IF(COUNT(D236,J236,K236,L236,M236,O236)&gt;0,AVERAGE(D236,J236,K236,L236,M236,O236),"")</f>
        <v/>
      </c>
      <c r="W236" s="3">
        <f>IF(COUNT(C236,F236,G236,N236,Q236)&gt;0,AVERAGE(C236,F236,G236,N236,Q236),"")</f>
        <v/>
      </c>
      <c r="X236" s="3">
        <f>IF(COUNT(B236,E236,H236,I236,P236,R236,S236)&gt;0,AVERAGE(B236,E236,H236,I236,P236,R236,S236),"")</f>
        <v/>
      </c>
      <c r="Y236" s="3" t="n"/>
      <c r="AJ236">
        <f>IFERROR(AVERAGEIF($A$4:$A$1004,AI236,$V$4:$V$1004),"")</f>
        <v/>
      </c>
      <c r="AK236">
        <f>IFERROR(AVERAGEIF($A$4:$A$1004,AI236,$W$4:$W$1004),"")</f>
        <v/>
      </c>
      <c r="AL236">
        <f>IFERROR(AVERAGEIF($A$4:$A$1004,AI236,$X$4:$X$1004),"")</f>
        <v/>
      </c>
    </row>
    <row r="237">
      <c r="A237" s="1">
        <f>IF(Data!A237&gt;0,Data!A237,"")</f>
        <v/>
      </c>
      <c r="B237" s="1">
        <f>IF(Data!B237&gt;0,Data!B237,"")</f>
        <v/>
      </c>
      <c r="C237" s="1">
        <f>IF(Data!C237&gt;0,Data!C237,"")</f>
        <v/>
      </c>
      <c r="D237" s="1">
        <f>IF(Data!D237&gt;0,Data!D237,"")</f>
        <v/>
      </c>
      <c r="E237" s="1">
        <f>IF(Data!E237&gt;0,Data!E237,"")</f>
        <v/>
      </c>
      <c r="F237" s="1">
        <f>IF(Data!F237&gt;0,Data!F237,"")</f>
        <v/>
      </c>
      <c r="G237" s="1">
        <f>IF(Data!G237&gt;0,Data!G237,"")</f>
        <v/>
      </c>
      <c r="H237" s="1">
        <f>IF(Data!H237&gt;0,Data!H237,"")</f>
        <v/>
      </c>
      <c r="I237" s="1">
        <f>IF(Data!I237&gt;0,Data!I237,"")</f>
        <v/>
      </c>
      <c r="J237" s="1">
        <f>IF(Data!J237&gt;0,Data!J237,"")</f>
        <v/>
      </c>
      <c r="K237" s="1">
        <f>IF(Data!K237&gt;0,Data!K237,"")</f>
        <v/>
      </c>
      <c r="L237" s="1">
        <f>IF(Data!L237&gt;0,Data!L237,"")</f>
        <v/>
      </c>
      <c r="M237" s="1">
        <f>IF(Data!M237&gt;0,Data!M237,"")</f>
        <v/>
      </c>
      <c r="N237" s="1">
        <f>IF(Data!N237&gt;0,Data!N237,"")</f>
        <v/>
      </c>
      <c r="O237" s="1">
        <f>IF(Data!O237&gt;0,Data!O237,"")</f>
        <v/>
      </c>
      <c r="P237" s="1">
        <f>IF(Data!P237&gt;0,Data!P237,"")</f>
        <v/>
      </c>
      <c r="Q237" s="1">
        <f>IF(Data!Q237&gt;0,Data!Q237,"")</f>
        <v/>
      </c>
      <c r="R237" s="1">
        <f>IF(Data!R237&gt;0,Data!R237,"")</f>
        <v/>
      </c>
      <c r="S237" s="1">
        <f>IF(Data!S237&gt;0,Data!S237,"")</f>
        <v/>
      </c>
      <c r="V237" s="3">
        <f>IF(COUNT(D237,J237,K237,L237,M237,O237)&gt;0,AVERAGE(D237,J237,K237,L237,M237,O237),"")</f>
        <v/>
      </c>
      <c r="W237" s="3">
        <f>IF(COUNT(C237,F237,G237,N237,Q237)&gt;0,AVERAGE(C237,F237,G237,N237,Q237),"")</f>
        <v/>
      </c>
      <c r="X237" s="3">
        <f>IF(COUNT(B237,E237,H237,I237,P237,R237,S237)&gt;0,AVERAGE(B237,E237,H237,I237,P237,R237,S237),"")</f>
        <v/>
      </c>
      <c r="Y237" s="3" t="n"/>
      <c r="AJ237">
        <f>IFERROR(AVERAGEIF($A$4:$A$1004,AI237,$V$4:$V$1004),"")</f>
        <v/>
      </c>
      <c r="AK237">
        <f>IFERROR(AVERAGEIF($A$4:$A$1004,AI237,$W$4:$W$1004),"")</f>
        <v/>
      </c>
      <c r="AL237">
        <f>IFERROR(AVERAGEIF($A$4:$A$1004,AI237,$X$4:$X$1004),"")</f>
        <v/>
      </c>
    </row>
    <row r="238">
      <c r="A238" s="1">
        <f>IF(Data!A238&gt;0,Data!A238,"")</f>
        <v/>
      </c>
      <c r="B238" s="1">
        <f>IF(Data!B238&gt;0,Data!B238,"")</f>
        <v/>
      </c>
      <c r="C238" s="1">
        <f>IF(Data!C238&gt;0,Data!C238,"")</f>
        <v/>
      </c>
      <c r="D238" s="1">
        <f>IF(Data!D238&gt;0,Data!D238,"")</f>
        <v/>
      </c>
      <c r="E238" s="1">
        <f>IF(Data!E238&gt;0,Data!E238,"")</f>
        <v/>
      </c>
      <c r="F238" s="1">
        <f>IF(Data!F238&gt;0,Data!F238,"")</f>
        <v/>
      </c>
      <c r="G238" s="1">
        <f>IF(Data!G238&gt;0,Data!G238,"")</f>
        <v/>
      </c>
      <c r="H238" s="1">
        <f>IF(Data!H238&gt;0,Data!H238,"")</f>
        <v/>
      </c>
      <c r="I238" s="1">
        <f>IF(Data!I238&gt;0,Data!I238,"")</f>
        <v/>
      </c>
      <c r="J238" s="1">
        <f>IF(Data!J238&gt;0,Data!J238,"")</f>
        <v/>
      </c>
      <c r="K238" s="1">
        <f>IF(Data!K238&gt;0,Data!K238,"")</f>
        <v/>
      </c>
      <c r="L238" s="1">
        <f>IF(Data!L238&gt;0,Data!L238,"")</f>
        <v/>
      </c>
      <c r="M238" s="1">
        <f>IF(Data!M238&gt;0,Data!M238,"")</f>
        <v/>
      </c>
      <c r="N238" s="1">
        <f>IF(Data!N238&gt;0,Data!N238,"")</f>
        <v/>
      </c>
      <c r="O238" s="1">
        <f>IF(Data!O238&gt;0,Data!O238,"")</f>
        <v/>
      </c>
      <c r="P238" s="1">
        <f>IF(Data!P238&gt;0,Data!P238,"")</f>
        <v/>
      </c>
      <c r="Q238" s="1">
        <f>IF(Data!Q238&gt;0,Data!Q238,"")</f>
        <v/>
      </c>
      <c r="R238" s="1">
        <f>IF(Data!R238&gt;0,Data!R238,"")</f>
        <v/>
      </c>
      <c r="S238" s="1">
        <f>IF(Data!S238&gt;0,Data!S238,"")</f>
        <v/>
      </c>
      <c r="V238" s="3">
        <f>IF(COUNT(D238,J238,K238,L238,M238,O238)&gt;0,AVERAGE(D238,J238,K238,L238,M238,O238),"")</f>
        <v/>
      </c>
      <c r="W238" s="3">
        <f>IF(COUNT(C238,F238,G238,N238,Q238)&gt;0,AVERAGE(C238,F238,G238,N238,Q238),"")</f>
        <v/>
      </c>
      <c r="X238" s="3">
        <f>IF(COUNT(B238,E238,H238,I238,P238,R238,S238)&gt;0,AVERAGE(B238,E238,H238,I238,P238,R238,S238),"")</f>
        <v/>
      </c>
      <c r="Y238" s="3" t="n"/>
      <c r="AJ238">
        <f>IFERROR(AVERAGEIF($A$4:$A$1004,AI238,$V$4:$V$1004),"")</f>
        <v/>
      </c>
      <c r="AK238">
        <f>IFERROR(AVERAGEIF($A$4:$A$1004,AI238,$W$4:$W$1004),"")</f>
        <v/>
      </c>
      <c r="AL238">
        <f>IFERROR(AVERAGEIF($A$4:$A$1004,AI238,$X$4:$X$1004),"")</f>
        <v/>
      </c>
    </row>
    <row r="239">
      <c r="A239" s="1">
        <f>IF(Data!A239&gt;0,Data!A239,"")</f>
        <v/>
      </c>
      <c r="B239" s="1">
        <f>IF(Data!B239&gt;0,Data!B239,"")</f>
        <v/>
      </c>
      <c r="C239" s="1">
        <f>IF(Data!C239&gt;0,Data!C239,"")</f>
        <v/>
      </c>
      <c r="D239" s="1">
        <f>IF(Data!D239&gt;0,Data!D239,"")</f>
        <v/>
      </c>
      <c r="E239" s="1">
        <f>IF(Data!E239&gt;0,Data!E239,"")</f>
        <v/>
      </c>
      <c r="F239" s="1">
        <f>IF(Data!F239&gt;0,Data!F239,"")</f>
        <v/>
      </c>
      <c r="G239" s="1">
        <f>IF(Data!G239&gt;0,Data!G239,"")</f>
        <v/>
      </c>
      <c r="H239" s="1">
        <f>IF(Data!H239&gt;0,Data!H239,"")</f>
        <v/>
      </c>
      <c r="I239" s="1">
        <f>IF(Data!I239&gt;0,Data!I239,"")</f>
        <v/>
      </c>
      <c r="J239" s="1">
        <f>IF(Data!J239&gt;0,Data!J239,"")</f>
        <v/>
      </c>
      <c r="K239" s="1">
        <f>IF(Data!K239&gt;0,Data!K239,"")</f>
        <v/>
      </c>
      <c r="L239" s="1">
        <f>IF(Data!L239&gt;0,Data!L239,"")</f>
        <v/>
      </c>
      <c r="M239" s="1">
        <f>IF(Data!M239&gt;0,Data!M239,"")</f>
        <v/>
      </c>
      <c r="N239" s="1">
        <f>IF(Data!N239&gt;0,Data!N239,"")</f>
        <v/>
      </c>
      <c r="O239" s="1">
        <f>IF(Data!O239&gt;0,Data!O239,"")</f>
        <v/>
      </c>
      <c r="P239" s="1">
        <f>IF(Data!P239&gt;0,Data!P239,"")</f>
        <v/>
      </c>
      <c r="Q239" s="1">
        <f>IF(Data!Q239&gt;0,Data!Q239,"")</f>
        <v/>
      </c>
      <c r="R239" s="1">
        <f>IF(Data!R239&gt;0,Data!R239,"")</f>
        <v/>
      </c>
      <c r="S239" s="1">
        <f>IF(Data!S239&gt;0,Data!S239,"")</f>
        <v/>
      </c>
      <c r="V239" s="3">
        <f>IF(COUNT(D239,J239,K239,L239,M239,O239)&gt;0,AVERAGE(D239,J239,K239,L239,M239,O239),"")</f>
        <v/>
      </c>
      <c r="W239" s="3">
        <f>IF(COUNT(C239,F239,G239,N239,Q239)&gt;0,AVERAGE(C239,F239,G239,N239,Q239),"")</f>
        <v/>
      </c>
      <c r="X239" s="3">
        <f>IF(COUNT(B239,E239,H239,I239,P239,R239,S239)&gt;0,AVERAGE(B239,E239,H239,I239,P239,R239,S239),"")</f>
        <v/>
      </c>
      <c r="Y239" s="3" t="n"/>
      <c r="AJ239">
        <f>IFERROR(AVERAGEIF($A$4:$A$1004,AI239,$V$4:$V$1004),"")</f>
        <v/>
      </c>
      <c r="AK239">
        <f>IFERROR(AVERAGEIF($A$4:$A$1004,AI239,$W$4:$W$1004),"")</f>
        <v/>
      </c>
      <c r="AL239">
        <f>IFERROR(AVERAGEIF($A$4:$A$1004,AI239,$X$4:$X$1004),"")</f>
        <v/>
      </c>
    </row>
    <row r="240">
      <c r="A240" s="1">
        <f>IF(Data!A240&gt;0,Data!A240,"")</f>
        <v/>
      </c>
      <c r="B240" s="1">
        <f>IF(Data!B240&gt;0,Data!B240,"")</f>
        <v/>
      </c>
      <c r="C240" s="1">
        <f>IF(Data!C240&gt;0,Data!C240,"")</f>
        <v/>
      </c>
      <c r="D240" s="1">
        <f>IF(Data!D240&gt;0,Data!D240,"")</f>
        <v/>
      </c>
      <c r="E240" s="1">
        <f>IF(Data!E240&gt;0,Data!E240,"")</f>
        <v/>
      </c>
      <c r="F240" s="1">
        <f>IF(Data!F240&gt;0,Data!F240,"")</f>
        <v/>
      </c>
      <c r="G240" s="1">
        <f>IF(Data!G240&gt;0,Data!G240,"")</f>
        <v/>
      </c>
      <c r="H240" s="1">
        <f>IF(Data!H240&gt;0,Data!H240,"")</f>
        <v/>
      </c>
      <c r="I240" s="1">
        <f>IF(Data!I240&gt;0,Data!I240,"")</f>
        <v/>
      </c>
      <c r="J240" s="1">
        <f>IF(Data!J240&gt;0,Data!J240,"")</f>
        <v/>
      </c>
      <c r="K240" s="1">
        <f>IF(Data!K240&gt;0,Data!K240,"")</f>
        <v/>
      </c>
      <c r="L240" s="1">
        <f>IF(Data!L240&gt;0,Data!L240,"")</f>
        <v/>
      </c>
      <c r="M240" s="1">
        <f>IF(Data!M240&gt;0,Data!M240,"")</f>
        <v/>
      </c>
      <c r="N240" s="1">
        <f>IF(Data!N240&gt;0,Data!N240,"")</f>
        <v/>
      </c>
      <c r="O240" s="1">
        <f>IF(Data!O240&gt;0,Data!O240,"")</f>
        <v/>
      </c>
      <c r="P240" s="1">
        <f>IF(Data!P240&gt;0,Data!P240,"")</f>
        <v/>
      </c>
      <c r="Q240" s="1">
        <f>IF(Data!Q240&gt;0,Data!Q240,"")</f>
        <v/>
      </c>
      <c r="R240" s="1">
        <f>IF(Data!R240&gt;0,Data!R240,"")</f>
        <v/>
      </c>
      <c r="S240" s="1">
        <f>IF(Data!S240&gt;0,Data!S240,"")</f>
        <v/>
      </c>
      <c r="V240" s="3">
        <f>IF(COUNT(D240,J240,K240,L240,M240,O240)&gt;0,AVERAGE(D240,J240,K240,L240,M240,O240),"")</f>
        <v/>
      </c>
      <c r="W240" s="3">
        <f>IF(COUNT(C240,F240,G240,N240,Q240)&gt;0,AVERAGE(C240,F240,G240,N240,Q240),"")</f>
        <v/>
      </c>
      <c r="X240" s="3">
        <f>IF(COUNT(B240,E240,H240,I240,P240,R240,S240)&gt;0,AVERAGE(B240,E240,H240,I240,P240,R240,S240),"")</f>
        <v/>
      </c>
      <c r="Y240" s="3" t="n"/>
      <c r="AJ240">
        <f>IFERROR(AVERAGEIF($A$4:$A$1004,AI240,$V$4:$V$1004),"")</f>
        <v/>
      </c>
      <c r="AK240">
        <f>IFERROR(AVERAGEIF($A$4:$A$1004,AI240,$W$4:$W$1004),"")</f>
        <v/>
      </c>
      <c r="AL240">
        <f>IFERROR(AVERAGEIF($A$4:$A$1004,AI240,$X$4:$X$1004),"")</f>
        <v/>
      </c>
    </row>
    <row r="241">
      <c r="A241" s="1">
        <f>IF(Data!A241&gt;0,Data!A241,"")</f>
        <v/>
      </c>
      <c r="B241" s="1">
        <f>IF(Data!B241&gt;0,Data!B241,"")</f>
        <v/>
      </c>
      <c r="C241" s="1">
        <f>IF(Data!C241&gt;0,Data!C241,"")</f>
        <v/>
      </c>
      <c r="D241" s="1">
        <f>IF(Data!D241&gt;0,Data!D241,"")</f>
        <v/>
      </c>
      <c r="E241" s="1">
        <f>IF(Data!E241&gt;0,Data!E241,"")</f>
        <v/>
      </c>
      <c r="F241" s="1">
        <f>IF(Data!F241&gt;0,Data!F241,"")</f>
        <v/>
      </c>
      <c r="G241" s="1">
        <f>IF(Data!G241&gt;0,Data!G241,"")</f>
        <v/>
      </c>
      <c r="H241" s="1">
        <f>IF(Data!H241&gt;0,Data!H241,"")</f>
        <v/>
      </c>
      <c r="I241" s="1">
        <f>IF(Data!I241&gt;0,Data!I241,"")</f>
        <v/>
      </c>
      <c r="J241" s="1">
        <f>IF(Data!J241&gt;0,Data!J241,"")</f>
        <v/>
      </c>
      <c r="K241" s="1">
        <f>IF(Data!K241&gt;0,Data!K241,"")</f>
        <v/>
      </c>
      <c r="L241" s="1">
        <f>IF(Data!L241&gt;0,Data!L241,"")</f>
        <v/>
      </c>
      <c r="M241" s="1">
        <f>IF(Data!M241&gt;0,Data!M241,"")</f>
        <v/>
      </c>
      <c r="N241" s="1">
        <f>IF(Data!N241&gt;0,Data!N241,"")</f>
        <v/>
      </c>
      <c r="O241" s="1">
        <f>IF(Data!O241&gt;0,Data!O241,"")</f>
        <v/>
      </c>
      <c r="P241" s="1">
        <f>IF(Data!P241&gt;0,Data!P241,"")</f>
        <v/>
      </c>
      <c r="Q241" s="1">
        <f>IF(Data!Q241&gt;0,Data!Q241,"")</f>
        <v/>
      </c>
      <c r="R241" s="1">
        <f>IF(Data!R241&gt;0,Data!R241,"")</f>
        <v/>
      </c>
      <c r="S241" s="1">
        <f>IF(Data!S241&gt;0,Data!S241,"")</f>
        <v/>
      </c>
      <c r="V241" s="3">
        <f>IF(COUNT(D241,J241,K241,L241,M241,O241)&gt;0,AVERAGE(D241,J241,K241,L241,M241,O241),"")</f>
        <v/>
      </c>
      <c r="W241" s="3">
        <f>IF(COUNT(C241,F241,G241,N241,Q241)&gt;0,AVERAGE(C241,F241,G241,N241,Q241),"")</f>
        <v/>
      </c>
      <c r="X241" s="3">
        <f>IF(COUNT(B241,E241,H241,I241,P241,R241,S241)&gt;0,AVERAGE(B241,E241,H241,I241,P241,R241,S241),"")</f>
        <v/>
      </c>
      <c r="Y241" s="3" t="n"/>
      <c r="AJ241">
        <f>IFERROR(AVERAGEIF($A$4:$A$1004,AI241,$V$4:$V$1004),"")</f>
        <v/>
      </c>
      <c r="AK241">
        <f>IFERROR(AVERAGEIF($A$4:$A$1004,AI241,$W$4:$W$1004),"")</f>
        <v/>
      </c>
      <c r="AL241">
        <f>IFERROR(AVERAGEIF($A$4:$A$1004,AI241,$X$4:$X$1004),"")</f>
        <v/>
      </c>
    </row>
    <row r="242">
      <c r="A242" s="1">
        <f>IF(Data!A242&gt;0,Data!A242,"")</f>
        <v/>
      </c>
      <c r="B242" s="1">
        <f>IF(Data!B242&gt;0,Data!B242,"")</f>
        <v/>
      </c>
      <c r="C242" s="1">
        <f>IF(Data!C242&gt;0,Data!C242,"")</f>
        <v/>
      </c>
      <c r="D242" s="1">
        <f>IF(Data!D242&gt;0,Data!D242,"")</f>
        <v/>
      </c>
      <c r="E242" s="1">
        <f>IF(Data!E242&gt;0,Data!E242,"")</f>
        <v/>
      </c>
      <c r="F242" s="1">
        <f>IF(Data!F242&gt;0,Data!F242,"")</f>
        <v/>
      </c>
      <c r="G242" s="1">
        <f>IF(Data!G242&gt;0,Data!G242,"")</f>
        <v/>
      </c>
      <c r="H242" s="1">
        <f>IF(Data!H242&gt;0,Data!H242,"")</f>
        <v/>
      </c>
      <c r="I242" s="1">
        <f>IF(Data!I242&gt;0,Data!I242,"")</f>
        <v/>
      </c>
      <c r="J242" s="1">
        <f>IF(Data!J242&gt;0,Data!J242,"")</f>
        <v/>
      </c>
      <c r="K242" s="1">
        <f>IF(Data!K242&gt;0,Data!K242,"")</f>
        <v/>
      </c>
      <c r="L242" s="1">
        <f>IF(Data!L242&gt;0,Data!L242,"")</f>
        <v/>
      </c>
      <c r="M242" s="1">
        <f>IF(Data!M242&gt;0,Data!M242,"")</f>
        <v/>
      </c>
      <c r="N242" s="1">
        <f>IF(Data!N242&gt;0,Data!N242,"")</f>
        <v/>
      </c>
      <c r="O242" s="1">
        <f>IF(Data!O242&gt;0,Data!O242,"")</f>
        <v/>
      </c>
      <c r="P242" s="1">
        <f>IF(Data!P242&gt;0,Data!P242,"")</f>
        <v/>
      </c>
      <c r="Q242" s="1">
        <f>IF(Data!Q242&gt;0,Data!Q242,"")</f>
        <v/>
      </c>
      <c r="R242" s="1">
        <f>IF(Data!R242&gt;0,Data!R242,"")</f>
        <v/>
      </c>
      <c r="S242" s="1">
        <f>IF(Data!S242&gt;0,Data!S242,"")</f>
        <v/>
      </c>
      <c r="V242" s="3">
        <f>IF(COUNT(D242,J242,K242,L242,M242,O242)&gt;0,AVERAGE(D242,J242,K242,L242,M242,O242),"")</f>
        <v/>
      </c>
      <c r="W242" s="3">
        <f>IF(COUNT(C242,F242,G242,N242,Q242)&gt;0,AVERAGE(C242,F242,G242,N242,Q242),"")</f>
        <v/>
      </c>
      <c r="X242" s="3">
        <f>IF(COUNT(B242,E242,H242,I242,P242,R242,S242)&gt;0,AVERAGE(B242,E242,H242,I242,P242,R242,S242),"")</f>
        <v/>
      </c>
      <c r="Y242" s="3" t="n"/>
      <c r="AJ242">
        <f>IFERROR(AVERAGEIF($A$4:$A$1004,AI242,$V$4:$V$1004),"")</f>
        <v/>
      </c>
      <c r="AK242">
        <f>IFERROR(AVERAGEIF($A$4:$A$1004,AI242,$W$4:$W$1004),"")</f>
        <v/>
      </c>
      <c r="AL242">
        <f>IFERROR(AVERAGEIF($A$4:$A$1004,AI242,$X$4:$X$1004),"")</f>
        <v/>
      </c>
    </row>
    <row r="243">
      <c r="A243" s="1">
        <f>IF(Data!A243&gt;0,Data!A243,"")</f>
        <v/>
      </c>
      <c r="B243" s="1">
        <f>IF(Data!B243&gt;0,Data!B243,"")</f>
        <v/>
      </c>
      <c r="C243" s="1">
        <f>IF(Data!C243&gt;0,Data!C243,"")</f>
        <v/>
      </c>
      <c r="D243" s="1">
        <f>IF(Data!D243&gt;0,Data!D243,"")</f>
        <v/>
      </c>
      <c r="E243" s="1">
        <f>IF(Data!E243&gt;0,Data!E243,"")</f>
        <v/>
      </c>
      <c r="F243" s="1">
        <f>IF(Data!F243&gt;0,Data!F243,"")</f>
        <v/>
      </c>
      <c r="G243" s="1">
        <f>IF(Data!G243&gt;0,Data!G243,"")</f>
        <v/>
      </c>
      <c r="H243" s="1">
        <f>IF(Data!H243&gt;0,Data!H243,"")</f>
        <v/>
      </c>
      <c r="I243" s="1">
        <f>IF(Data!I243&gt;0,Data!I243,"")</f>
        <v/>
      </c>
      <c r="J243" s="1">
        <f>IF(Data!J243&gt;0,Data!J243,"")</f>
        <v/>
      </c>
      <c r="K243" s="1">
        <f>IF(Data!K243&gt;0,Data!K243,"")</f>
        <v/>
      </c>
      <c r="L243" s="1">
        <f>IF(Data!L243&gt;0,Data!L243,"")</f>
        <v/>
      </c>
      <c r="M243" s="1">
        <f>IF(Data!M243&gt;0,Data!M243,"")</f>
        <v/>
      </c>
      <c r="N243" s="1">
        <f>IF(Data!N243&gt;0,Data!N243,"")</f>
        <v/>
      </c>
      <c r="O243" s="1">
        <f>IF(Data!O243&gt;0,Data!O243,"")</f>
        <v/>
      </c>
      <c r="P243" s="1">
        <f>IF(Data!P243&gt;0,Data!P243,"")</f>
        <v/>
      </c>
      <c r="Q243" s="1">
        <f>IF(Data!Q243&gt;0,Data!Q243,"")</f>
        <v/>
      </c>
      <c r="R243" s="1">
        <f>IF(Data!R243&gt;0,Data!R243,"")</f>
        <v/>
      </c>
      <c r="S243" s="1">
        <f>IF(Data!S243&gt;0,Data!S243,"")</f>
        <v/>
      </c>
      <c r="V243" s="3">
        <f>IF(COUNT(D243,J243,K243,L243,M243,O243)&gt;0,AVERAGE(D243,J243,K243,L243,M243,O243),"")</f>
        <v/>
      </c>
      <c r="W243" s="3">
        <f>IF(COUNT(C243,F243,G243,N243,Q243)&gt;0,AVERAGE(C243,F243,G243,N243,Q243),"")</f>
        <v/>
      </c>
      <c r="X243" s="3">
        <f>IF(COUNT(B243,E243,H243,I243,P243,R243,S243)&gt;0,AVERAGE(B243,E243,H243,I243,P243,R243,S243),"")</f>
        <v/>
      </c>
      <c r="Y243" s="3" t="n"/>
      <c r="AJ243">
        <f>IFERROR(AVERAGEIF($A$4:$A$1004,AI243,$V$4:$V$1004),"")</f>
        <v/>
      </c>
      <c r="AK243">
        <f>IFERROR(AVERAGEIF($A$4:$A$1004,AI243,$W$4:$W$1004),"")</f>
        <v/>
      </c>
      <c r="AL243">
        <f>IFERROR(AVERAGEIF($A$4:$A$1004,AI243,$X$4:$X$1004),"")</f>
        <v/>
      </c>
    </row>
    <row r="244">
      <c r="A244" s="1">
        <f>IF(Data!A244&gt;0,Data!A244,"")</f>
        <v/>
      </c>
      <c r="B244" s="1">
        <f>IF(Data!B244&gt;0,Data!B244,"")</f>
        <v/>
      </c>
      <c r="C244" s="1">
        <f>IF(Data!C244&gt;0,Data!C244,"")</f>
        <v/>
      </c>
      <c r="D244" s="1">
        <f>IF(Data!D244&gt;0,Data!D244,"")</f>
        <v/>
      </c>
      <c r="E244" s="1">
        <f>IF(Data!E244&gt;0,Data!E244,"")</f>
        <v/>
      </c>
      <c r="F244" s="1">
        <f>IF(Data!F244&gt;0,Data!F244,"")</f>
        <v/>
      </c>
      <c r="G244" s="1">
        <f>IF(Data!G244&gt;0,Data!G244,"")</f>
        <v/>
      </c>
      <c r="H244" s="1">
        <f>IF(Data!H244&gt;0,Data!H244,"")</f>
        <v/>
      </c>
      <c r="I244" s="1">
        <f>IF(Data!I244&gt;0,Data!I244,"")</f>
        <v/>
      </c>
      <c r="J244" s="1">
        <f>IF(Data!J244&gt;0,Data!J244,"")</f>
        <v/>
      </c>
      <c r="K244" s="1">
        <f>IF(Data!K244&gt;0,Data!K244,"")</f>
        <v/>
      </c>
      <c r="L244" s="1">
        <f>IF(Data!L244&gt;0,Data!L244,"")</f>
        <v/>
      </c>
      <c r="M244" s="1">
        <f>IF(Data!M244&gt;0,Data!M244,"")</f>
        <v/>
      </c>
      <c r="N244" s="1">
        <f>IF(Data!N244&gt;0,Data!N244,"")</f>
        <v/>
      </c>
      <c r="O244" s="1">
        <f>IF(Data!O244&gt;0,Data!O244,"")</f>
        <v/>
      </c>
      <c r="P244" s="1">
        <f>IF(Data!P244&gt;0,Data!P244,"")</f>
        <v/>
      </c>
      <c r="Q244" s="1">
        <f>IF(Data!Q244&gt;0,Data!Q244,"")</f>
        <v/>
      </c>
      <c r="R244" s="1">
        <f>IF(Data!R244&gt;0,Data!R244,"")</f>
        <v/>
      </c>
      <c r="S244" s="1">
        <f>IF(Data!S244&gt;0,Data!S244,"")</f>
        <v/>
      </c>
      <c r="V244" s="3">
        <f>IF(COUNT(D244,J244,K244,L244,M244,O244)&gt;0,AVERAGE(D244,J244,K244,L244,M244,O244),"")</f>
        <v/>
      </c>
      <c r="W244" s="3">
        <f>IF(COUNT(C244,F244,G244,N244,Q244)&gt;0,AVERAGE(C244,F244,G244,N244,Q244),"")</f>
        <v/>
      </c>
      <c r="X244" s="3">
        <f>IF(COUNT(B244,E244,H244,I244,P244,R244,S244)&gt;0,AVERAGE(B244,E244,H244,I244,P244,R244,S244),"")</f>
        <v/>
      </c>
      <c r="Y244" s="3" t="n"/>
      <c r="AJ244">
        <f>IFERROR(AVERAGEIF($A$4:$A$1004,AI244,$V$4:$V$1004),"")</f>
        <v/>
      </c>
      <c r="AK244">
        <f>IFERROR(AVERAGEIF($A$4:$A$1004,AI244,$W$4:$W$1004),"")</f>
        <v/>
      </c>
      <c r="AL244">
        <f>IFERROR(AVERAGEIF($A$4:$A$1004,AI244,$X$4:$X$1004),"")</f>
        <v/>
      </c>
    </row>
    <row r="245">
      <c r="A245" s="1">
        <f>IF(Data!A245&gt;0,Data!A245,"")</f>
        <v/>
      </c>
      <c r="B245" s="1">
        <f>IF(Data!B245&gt;0,Data!B245,"")</f>
        <v/>
      </c>
      <c r="C245" s="1">
        <f>IF(Data!C245&gt;0,Data!C245,"")</f>
        <v/>
      </c>
      <c r="D245" s="1">
        <f>IF(Data!D245&gt;0,Data!D245,"")</f>
        <v/>
      </c>
      <c r="E245" s="1">
        <f>IF(Data!E245&gt;0,Data!E245,"")</f>
        <v/>
      </c>
      <c r="F245" s="1">
        <f>IF(Data!F245&gt;0,Data!F245,"")</f>
        <v/>
      </c>
      <c r="G245" s="1">
        <f>IF(Data!G245&gt;0,Data!G245,"")</f>
        <v/>
      </c>
      <c r="H245" s="1">
        <f>IF(Data!H245&gt;0,Data!H245,"")</f>
        <v/>
      </c>
      <c r="I245" s="1">
        <f>IF(Data!I245&gt;0,Data!I245,"")</f>
        <v/>
      </c>
      <c r="J245" s="1">
        <f>IF(Data!J245&gt;0,Data!J245,"")</f>
        <v/>
      </c>
      <c r="K245" s="1">
        <f>IF(Data!K245&gt;0,Data!K245,"")</f>
        <v/>
      </c>
      <c r="L245" s="1">
        <f>IF(Data!L245&gt;0,Data!L245,"")</f>
        <v/>
      </c>
      <c r="M245" s="1">
        <f>IF(Data!M245&gt;0,Data!M245,"")</f>
        <v/>
      </c>
      <c r="N245" s="1">
        <f>IF(Data!N245&gt;0,Data!N245,"")</f>
        <v/>
      </c>
      <c r="O245" s="1">
        <f>IF(Data!O245&gt;0,Data!O245,"")</f>
        <v/>
      </c>
      <c r="P245" s="1">
        <f>IF(Data!P245&gt;0,Data!P245,"")</f>
        <v/>
      </c>
      <c r="Q245" s="1">
        <f>IF(Data!Q245&gt;0,Data!Q245,"")</f>
        <v/>
      </c>
      <c r="R245" s="1">
        <f>IF(Data!R245&gt;0,Data!R245,"")</f>
        <v/>
      </c>
      <c r="S245" s="1">
        <f>IF(Data!S245&gt;0,Data!S245,"")</f>
        <v/>
      </c>
      <c r="V245" s="3">
        <f>IF(COUNT(D245,J245,K245,L245,M245,O245)&gt;0,AVERAGE(D245,J245,K245,L245,M245,O245),"")</f>
        <v/>
      </c>
      <c r="W245" s="3">
        <f>IF(COUNT(C245,F245,G245,N245,Q245)&gt;0,AVERAGE(C245,F245,G245,N245,Q245),"")</f>
        <v/>
      </c>
      <c r="X245" s="3">
        <f>IF(COUNT(B245,E245,H245,I245,P245,R245,S245)&gt;0,AVERAGE(B245,E245,H245,I245,P245,R245,S245),"")</f>
        <v/>
      </c>
      <c r="Y245" s="3" t="n"/>
      <c r="AJ245">
        <f>IFERROR(AVERAGEIF($A$4:$A$1004,AI245,$V$4:$V$1004),"")</f>
        <v/>
      </c>
      <c r="AK245">
        <f>IFERROR(AVERAGEIF($A$4:$A$1004,AI245,$W$4:$W$1004),"")</f>
        <v/>
      </c>
      <c r="AL245">
        <f>IFERROR(AVERAGEIF($A$4:$A$1004,AI245,$X$4:$X$1004),"")</f>
        <v/>
      </c>
    </row>
    <row r="246">
      <c r="A246" s="1">
        <f>IF(Data!A246&gt;0,Data!A246,"")</f>
        <v/>
      </c>
      <c r="B246" s="1">
        <f>IF(Data!B246&gt;0,Data!B246,"")</f>
        <v/>
      </c>
      <c r="C246" s="1">
        <f>IF(Data!C246&gt;0,Data!C246,"")</f>
        <v/>
      </c>
      <c r="D246" s="1">
        <f>IF(Data!D246&gt;0,Data!D246,"")</f>
        <v/>
      </c>
      <c r="E246" s="1">
        <f>IF(Data!E246&gt;0,Data!E246,"")</f>
        <v/>
      </c>
      <c r="F246" s="1">
        <f>IF(Data!F246&gt;0,Data!F246,"")</f>
        <v/>
      </c>
      <c r="G246" s="1">
        <f>IF(Data!G246&gt;0,Data!G246,"")</f>
        <v/>
      </c>
      <c r="H246" s="1">
        <f>IF(Data!H246&gt;0,Data!H246,"")</f>
        <v/>
      </c>
      <c r="I246" s="1">
        <f>IF(Data!I246&gt;0,Data!I246,"")</f>
        <v/>
      </c>
      <c r="J246" s="1">
        <f>IF(Data!J246&gt;0,Data!J246,"")</f>
        <v/>
      </c>
      <c r="K246" s="1">
        <f>IF(Data!K246&gt;0,Data!K246,"")</f>
        <v/>
      </c>
      <c r="L246" s="1">
        <f>IF(Data!L246&gt;0,Data!L246,"")</f>
        <v/>
      </c>
      <c r="M246" s="1">
        <f>IF(Data!M246&gt;0,Data!M246,"")</f>
        <v/>
      </c>
      <c r="N246" s="1">
        <f>IF(Data!N246&gt;0,Data!N246,"")</f>
        <v/>
      </c>
      <c r="O246" s="1">
        <f>IF(Data!O246&gt;0,Data!O246,"")</f>
        <v/>
      </c>
      <c r="P246" s="1">
        <f>IF(Data!P246&gt;0,Data!P246,"")</f>
        <v/>
      </c>
      <c r="Q246" s="1">
        <f>IF(Data!Q246&gt;0,Data!Q246,"")</f>
        <v/>
      </c>
      <c r="R246" s="1">
        <f>IF(Data!R246&gt;0,Data!R246,"")</f>
        <v/>
      </c>
      <c r="S246" s="1">
        <f>IF(Data!S246&gt;0,Data!S246,"")</f>
        <v/>
      </c>
      <c r="V246" s="3">
        <f>IF(COUNT(D246,J246,K246,L246,M246,O246)&gt;0,AVERAGE(D246,J246,K246,L246,M246,O246),"")</f>
        <v/>
      </c>
      <c r="W246" s="3">
        <f>IF(COUNT(C246,F246,G246,N246,Q246)&gt;0,AVERAGE(C246,F246,G246,N246,Q246),"")</f>
        <v/>
      </c>
      <c r="X246" s="3">
        <f>IF(COUNT(B246,E246,H246,I246,P246,R246,S246)&gt;0,AVERAGE(B246,E246,H246,I246,P246,R246,S246),"")</f>
        <v/>
      </c>
      <c r="Y246" s="3" t="n"/>
      <c r="AJ246">
        <f>IFERROR(AVERAGEIF($A$4:$A$1004,AI246,$V$4:$V$1004),"")</f>
        <v/>
      </c>
      <c r="AK246">
        <f>IFERROR(AVERAGEIF($A$4:$A$1004,AI246,$W$4:$W$1004),"")</f>
        <v/>
      </c>
      <c r="AL246">
        <f>IFERROR(AVERAGEIF($A$4:$A$1004,AI246,$X$4:$X$1004),"")</f>
        <v/>
      </c>
    </row>
    <row r="247">
      <c r="A247" s="1">
        <f>IF(Data!A247&gt;0,Data!A247,"")</f>
        <v/>
      </c>
      <c r="B247" s="1">
        <f>IF(Data!B247&gt;0,Data!B247,"")</f>
        <v/>
      </c>
      <c r="C247" s="1">
        <f>IF(Data!C247&gt;0,Data!C247,"")</f>
        <v/>
      </c>
      <c r="D247" s="1">
        <f>IF(Data!D247&gt;0,Data!D247,"")</f>
        <v/>
      </c>
      <c r="E247" s="1">
        <f>IF(Data!E247&gt;0,Data!E247,"")</f>
        <v/>
      </c>
      <c r="F247" s="1">
        <f>IF(Data!F247&gt;0,Data!F247,"")</f>
        <v/>
      </c>
      <c r="G247" s="1">
        <f>IF(Data!G247&gt;0,Data!G247,"")</f>
        <v/>
      </c>
      <c r="H247" s="1">
        <f>IF(Data!H247&gt;0,Data!H247,"")</f>
        <v/>
      </c>
      <c r="I247" s="1">
        <f>IF(Data!I247&gt;0,Data!I247,"")</f>
        <v/>
      </c>
      <c r="J247" s="1">
        <f>IF(Data!J247&gt;0,Data!J247,"")</f>
        <v/>
      </c>
      <c r="K247" s="1">
        <f>IF(Data!K247&gt;0,Data!K247,"")</f>
        <v/>
      </c>
      <c r="L247" s="1">
        <f>IF(Data!L247&gt;0,Data!L247,"")</f>
        <v/>
      </c>
      <c r="M247" s="1">
        <f>IF(Data!M247&gt;0,Data!M247,"")</f>
        <v/>
      </c>
      <c r="N247" s="1">
        <f>IF(Data!N247&gt;0,Data!N247,"")</f>
        <v/>
      </c>
      <c r="O247" s="1">
        <f>IF(Data!O247&gt;0,Data!O247,"")</f>
        <v/>
      </c>
      <c r="P247" s="1">
        <f>IF(Data!P247&gt;0,Data!P247,"")</f>
        <v/>
      </c>
      <c r="Q247" s="1">
        <f>IF(Data!Q247&gt;0,Data!Q247,"")</f>
        <v/>
      </c>
      <c r="R247" s="1">
        <f>IF(Data!R247&gt;0,Data!R247,"")</f>
        <v/>
      </c>
      <c r="S247" s="1">
        <f>IF(Data!S247&gt;0,Data!S247,"")</f>
        <v/>
      </c>
      <c r="V247" s="3">
        <f>IF(COUNT(D247,J247,K247,L247,M247,O247)&gt;0,AVERAGE(D247,J247,K247,L247,M247,O247),"")</f>
        <v/>
      </c>
      <c r="W247" s="3">
        <f>IF(COUNT(C247,F247,G247,N247,Q247)&gt;0,AVERAGE(C247,F247,G247,N247,Q247),"")</f>
        <v/>
      </c>
      <c r="X247" s="3">
        <f>IF(COUNT(B247,E247,H247,I247,P247,R247,S247)&gt;0,AVERAGE(B247,E247,H247,I247,P247,R247,S247),"")</f>
        <v/>
      </c>
      <c r="Y247" s="3" t="n"/>
      <c r="AJ247">
        <f>IFERROR(AVERAGEIF($A$4:$A$1004,AI247,$V$4:$V$1004),"")</f>
        <v/>
      </c>
      <c r="AK247">
        <f>IFERROR(AVERAGEIF($A$4:$A$1004,AI247,$W$4:$W$1004),"")</f>
        <v/>
      </c>
      <c r="AL247">
        <f>IFERROR(AVERAGEIF($A$4:$A$1004,AI247,$X$4:$X$1004),"")</f>
        <v/>
      </c>
    </row>
    <row r="248">
      <c r="A248" s="1">
        <f>IF(Data!A248&gt;0,Data!A248,"")</f>
        <v/>
      </c>
      <c r="B248" s="1">
        <f>IF(Data!B248&gt;0,Data!B248,"")</f>
        <v/>
      </c>
      <c r="C248" s="1">
        <f>IF(Data!C248&gt;0,Data!C248,"")</f>
        <v/>
      </c>
      <c r="D248" s="1">
        <f>IF(Data!D248&gt;0,Data!D248,"")</f>
        <v/>
      </c>
      <c r="E248" s="1">
        <f>IF(Data!E248&gt;0,Data!E248,"")</f>
        <v/>
      </c>
      <c r="F248" s="1">
        <f>IF(Data!F248&gt;0,Data!F248,"")</f>
        <v/>
      </c>
      <c r="G248" s="1">
        <f>IF(Data!G248&gt;0,Data!G248,"")</f>
        <v/>
      </c>
      <c r="H248" s="1">
        <f>IF(Data!H248&gt;0,Data!H248,"")</f>
        <v/>
      </c>
      <c r="I248" s="1">
        <f>IF(Data!I248&gt;0,Data!I248,"")</f>
        <v/>
      </c>
      <c r="J248" s="1">
        <f>IF(Data!J248&gt;0,Data!J248,"")</f>
        <v/>
      </c>
      <c r="K248" s="1">
        <f>IF(Data!K248&gt;0,Data!K248,"")</f>
        <v/>
      </c>
      <c r="L248" s="1">
        <f>IF(Data!L248&gt;0,Data!L248,"")</f>
        <v/>
      </c>
      <c r="M248" s="1">
        <f>IF(Data!M248&gt;0,Data!M248,"")</f>
        <v/>
      </c>
      <c r="N248" s="1">
        <f>IF(Data!N248&gt;0,Data!N248,"")</f>
        <v/>
      </c>
      <c r="O248" s="1">
        <f>IF(Data!O248&gt;0,Data!O248,"")</f>
        <v/>
      </c>
      <c r="P248" s="1">
        <f>IF(Data!P248&gt;0,Data!P248,"")</f>
        <v/>
      </c>
      <c r="Q248" s="1">
        <f>IF(Data!Q248&gt;0,Data!Q248,"")</f>
        <v/>
      </c>
      <c r="R248" s="1">
        <f>IF(Data!R248&gt;0,Data!R248,"")</f>
        <v/>
      </c>
      <c r="S248" s="1">
        <f>IF(Data!S248&gt;0,Data!S248,"")</f>
        <v/>
      </c>
      <c r="V248" s="3">
        <f>IF(COUNT(D248,J248,K248,L248,M248,O248)&gt;0,AVERAGE(D248,J248,K248,L248,M248,O248),"")</f>
        <v/>
      </c>
      <c r="W248" s="3">
        <f>IF(COUNT(C248,F248,G248,N248,Q248)&gt;0,AVERAGE(C248,F248,G248,N248,Q248),"")</f>
        <v/>
      </c>
      <c r="X248" s="3">
        <f>IF(COUNT(B248,E248,H248,I248,P248,R248,S248)&gt;0,AVERAGE(B248,E248,H248,I248,P248,R248,S248),"")</f>
        <v/>
      </c>
      <c r="Y248" s="3" t="n"/>
      <c r="AJ248">
        <f>IFERROR(AVERAGEIF($A$4:$A$1004,AI248,$V$4:$V$1004),"")</f>
        <v/>
      </c>
      <c r="AK248">
        <f>IFERROR(AVERAGEIF($A$4:$A$1004,AI248,$W$4:$W$1004),"")</f>
        <v/>
      </c>
      <c r="AL248">
        <f>IFERROR(AVERAGEIF($A$4:$A$1004,AI248,$X$4:$X$1004),"")</f>
        <v/>
      </c>
    </row>
    <row r="249">
      <c r="A249" s="1">
        <f>IF(Data!A249&gt;0,Data!A249,"")</f>
        <v/>
      </c>
      <c r="B249" s="1">
        <f>IF(Data!B249&gt;0,Data!B249,"")</f>
        <v/>
      </c>
      <c r="C249" s="1">
        <f>IF(Data!C249&gt;0,Data!C249,"")</f>
        <v/>
      </c>
      <c r="D249" s="1">
        <f>IF(Data!D249&gt;0,Data!D249,"")</f>
        <v/>
      </c>
      <c r="E249" s="1">
        <f>IF(Data!E249&gt;0,Data!E249,"")</f>
        <v/>
      </c>
      <c r="F249" s="1">
        <f>IF(Data!F249&gt;0,Data!F249,"")</f>
        <v/>
      </c>
      <c r="G249" s="1">
        <f>IF(Data!G249&gt;0,Data!G249,"")</f>
        <v/>
      </c>
      <c r="H249" s="1">
        <f>IF(Data!H249&gt;0,Data!H249,"")</f>
        <v/>
      </c>
      <c r="I249" s="1">
        <f>IF(Data!I249&gt;0,Data!I249,"")</f>
        <v/>
      </c>
      <c r="J249" s="1">
        <f>IF(Data!J249&gt;0,Data!J249,"")</f>
        <v/>
      </c>
      <c r="K249" s="1">
        <f>IF(Data!K249&gt;0,Data!K249,"")</f>
        <v/>
      </c>
      <c r="L249" s="1">
        <f>IF(Data!L249&gt;0,Data!L249,"")</f>
        <v/>
      </c>
      <c r="M249" s="1">
        <f>IF(Data!M249&gt;0,Data!M249,"")</f>
        <v/>
      </c>
      <c r="N249" s="1">
        <f>IF(Data!N249&gt;0,Data!N249,"")</f>
        <v/>
      </c>
      <c r="O249" s="1">
        <f>IF(Data!O249&gt;0,Data!O249,"")</f>
        <v/>
      </c>
      <c r="P249" s="1">
        <f>IF(Data!P249&gt;0,Data!P249,"")</f>
        <v/>
      </c>
      <c r="Q249" s="1">
        <f>IF(Data!Q249&gt;0,Data!Q249,"")</f>
        <v/>
      </c>
      <c r="R249" s="1">
        <f>IF(Data!R249&gt;0,Data!R249,"")</f>
        <v/>
      </c>
      <c r="S249" s="1">
        <f>IF(Data!S249&gt;0,Data!S249,"")</f>
        <v/>
      </c>
      <c r="V249" s="3">
        <f>IF(COUNT(D249,J249,K249,L249,M249,O249)&gt;0,AVERAGE(D249,J249,K249,L249,M249,O249),"")</f>
        <v/>
      </c>
      <c r="W249" s="3">
        <f>IF(COUNT(C249,F249,G249,N249,Q249)&gt;0,AVERAGE(C249,F249,G249,N249,Q249),"")</f>
        <v/>
      </c>
      <c r="X249" s="3">
        <f>IF(COUNT(B249,E249,H249,I249,P249,R249,S249)&gt;0,AVERAGE(B249,E249,H249,I249,P249,R249,S249),"")</f>
        <v/>
      </c>
      <c r="Y249" s="3" t="n"/>
      <c r="AJ249">
        <f>IFERROR(AVERAGEIF($A$4:$A$1004,AI249,$V$4:$V$1004),"")</f>
        <v/>
      </c>
      <c r="AK249">
        <f>IFERROR(AVERAGEIF($A$4:$A$1004,AI249,$W$4:$W$1004),"")</f>
        <v/>
      </c>
      <c r="AL249">
        <f>IFERROR(AVERAGEIF($A$4:$A$1004,AI249,$X$4:$X$1004),"")</f>
        <v/>
      </c>
    </row>
    <row r="250">
      <c r="A250" s="1">
        <f>IF(Data!A250&gt;0,Data!A250,"")</f>
        <v/>
      </c>
      <c r="B250" s="1">
        <f>IF(Data!B250&gt;0,Data!B250,"")</f>
        <v/>
      </c>
      <c r="C250" s="1">
        <f>IF(Data!C250&gt;0,Data!C250,"")</f>
        <v/>
      </c>
      <c r="D250" s="1">
        <f>IF(Data!D250&gt;0,Data!D250,"")</f>
        <v/>
      </c>
      <c r="E250" s="1">
        <f>IF(Data!E250&gt;0,Data!E250,"")</f>
        <v/>
      </c>
      <c r="F250" s="1">
        <f>IF(Data!F250&gt;0,Data!F250,"")</f>
        <v/>
      </c>
      <c r="G250" s="1">
        <f>IF(Data!G250&gt;0,Data!G250,"")</f>
        <v/>
      </c>
      <c r="H250" s="1">
        <f>IF(Data!H250&gt;0,Data!H250,"")</f>
        <v/>
      </c>
      <c r="I250" s="1">
        <f>IF(Data!I250&gt;0,Data!I250,"")</f>
        <v/>
      </c>
      <c r="J250" s="1">
        <f>IF(Data!J250&gt;0,Data!J250,"")</f>
        <v/>
      </c>
      <c r="K250" s="1">
        <f>IF(Data!K250&gt;0,Data!K250,"")</f>
        <v/>
      </c>
      <c r="L250" s="1">
        <f>IF(Data!L250&gt;0,Data!L250,"")</f>
        <v/>
      </c>
      <c r="M250" s="1">
        <f>IF(Data!M250&gt;0,Data!M250,"")</f>
        <v/>
      </c>
      <c r="N250" s="1">
        <f>IF(Data!N250&gt;0,Data!N250,"")</f>
        <v/>
      </c>
      <c r="O250" s="1">
        <f>IF(Data!O250&gt;0,Data!O250,"")</f>
        <v/>
      </c>
      <c r="P250" s="1">
        <f>IF(Data!P250&gt;0,Data!P250,"")</f>
        <v/>
      </c>
      <c r="Q250" s="1">
        <f>IF(Data!Q250&gt;0,Data!Q250,"")</f>
        <v/>
      </c>
      <c r="R250" s="1">
        <f>IF(Data!R250&gt;0,Data!R250,"")</f>
        <v/>
      </c>
      <c r="S250" s="1">
        <f>IF(Data!S250&gt;0,Data!S250,"")</f>
        <v/>
      </c>
      <c r="V250" s="3">
        <f>IF(COUNT(D250,J250,K250,L250,M250,O250)&gt;0,AVERAGE(D250,J250,K250,L250,M250,O250),"")</f>
        <v/>
      </c>
      <c r="W250" s="3">
        <f>IF(COUNT(C250,F250,G250,N250,Q250)&gt;0,AVERAGE(C250,F250,G250,N250,Q250),"")</f>
        <v/>
      </c>
      <c r="X250" s="3">
        <f>IF(COUNT(B250,E250,H250,I250,P250,R250,S250)&gt;0,AVERAGE(B250,E250,H250,I250,P250,R250,S250),"")</f>
        <v/>
      </c>
      <c r="Y250" s="3" t="n"/>
      <c r="AJ250">
        <f>IFERROR(AVERAGEIF($A$4:$A$1004,AI250,$V$4:$V$1004),"")</f>
        <v/>
      </c>
      <c r="AK250">
        <f>IFERROR(AVERAGEIF($A$4:$A$1004,AI250,$W$4:$W$1004),"")</f>
        <v/>
      </c>
      <c r="AL250">
        <f>IFERROR(AVERAGEIF($A$4:$A$1004,AI250,$X$4:$X$1004),"")</f>
        <v/>
      </c>
    </row>
    <row r="251">
      <c r="A251" s="1">
        <f>IF(Data!A251&gt;0,Data!A251,"")</f>
        <v/>
      </c>
      <c r="B251" s="1">
        <f>IF(Data!B251&gt;0,Data!B251,"")</f>
        <v/>
      </c>
      <c r="C251" s="1">
        <f>IF(Data!C251&gt;0,Data!C251,"")</f>
        <v/>
      </c>
      <c r="D251" s="1">
        <f>IF(Data!D251&gt;0,Data!D251,"")</f>
        <v/>
      </c>
      <c r="E251" s="1">
        <f>IF(Data!E251&gt;0,Data!E251,"")</f>
        <v/>
      </c>
      <c r="F251" s="1">
        <f>IF(Data!F251&gt;0,Data!F251,"")</f>
        <v/>
      </c>
      <c r="G251" s="1">
        <f>IF(Data!G251&gt;0,Data!G251,"")</f>
        <v/>
      </c>
      <c r="H251" s="1">
        <f>IF(Data!H251&gt;0,Data!H251,"")</f>
        <v/>
      </c>
      <c r="I251" s="1">
        <f>IF(Data!I251&gt;0,Data!I251,"")</f>
        <v/>
      </c>
      <c r="J251" s="1">
        <f>IF(Data!J251&gt;0,Data!J251,"")</f>
        <v/>
      </c>
      <c r="K251" s="1">
        <f>IF(Data!K251&gt;0,Data!K251,"")</f>
        <v/>
      </c>
      <c r="L251" s="1">
        <f>IF(Data!L251&gt;0,Data!L251,"")</f>
        <v/>
      </c>
      <c r="M251" s="1">
        <f>IF(Data!M251&gt;0,Data!M251,"")</f>
        <v/>
      </c>
      <c r="N251" s="1">
        <f>IF(Data!N251&gt;0,Data!N251,"")</f>
        <v/>
      </c>
      <c r="O251" s="1">
        <f>IF(Data!O251&gt;0,Data!O251,"")</f>
        <v/>
      </c>
      <c r="P251" s="1">
        <f>IF(Data!P251&gt;0,Data!P251,"")</f>
        <v/>
      </c>
      <c r="Q251" s="1">
        <f>IF(Data!Q251&gt;0,Data!Q251,"")</f>
        <v/>
      </c>
      <c r="R251" s="1">
        <f>IF(Data!R251&gt;0,Data!R251,"")</f>
        <v/>
      </c>
      <c r="S251" s="1">
        <f>IF(Data!S251&gt;0,Data!S251,"")</f>
        <v/>
      </c>
      <c r="V251" s="3">
        <f>IF(COUNT(D251,J251,K251,L251,M251,O251)&gt;0,AVERAGE(D251,J251,K251,L251,M251,O251),"")</f>
        <v/>
      </c>
      <c r="W251" s="3">
        <f>IF(COUNT(C251,F251,G251,N251,Q251)&gt;0,AVERAGE(C251,F251,G251,N251,Q251),"")</f>
        <v/>
      </c>
      <c r="X251" s="3">
        <f>IF(COUNT(B251,E251,H251,I251,P251,R251,S251)&gt;0,AVERAGE(B251,E251,H251,I251,P251,R251,S251),"")</f>
        <v/>
      </c>
      <c r="Y251" s="3" t="n"/>
      <c r="AJ251">
        <f>IFERROR(AVERAGEIF($A$4:$A$1004,AI251,$V$4:$V$1004),"")</f>
        <v/>
      </c>
      <c r="AK251">
        <f>IFERROR(AVERAGEIF($A$4:$A$1004,AI251,$W$4:$W$1004),"")</f>
        <v/>
      </c>
      <c r="AL251">
        <f>IFERROR(AVERAGEIF($A$4:$A$1004,AI251,$X$4:$X$1004),"")</f>
        <v/>
      </c>
    </row>
    <row r="252">
      <c r="A252" s="1">
        <f>IF(Data!A252&gt;0,Data!A252,"")</f>
        <v/>
      </c>
      <c r="B252" s="1">
        <f>IF(Data!B252&gt;0,Data!B252,"")</f>
        <v/>
      </c>
      <c r="C252" s="1">
        <f>IF(Data!C252&gt;0,Data!C252,"")</f>
        <v/>
      </c>
      <c r="D252" s="1">
        <f>IF(Data!D252&gt;0,Data!D252,"")</f>
        <v/>
      </c>
      <c r="E252" s="1">
        <f>IF(Data!E252&gt;0,Data!E252,"")</f>
        <v/>
      </c>
      <c r="F252" s="1">
        <f>IF(Data!F252&gt;0,Data!F252,"")</f>
        <v/>
      </c>
      <c r="G252" s="1">
        <f>IF(Data!G252&gt;0,Data!G252,"")</f>
        <v/>
      </c>
      <c r="H252" s="1">
        <f>IF(Data!H252&gt;0,Data!H252,"")</f>
        <v/>
      </c>
      <c r="I252" s="1">
        <f>IF(Data!I252&gt;0,Data!I252,"")</f>
        <v/>
      </c>
      <c r="J252" s="1">
        <f>IF(Data!J252&gt;0,Data!J252,"")</f>
        <v/>
      </c>
      <c r="K252" s="1">
        <f>IF(Data!K252&gt;0,Data!K252,"")</f>
        <v/>
      </c>
      <c r="L252" s="1">
        <f>IF(Data!L252&gt;0,Data!L252,"")</f>
        <v/>
      </c>
      <c r="M252" s="1">
        <f>IF(Data!M252&gt;0,Data!M252,"")</f>
        <v/>
      </c>
      <c r="N252" s="1">
        <f>IF(Data!N252&gt;0,Data!N252,"")</f>
        <v/>
      </c>
      <c r="O252" s="1">
        <f>IF(Data!O252&gt;0,Data!O252,"")</f>
        <v/>
      </c>
      <c r="P252" s="1">
        <f>IF(Data!P252&gt;0,Data!P252,"")</f>
        <v/>
      </c>
      <c r="Q252" s="1">
        <f>IF(Data!Q252&gt;0,Data!Q252,"")</f>
        <v/>
      </c>
      <c r="R252" s="1">
        <f>IF(Data!R252&gt;0,Data!R252,"")</f>
        <v/>
      </c>
      <c r="S252" s="1">
        <f>IF(Data!S252&gt;0,Data!S252,"")</f>
        <v/>
      </c>
      <c r="V252" s="3">
        <f>IF(COUNT(D252,J252,K252,L252,M252,O252)&gt;0,AVERAGE(D252,J252,K252,L252,M252,O252),"")</f>
        <v/>
      </c>
      <c r="W252" s="3">
        <f>IF(COUNT(C252,F252,G252,N252,Q252)&gt;0,AVERAGE(C252,F252,G252,N252,Q252),"")</f>
        <v/>
      </c>
      <c r="X252" s="3">
        <f>IF(COUNT(B252,E252,H252,I252,P252,R252,S252)&gt;0,AVERAGE(B252,E252,H252,I252,P252,R252,S252),"")</f>
        <v/>
      </c>
      <c r="Y252" s="3" t="n"/>
      <c r="AJ252">
        <f>IFERROR(AVERAGEIF($A$4:$A$1004,AI252,$V$4:$V$1004),"")</f>
        <v/>
      </c>
      <c r="AK252">
        <f>IFERROR(AVERAGEIF($A$4:$A$1004,AI252,$W$4:$W$1004),"")</f>
        <v/>
      </c>
      <c r="AL252">
        <f>IFERROR(AVERAGEIF($A$4:$A$1004,AI252,$X$4:$X$1004),"")</f>
        <v/>
      </c>
    </row>
    <row r="253">
      <c r="A253" s="1">
        <f>IF(Data!A253&gt;0,Data!A253,"")</f>
        <v/>
      </c>
      <c r="B253" s="1">
        <f>IF(Data!B253&gt;0,Data!B253,"")</f>
        <v/>
      </c>
      <c r="C253" s="1">
        <f>IF(Data!C253&gt;0,Data!C253,"")</f>
        <v/>
      </c>
      <c r="D253" s="1">
        <f>IF(Data!D253&gt;0,Data!D253,"")</f>
        <v/>
      </c>
      <c r="E253" s="1">
        <f>IF(Data!E253&gt;0,Data!E253,"")</f>
        <v/>
      </c>
      <c r="F253" s="1">
        <f>IF(Data!F253&gt;0,Data!F253,"")</f>
        <v/>
      </c>
      <c r="G253" s="1">
        <f>IF(Data!G253&gt;0,Data!G253,"")</f>
        <v/>
      </c>
      <c r="H253" s="1">
        <f>IF(Data!H253&gt;0,Data!H253,"")</f>
        <v/>
      </c>
      <c r="I253" s="1">
        <f>IF(Data!I253&gt;0,Data!I253,"")</f>
        <v/>
      </c>
      <c r="J253" s="1">
        <f>IF(Data!J253&gt;0,Data!J253,"")</f>
        <v/>
      </c>
      <c r="K253" s="1">
        <f>IF(Data!K253&gt;0,Data!K253,"")</f>
        <v/>
      </c>
      <c r="L253" s="1">
        <f>IF(Data!L253&gt;0,Data!L253,"")</f>
        <v/>
      </c>
      <c r="M253" s="1">
        <f>IF(Data!M253&gt;0,Data!M253,"")</f>
        <v/>
      </c>
      <c r="N253" s="1">
        <f>IF(Data!N253&gt;0,Data!N253,"")</f>
        <v/>
      </c>
      <c r="O253" s="1">
        <f>IF(Data!O253&gt;0,Data!O253,"")</f>
        <v/>
      </c>
      <c r="P253" s="1">
        <f>IF(Data!P253&gt;0,Data!P253,"")</f>
        <v/>
      </c>
      <c r="Q253" s="1">
        <f>IF(Data!Q253&gt;0,Data!Q253,"")</f>
        <v/>
      </c>
      <c r="R253" s="1">
        <f>IF(Data!R253&gt;0,Data!R253,"")</f>
        <v/>
      </c>
      <c r="S253" s="1">
        <f>IF(Data!S253&gt;0,Data!S253,"")</f>
        <v/>
      </c>
      <c r="V253" s="3">
        <f>IF(COUNT(D253,J253,K253,L253,M253,O253)&gt;0,AVERAGE(D253,J253,K253,L253,M253,O253),"")</f>
        <v/>
      </c>
      <c r="W253" s="3">
        <f>IF(COUNT(C253,F253,G253,N253,Q253)&gt;0,AVERAGE(C253,F253,G253,N253,Q253),"")</f>
        <v/>
      </c>
      <c r="X253" s="3">
        <f>IF(COUNT(B253,E253,H253,I253,P253,R253,S253)&gt;0,AVERAGE(B253,E253,H253,I253,P253,R253,S253),"")</f>
        <v/>
      </c>
      <c r="Y253" s="3" t="n"/>
      <c r="AJ253">
        <f>IFERROR(AVERAGEIF($A$4:$A$1004,AI253,$V$4:$V$1004),"")</f>
        <v/>
      </c>
      <c r="AK253">
        <f>IFERROR(AVERAGEIF($A$4:$A$1004,AI253,$W$4:$W$1004),"")</f>
        <v/>
      </c>
      <c r="AL253">
        <f>IFERROR(AVERAGEIF($A$4:$A$1004,AI253,$X$4:$X$1004),"")</f>
        <v/>
      </c>
    </row>
    <row r="254">
      <c r="A254" s="1">
        <f>IF(Data!A254&gt;0,Data!A254,"")</f>
        <v/>
      </c>
      <c r="B254" s="1">
        <f>IF(Data!B254&gt;0,Data!B254,"")</f>
        <v/>
      </c>
      <c r="C254" s="1">
        <f>IF(Data!C254&gt;0,Data!C254,"")</f>
        <v/>
      </c>
      <c r="D254" s="1">
        <f>IF(Data!D254&gt;0,Data!D254,"")</f>
        <v/>
      </c>
      <c r="E254" s="1">
        <f>IF(Data!E254&gt;0,Data!E254,"")</f>
        <v/>
      </c>
      <c r="F254" s="1">
        <f>IF(Data!F254&gt;0,Data!F254,"")</f>
        <v/>
      </c>
      <c r="G254" s="1">
        <f>IF(Data!G254&gt;0,Data!G254,"")</f>
        <v/>
      </c>
      <c r="H254" s="1">
        <f>IF(Data!H254&gt;0,Data!H254,"")</f>
        <v/>
      </c>
      <c r="I254" s="1">
        <f>IF(Data!I254&gt;0,Data!I254,"")</f>
        <v/>
      </c>
      <c r="J254" s="1">
        <f>IF(Data!J254&gt;0,Data!J254,"")</f>
        <v/>
      </c>
      <c r="K254" s="1">
        <f>IF(Data!K254&gt;0,Data!K254,"")</f>
        <v/>
      </c>
      <c r="L254" s="1">
        <f>IF(Data!L254&gt;0,Data!L254,"")</f>
        <v/>
      </c>
      <c r="M254" s="1">
        <f>IF(Data!M254&gt;0,Data!M254,"")</f>
        <v/>
      </c>
      <c r="N254" s="1">
        <f>IF(Data!N254&gt;0,Data!N254,"")</f>
        <v/>
      </c>
      <c r="O254" s="1">
        <f>IF(Data!O254&gt;0,Data!O254,"")</f>
        <v/>
      </c>
      <c r="P254" s="1">
        <f>IF(Data!P254&gt;0,Data!P254,"")</f>
        <v/>
      </c>
      <c r="Q254" s="1">
        <f>IF(Data!Q254&gt;0,Data!Q254,"")</f>
        <v/>
      </c>
      <c r="R254" s="1">
        <f>IF(Data!R254&gt;0,Data!R254,"")</f>
        <v/>
      </c>
      <c r="S254" s="1">
        <f>IF(Data!S254&gt;0,Data!S254,"")</f>
        <v/>
      </c>
      <c r="V254" s="3">
        <f>IF(COUNT(D254,J254,K254,L254,M254,O254)&gt;0,AVERAGE(D254,J254,K254,L254,M254,O254),"")</f>
        <v/>
      </c>
      <c r="W254" s="3">
        <f>IF(COUNT(C254,F254,G254,N254,Q254)&gt;0,AVERAGE(C254,F254,G254,N254,Q254),"")</f>
        <v/>
      </c>
      <c r="X254" s="3">
        <f>IF(COUNT(B254,E254,H254,I254,P254,R254,S254)&gt;0,AVERAGE(B254,E254,H254,I254,P254,R254,S254),"")</f>
        <v/>
      </c>
      <c r="Y254" s="3" t="n"/>
      <c r="AJ254">
        <f>IFERROR(AVERAGEIF($A$4:$A$1004,AI254,$V$4:$V$1004),"")</f>
        <v/>
      </c>
      <c r="AK254">
        <f>IFERROR(AVERAGEIF($A$4:$A$1004,AI254,$W$4:$W$1004),"")</f>
        <v/>
      </c>
      <c r="AL254">
        <f>IFERROR(AVERAGEIF($A$4:$A$1004,AI254,$X$4:$X$1004),"")</f>
        <v/>
      </c>
    </row>
    <row r="255">
      <c r="A255" s="1">
        <f>IF(Data!A255&gt;0,Data!A255,"")</f>
        <v/>
      </c>
      <c r="B255" s="1">
        <f>IF(Data!B255&gt;0,Data!B255,"")</f>
        <v/>
      </c>
      <c r="C255" s="1">
        <f>IF(Data!C255&gt;0,Data!C255,"")</f>
        <v/>
      </c>
      <c r="D255" s="1">
        <f>IF(Data!D255&gt;0,Data!D255,"")</f>
        <v/>
      </c>
      <c r="E255" s="1">
        <f>IF(Data!E255&gt;0,Data!E255,"")</f>
        <v/>
      </c>
      <c r="F255" s="1">
        <f>IF(Data!F255&gt;0,Data!F255,"")</f>
        <v/>
      </c>
      <c r="G255" s="1">
        <f>IF(Data!G255&gt;0,Data!G255,"")</f>
        <v/>
      </c>
      <c r="H255" s="1">
        <f>IF(Data!H255&gt;0,Data!H255,"")</f>
        <v/>
      </c>
      <c r="I255" s="1">
        <f>IF(Data!I255&gt;0,Data!I255,"")</f>
        <v/>
      </c>
      <c r="J255" s="1">
        <f>IF(Data!J255&gt;0,Data!J255,"")</f>
        <v/>
      </c>
      <c r="K255" s="1">
        <f>IF(Data!K255&gt;0,Data!K255,"")</f>
        <v/>
      </c>
      <c r="L255" s="1">
        <f>IF(Data!L255&gt;0,Data!L255,"")</f>
        <v/>
      </c>
      <c r="M255" s="1">
        <f>IF(Data!M255&gt;0,Data!M255,"")</f>
        <v/>
      </c>
      <c r="N255" s="1">
        <f>IF(Data!N255&gt;0,Data!N255,"")</f>
        <v/>
      </c>
      <c r="O255" s="1">
        <f>IF(Data!O255&gt;0,Data!O255,"")</f>
        <v/>
      </c>
      <c r="P255" s="1">
        <f>IF(Data!P255&gt;0,Data!P255,"")</f>
        <v/>
      </c>
      <c r="Q255" s="1">
        <f>IF(Data!Q255&gt;0,Data!Q255,"")</f>
        <v/>
      </c>
      <c r="R255" s="1">
        <f>IF(Data!R255&gt;0,Data!R255,"")</f>
        <v/>
      </c>
      <c r="S255" s="1">
        <f>IF(Data!S255&gt;0,Data!S255,"")</f>
        <v/>
      </c>
      <c r="V255" s="3">
        <f>IF(COUNT(D255,J255,K255,L255,M255,O255)&gt;0,AVERAGE(D255,J255,K255,L255,M255,O255),"")</f>
        <v/>
      </c>
      <c r="W255" s="3">
        <f>IF(COUNT(C255,F255,G255,N255,Q255)&gt;0,AVERAGE(C255,F255,G255,N255,Q255),"")</f>
        <v/>
      </c>
      <c r="X255" s="3">
        <f>IF(COUNT(B255,E255,H255,I255,P255,R255,S255)&gt;0,AVERAGE(B255,E255,H255,I255,P255,R255,S255),"")</f>
        <v/>
      </c>
      <c r="Y255" s="3" t="n"/>
      <c r="AJ255">
        <f>IFERROR(AVERAGEIF($A$4:$A$1004,AI255,$V$4:$V$1004),"")</f>
        <v/>
      </c>
      <c r="AK255">
        <f>IFERROR(AVERAGEIF($A$4:$A$1004,AI255,$W$4:$W$1004),"")</f>
        <v/>
      </c>
      <c r="AL255">
        <f>IFERROR(AVERAGEIF($A$4:$A$1004,AI255,$X$4:$X$1004),"")</f>
        <v/>
      </c>
    </row>
    <row r="256">
      <c r="A256" s="1">
        <f>IF(Data!A256&gt;0,Data!A256,"")</f>
        <v/>
      </c>
      <c r="B256" s="1">
        <f>IF(Data!B256&gt;0,Data!B256,"")</f>
        <v/>
      </c>
      <c r="C256" s="1">
        <f>IF(Data!C256&gt;0,Data!C256,"")</f>
        <v/>
      </c>
      <c r="D256" s="1">
        <f>IF(Data!D256&gt;0,Data!D256,"")</f>
        <v/>
      </c>
      <c r="E256" s="1">
        <f>IF(Data!E256&gt;0,Data!E256,"")</f>
        <v/>
      </c>
      <c r="F256" s="1">
        <f>IF(Data!F256&gt;0,Data!F256,"")</f>
        <v/>
      </c>
      <c r="G256" s="1">
        <f>IF(Data!G256&gt;0,Data!G256,"")</f>
        <v/>
      </c>
      <c r="H256" s="1">
        <f>IF(Data!H256&gt;0,Data!H256,"")</f>
        <v/>
      </c>
      <c r="I256" s="1">
        <f>IF(Data!I256&gt;0,Data!I256,"")</f>
        <v/>
      </c>
      <c r="J256" s="1">
        <f>IF(Data!J256&gt;0,Data!J256,"")</f>
        <v/>
      </c>
      <c r="K256" s="1">
        <f>IF(Data!K256&gt;0,Data!K256,"")</f>
        <v/>
      </c>
      <c r="L256" s="1">
        <f>IF(Data!L256&gt;0,Data!L256,"")</f>
        <v/>
      </c>
      <c r="M256" s="1">
        <f>IF(Data!M256&gt;0,Data!M256,"")</f>
        <v/>
      </c>
      <c r="N256" s="1">
        <f>IF(Data!N256&gt;0,Data!N256,"")</f>
        <v/>
      </c>
      <c r="O256" s="1">
        <f>IF(Data!O256&gt;0,Data!O256,"")</f>
        <v/>
      </c>
      <c r="P256" s="1">
        <f>IF(Data!P256&gt;0,Data!P256,"")</f>
        <v/>
      </c>
      <c r="Q256" s="1">
        <f>IF(Data!Q256&gt;0,Data!Q256,"")</f>
        <v/>
      </c>
      <c r="R256" s="1">
        <f>IF(Data!R256&gt;0,Data!R256,"")</f>
        <v/>
      </c>
      <c r="S256" s="1">
        <f>IF(Data!S256&gt;0,Data!S256,"")</f>
        <v/>
      </c>
      <c r="V256" s="3">
        <f>IF(COUNT(D256,J256,K256,L256,M256,O256)&gt;0,AVERAGE(D256,J256,K256,L256,M256,O256),"")</f>
        <v/>
      </c>
      <c r="W256" s="3">
        <f>IF(COUNT(C256,F256,G256,N256,Q256)&gt;0,AVERAGE(C256,F256,G256,N256,Q256),"")</f>
        <v/>
      </c>
      <c r="X256" s="3">
        <f>IF(COUNT(B256,E256,H256,I256,P256,R256,S256)&gt;0,AVERAGE(B256,E256,H256,I256,P256,R256,S256),"")</f>
        <v/>
      </c>
      <c r="Y256" s="3" t="n"/>
      <c r="AJ256">
        <f>IFERROR(AVERAGEIF($A$4:$A$1004,AI256,$V$4:$V$1004),"")</f>
        <v/>
      </c>
      <c r="AK256">
        <f>IFERROR(AVERAGEIF($A$4:$A$1004,AI256,$W$4:$W$1004),"")</f>
        <v/>
      </c>
      <c r="AL256">
        <f>IFERROR(AVERAGEIF($A$4:$A$1004,AI256,$X$4:$X$1004),"")</f>
        <v/>
      </c>
    </row>
    <row r="257">
      <c r="A257" s="1">
        <f>IF(Data!A257&gt;0,Data!A257,"")</f>
        <v/>
      </c>
      <c r="B257" s="1">
        <f>IF(Data!B257&gt;0,Data!B257,"")</f>
        <v/>
      </c>
      <c r="C257" s="1">
        <f>IF(Data!C257&gt;0,Data!C257,"")</f>
        <v/>
      </c>
      <c r="D257" s="1">
        <f>IF(Data!D257&gt;0,Data!D257,"")</f>
        <v/>
      </c>
      <c r="E257" s="1">
        <f>IF(Data!E257&gt;0,Data!E257,"")</f>
        <v/>
      </c>
      <c r="F257" s="1">
        <f>IF(Data!F257&gt;0,Data!F257,"")</f>
        <v/>
      </c>
      <c r="G257" s="1">
        <f>IF(Data!G257&gt;0,Data!G257,"")</f>
        <v/>
      </c>
      <c r="H257" s="1">
        <f>IF(Data!H257&gt;0,Data!H257,"")</f>
        <v/>
      </c>
      <c r="I257" s="1">
        <f>IF(Data!I257&gt;0,Data!I257,"")</f>
        <v/>
      </c>
      <c r="J257" s="1">
        <f>IF(Data!J257&gt;0,Data!J257,"")</f>
        <v/>
      </c>
      <c r="K257" s="1">
        <f>IF(Data!K257&gt;0,Data!K257,"")</f>
        <v/>
      </c>
      <c r="L257" s="1">
        <f>IF(Data!L257&gt;0,Data!L257,"")</f>
        <v/>
      </c>
      <c r="M257" s="1">
        <f>IF(Data!M257&gt;0,Data!M257,"")</f>
        <v/>
      </c>
      <c r="N257" s="1">
        <f>IF(Data!N257&gt;0,Data!N257,"")</f>
        <v/>
      </c>
      <c r="O257" s="1">
        <f>IF(Data!O257&gt;0,Data!O257,"")</f>
        <v/>
      </c>
      <c r="P257" s="1">
        <f>IF(Data!P257&gt;0,Data!P257,"")</f>
        <v/>
      </c>
      <c r="Q257" s="1">
        <f>IF(Data!Q257&gt;0,Data!Q257,"")</f>
        <v/>
      </c>
      <c r="R257" s="1">
        <f>IF(Data!R257&gt;0,Data!R257,"")</f>
        <v/>
      </c>
      <c r="S257" s="1">
        <f>IF(Data!S257&gt;0,Data!S257,"")</f>
        <v/>
      </c>
      <c r="V257" s="3">
        <f>IF(COUNT(D257,J257,K257,L257,M257,O257)&gt;0,AVERAGE(D257,J257,K257,L257,M257,O257),"")</f>
        <v/>
      </c>
      <c r="W257" s="3">
        <f>IF(COUNT(C257,F257,G257,N257,Q257)&gt;0,AVERAGE(C257,F257,G257,N257,Q257),"")</f>
        <v/>
      </c>
      <c r="X257" s="3">
        <f>IF(COUNT(B257,E257,H257,I257,P257,R257,S257)&gt;0,AVERAGE(B257,E257,H257,I257,P257,R257,S257),"")</f>
        <v/>
      </c>
      <c r="Y257" s="3" t="n"/>
      <c r="AJ257">
        <f>IFERROR(AVERAGEIF($A$4:$A$1004,AI257,$V$4:$V$1004),"")</f>
        <v/>
      </c>
      <c r="AK257">
        <f>IFERROR(AVERAGEIF($A$4:$A$1004,AI257,$W$4:$W$1004),"")</f>
        <v/>
      </c>
      <c r="AL257">
        <f>IFERROR(AVERAGEIF($A$4:$A$1004,AI257,$X$4:$X$1004),"")</f>
        <v/>
      </c>
    </row>
    <row r="258">
      <c r="A258" s="1">
        <f>IF(Data!A258&gt;0,Data!A258,"")</f>
        <v/>
      </c>
      <c r="B258" s="1">
        <f>IF(Data!B258&gt;0,Data!B258,"")</f>
        <v/>
      </c>
      <c r="C258" s="1">
        <f>IF(Data!C258&gt;0,Data!C258,"")</f>
        <v/>
      </c>
      <c r="D258" s="1">
        <f>IF(Data!D258&gt;0,Data!D258,"")</f>
        <v/>
      </c>
      <c r="E258" s="1">
        <f>IF(Data!E258&gt;0,Data!E258,"")</f>
        <v/>
      </c>
      <c r="F258" s="1">
        <f>IF(Data!F258&gt;0,Data!F258,"")</f>
        <v/>
      </c>
      <c r="G258" s="1">
        <f>IF(Data!G258&gt;0,Data!G258,"")</f>
        <v/>
      </c>
      <c r="H258" s="1">
        <f>IF(Data!H258&gt;0,Data!H258,"")</f>
        <v/>
      </c>
      <c r="I258" s="1">
        <f>IF(Data!I258&gt;0,Data!I258,"")</f>
        <v/>
      </c>
      <c r="J258" s="1">
        <f>IF(Data!J258&gt;0,Data!J258,"")</f>
        <v/>
      </c>
      <c r="K258" s="1">
        <f>IF(Data!K258&gt;0,Data!K258,"")</f>
        <v/>
      </c>
      <c r="L258" s="1">
        <f>IF(Data!L258&gt;0,Data!L258,"")</f>
        <v/>
      </c>
      <c r="M258" s="1">
        <f>IF(Data!M258&gt;0,Data!M258,"")</f>
        <v/>
      </c>
      <c r="N258" s="1">
        <f>IF(Data!N258&gt;0,Data!N258,"")</f>
        <v/>
      </c>
      <c r="O258" s="1">
        <f>IF(Data!O258&gt;0,Data!O258,"")</f>
        <v/>
      </c>
      <c r="P258" s="1">
        <f>IF(Data!P258&gt;0,Data!P258,"")</f>
        <v/>
      </c>
      <c r="Q258" s="1">
        <f>IF(Data!Q258&gt;0,Data!Q258,"")</f>
        <v/>
      </c>
      <c r="R258" s="1">
        <f>IF(Data!R258&gt;0,Data!R258,"")</f>
        <v/>
      </c>
      <c r="S258" s="1">
        <f>IF(Data!S258&gt;0,Data!S258,"")</f>
        <v/>
      </c>
      <c r="V258" s="3">
        <f>IF(COUNT(D258,J258,K258,L258,M258,O258)&gt;0,AVERAGE(D258,J258,K258,L258,M258,O258),"")</f>
        <v/>
      </c>
      <c r="W258" s="3">
        <f>IF(COUNT(C258,F258,G258,N258,Q258)&gt;0,AVERAGE(C258,F258,G258,N258,Q258),"")</f>
        <v/>
      </c>
      <c r="X258" s="3">
        <f>IF(COUNT(B258,E258,H258,I258,P258,R258,S258)&gt;0,AVERAGE(B258,E258,H258,I258,P258,R258,S258),"")</f>
        <v/>
      </c>
      <c r="Y258" s="3" t="n"/>
      <c r="AJ258">
        <f>IFERROR(AVERAGEIF($A$4:$A$1004,AI258,$V$4:$V$1004),"")</f>
        <v/>
      </c>
      <c r="AK258">
        <f>IFERROR(AVERAGEIF($A$4:$A$1004,AI258,$W$4:$W$1004),"")</f>
        <v/>
      </c>
      <c r="AL258">
        <f>IFERROR(AVERAGEIF($A$4:$A$1004,AI258,$X$4:$X$1004),"")</f>
        <v/>
      </c>
    </row>
    <row r="259">
      <c r="A259" s="1">
        <f>IF(Data!A259&gt;0,Data!A259,"")</f>
        <v/>
      </c>
      <c r="B259" s="1">
        <f>IF(Data!B259&gt;0,Data!B259,"")</f>
        <v/>
      </c>
      <c r="C259" s="1">
        <f>IF(Data!C259&gt;0,Data!C259,"")</f>
        <v/>
      </c>
      <c r="D259" s="1">
        <f>IF(Data!D259&gt;0,Data!D259,"")</f>
        <v/>
      </c>
      <c r="E259" s="1">
        <f>IF(Data!E259&gt;0,Data!E259,"")</f>
        <v/>
      </c>
      <c r="F259" s="1">
        <f>IF(Data!F259&gt;0,Data!F259,"")</f>
        <v/>
      </c>
      <c r="G259" s="1">
        <f>IF(Data!G259&gt;0,Data!G259,"")</f>
        <v/>
      </c>
      <c r="H259" s="1">
        <f>IF(Data!H259&gt;0,Data!H259,"")</f>
        <v/>
      </c>
      <c r="I259" s="1">
        <f>IF(Data!I259&gt;0,Data!I259,"")</f>
        <v/>
      </c>
      <c r="J259" s="1">
        <f>IF(Data!J259&gt;0,Data!J259,"")</f>
        <v/>
      </c>
      <c r="K259" s="1">
        <f>IF(Data!K259&gt;0,Data!K259,"")</f>
        <v/>
      </c>
      <c r="L259" s="1">
        <f>IF(Data!L259&gt;0,Data!L259,"")</f>
        <v/>
      </c>
      <c r="M259" s="1">
        <f>IF(Data!M259&gt;0,Data!M259,"")</f>
        <v/>
      </c>
      <c r="N259" s="1">
        <f>IF(Data!N259&gt;0,Data!N259,"")</f>
        <v/>
      </c>
      <c r="O259" s="1">
        <f>IF(Data!O259&gt;0,Data!O259,"")</f>
        <v/>
      </c>
      <c r="P259" s="1">
        <f>IF(Data!P259&gt;0,Data!P259,"")</f>
        <v/>
      </c>
      <c r="Q259" s="1">
        <f>IF(Data!Q259&gt;0,Data!Q259,"")</f>
        <v/>
      </c>
      <c r="R259" s="1">
        <f>IF(Data!R259&gt;0,Data!R259,"")</f>
        <v/>
      </c>
      <c r="S259" s="1">
        <f>IF(Data!S259&gt;0,Data!S259,"")</f>
        <v/>
      </c>
      <c r="V259" s="3">
        <f>IF(COUNT(D259,J259,K259,L259,M259,O259)&gt;0,AVERAGE(D259,J259,K259,L259,M259,O259),"")</f>
        <v/>
      </c>
      <c r="W259" s="3">
        <f>IF(COUNT(C259,F259,G259,N259,Q259)&gt;0,AVERAGE(C259,F259,G259,N259,Q259),"")</f>
        <v/>
      </c>
      <c r="X259" s="3">
        <f>IF(COUNT(B259,E259,H259,I259,P259,R259,S259)&gt;0,AVERAGE(B259,E259,H259,I259,P259,R259,S259),"")</f>
        <v/>
      </c>
      <c r="Y259" s="3" t="n"/>
      <c r="AJ259">
        <f>IFERROR(AVERAGEIF($A$4:$A$1004,AI259,$V$4:$V$1004),"")</f>
        <v/>
      </c>
      <c r="AK259">
        <f>IFERROR(AVERAGEIF($A$4:$A$1004,AI259,$W$4:$W$1004),"")</f>
        <v/>
      </c>
      <c r="AL259">
        <f>IFERROR(AVERAGEIF($A$4:$A$1004,AI259,$X$4:$X$1004),"")</f>
        <v/>
      </c>
    </row>
    <row r="260">
      <c r="A260" s="1">
        <f>IF(Data!A260&gt;0,Data!A260,"")</f>
        <v/>
      </c>
      <c r="B260" s="1">
        <f>IF(Data!B260&gt;0,Data!B260,"")</f>
        <v/>
      </c>
      <c r="C260" s="1">
        <f>IF(Data!C260&gt;0,Data!C260,"")</f>
        <v/>
      </c>
      <c r="D260" s="1">
        <f>IF(Data!D260&gt;0,Data!D260,"")</f>
        <v/>
      </c>
      <c r="E260" s="1">
        <f>IF(Data!E260&gt;0,Data!E260,"")</f>
        <v/>
      </c>
      <c r="F260" s="1">
        <f>IF(Data!F260&gt;0,Data!F260,"")</f>
        <v/>
      </c>
      <c r="G260" s="1">
        <f>IF(Data!G260&gt;0,Data!G260,"")</f>
        <v/>
      </c>
      <c r="H260" s="1">
        <f>IF(Data!H260&gt;0,Data!H260,"")</f>
        <v/>
      </c>
      <c r="I260" s="1">
        <f>IF(Data!I260&gt;0,Data!I260,"")</f>
        <v/>
      </c>
      <c r="J260" s="1">
        <f>IF(Data!J260&gt;0,Data!J260,"")</f>
        <v/>
      </c>
      <c r="K260" s="1">
        <f>IF(Data!K260&gt;0,Data!K260,"")</f>
        <v/>
      </c>
      <c r="L260" s="1">
        <f>IF(Data!L260&gt;0,Data!L260,"")</f>
        <v/>
      </c>
      <c r="M260" s="1">
        <f>IF(Data!M260&gt;0,Data!M260,"")</f>
        <v/>
      </c>
      <c r="N260" s="1">
        <f>IF(Data!N260&gt;0,Data!N260,"")</f>
        <v/>
      </c>
      <c r="O260" s="1">
        <f>IF(Data!O260&gt;0,Data!O260,"")</f>
        <v/>
      </c>
      <c r="P260" s="1">
        <f>IF(Data!P260&gt;0,Data!P260,"")</f>
        <v/>
      </c>
      <c r="Q260" s="1">
        <f>IF(Data!Q260&gt;0,Data!Q260,"")</f>
        <v/>
      </c>
      <c r="R260" s="1">
        <f>IF(Data!R260&gt;0,Data!R260,"")</f>
        <v/>
      </c>
      <c r="S260" s="1">
        <f>IF(Data!S260&gt;0,Data!S260,"")</f>
        <v/>
      </c>
      <c r="V260" s="3">
        <f>IF(COUNT(D260,J260,K260,L260,M260,O260)&gt;0,AVERAGE(D260,J260,K260,L260,M260,O260),"")</f>
        <v/>
      </c>
      <c r="W260" s="3">
        <f>IF(COUNT(C260,F260,G260,N260,Q260)&gt;0,AVERAGE(C260,F260,G260,N260,Q260),"")</f>
        <v/>
      </c>
      <c r="X260" s="3">
        <f>IF(COUNT(B260,E260,H260,I260,P260,R260,S260)&gt;0,AVERAGE(B260,E260,H260,I260,P260,R260,S260),"")</f>
        <v/>
      </c>
      <c r="Y260" s="3" t="n"/>
      <c r="AJ260">
        <f>IFERROR(AVERAGEIF($A$4:$A$1004,AI260,$V$4:$V$1004),"")</f>
        <v/>
      </c>
      <c r="AK260">
        <f>IFERROR(AVERAGEIF($A$4:$A$1004,AI260,$W$4:$W$1004),"")</f>
        <v/>
      </c>
      <c r="AL260">
        <f>IFERROR(AVERAGEIF($A$4:$A$1004,AI260,$X$4:$X$1004),"")</f>
        <v/>
      </c>
    </row>
    <row r="261">
      <c r="A261" s="1">
        <f>IF(Data!A261&gt;0,Data!A261,"")</f>
        <v/>
      </c>
      <c r="B261" s="1">
        <f>IF(Data!B261&gt;0,Data!B261,"")</f>
        <v/>
      </c>
      <c r="C261" s="1">
        <f>IF(Data!C261&gt;0,Data!C261,"")</f>
        <v/>
      </c>
      <c r="D261" s="1">
        <f>IF(Data!D261&gt;0,Data!D261,"")</f>
        <v/>
      </c>
      <c r="E261" s="1">
        <f>IF(Data!E261&gt;0,Data!E261,"")</f>
        <v/>
      </c>
      <c r="F261" s="1">
        <f>IF(Data!F261&gt;0,Data!F261,"")</f>
        <v/>
      </c>
      <c r="G261" s="1">
        <f>IF(Data!G261&gt;0,Data!G261,"")</f>
        <v/>
      </c>
      <c r="H261" s="1">
        <f>IF(Data!H261&gt;0,Data!H261,"")</f>
        <v/>
      </c>
      <c r="I261" s="1">
        <f>IF(Data!I261&gt;0,Data!I261,"")</f>
        <v/>
      </c>
      <c r="J261" s="1">
        <f>IF(Data!J261&gt;0,Data!J261,"")</f>
        <v/>
      </c>
      <c r="K261" s="1">
        <f>IF(Data!K261&gt;0,Data!K261,"")</f>
        <v/>
      </c>
      <c r="L261" s="1">
        <f>IF(Data!L261&gt;0,Data!L261,"")</f>
        <v/>
      </c>
      <c r="M261" s="1">
        <f>IF(Data!M261&gt;0,Data!M261,"")</f>
        <v/>
      </c>
      <c r="N261" s="1">
        <f>IF(Data!N261&gt;0,Data!N261,"")</f>
        <v/>
      </c>
      <c r="O261" s="1">
        <f>IF(Data!O261&gt;0,Data!O261,"")</f>
        <v/>
      </c>
      <c r="P261" s="1">
        <f>IF(Data!P261&gt;0,Data!P261,"")</f>
        <v/>
      </c>
      <c r="Q261" s="1">
        <f>IF(Data!Q261&gt;0,Data!Q261,"")</f>
        <v/>
      </c>
      <c r="R261" s="1">
        <f>IF(Data!R261&gt;0,Data!R261,"")</f>
        <v/>
      </c>
      <c r="S261" s="1">
        <f>IF(Data!S261&gt;0,Data!S261,"")</f>
        <v/>
      </c>
      <c r="V261" s="3">
        <f>IF(COUNT(D261,J261,K261,L261,M261,O261)&gt;0,AVERAGE(D261,J261,K261,L261,M261,O261),"")</f>
        <v/>
      </c>
      <c r="W261" s="3">
        <f>IF(COUNT(C261,F261,G261,N261,Q261)&gt;0,AVERAGE(C261,F261,G261,N261,Q261),"")</f>
        <v/>
      </c>
      <c r="X261" s="3">
        <f>IF(COUNT(B261,E261,H261,I261,P261,R261,S261)&gt;0,AVERAGE(B261,E261,H261,I261,P261,R261,S261),"")</f>
        <v/>
      </c>
      <c r="Y261" s="3" t="n"/>
      <c r="AJ261">
        <f>IFERROR(AVERAGEIF($A$4:$A$1004,AI261,$V$4:$V$1004),"")</f>
        <v/>
      </c>
      <c r="AK261">
        <f>IFERROR(AVERAGEIF($A$4:$A$1004,AI261,$W$4:$W$1004),"")</f>
        <v/>
      </c>
      <c r="AL261">
        <f>IFERROR(AVERAGEIF($A$4:$A$1004,AI261,$X$4:$X$1004),"")</f>
        <v/>
      </c>
    </row>
    <row r="262">
      <c r="A262" s="1">
        <f>IF(Data!A262&gt;0,Data!A262,"")</f>
        <v/>
      </c>
      <c r="B262" s="1">
        <f>IF(Data!B262&gt;0,Data!B262,"")</f>
        <v/>
      </c>
      <c r="C262" s="1">
        <f>IF(Data!C262&gt;0,Data!C262,"")</f>
        <v/>
      </c>
      <c r="D262" s="1">
        <f>IF(Data!D262&gt;0,Data!D262,"")</f>
        <v/>
      </c>
      <c r="E262" s="1">
        <f>IF(Data!E262&gt;0,Data!E262,"")</f>
        <v/>
      </c>
      <c r="F262" s="1">
        <f>IF(Data!F262&gt;0,Data!F262,"")</f>
        <v/>
      </c>
      <c r="G262" s="1">
        <f>IF(Data!G262&gt;0,Data!G262,"")</f>
        <v/>
      </c>
      <c r="H262" s="1">
        <f>IF(Data!H262&gt;0,Data!H262,"")</f>
        <v/>
      </c>
      <c r="I262" s="1">
        <f>IF(Data!I262&gt;0,Data!I262,"")</f>
        <v/>
      </c>
      <c r="J262" s="1">
        <f>IF(Data!J262&gt;0,Data!J262,"")</f>
        <v/>
      </c>
      <c r="K262" s="1">
        <f>IF(Data!K262&gt;0,Data!K262,"")</f>
        <v/>
      </c>
      <c r="L262" s="1">
        <f>IF(Data!L262&gt;0,Data!L262,"")</f>
        <v/>
      </c>
      <c r="M262" s="1">
        <f>IF(Data!M262&gt;0,Data!M262,"")</f>
        <v/>
      </c>
      <c r="N262" s="1">
        <f>IF(Data!N262&gt;0,Data!N262,"")</f>
        <v/>
      </c>
      <c r="O262" s="1">
        <f>IF(Data!O262&gt;0,Data!O262,"")</f>
        <v/>
      </c>
      <c r="P262" s="1">
        <f>IF(Data!P262&gt;0,Data!P262,"")</f>
        <v/>
      </c>
      <c r="Q262" s="1">
        <f>IF(Data!Q262&gt;0,Data!Q262,"")</f>
        <v/>
      </c>
      <c r="R262" s="1">
        <f>IF(Data!R262&gt;0,Data!R262,"")</f>
        <v/>
      </c>
      <c r="S262" s="1">
        <f>IF(Data!S262&gt;0,Data!S262,"")</f>
        <v/>
      </c>
      <c r="V262" s="3">
        <f>IF(COUNT(D262,J262,K262,L262,M262,O262)&gt;0,AVERAGE(D262,J262,K262,L262,M262,O262),"")</f>
        <v/>
      </c>
      <c r="W262" s="3">
        <f>IF(COUNT(C262,F262,G262,N262,Q262)&gt;0,AVERAGE(C262,F262,G262,N262,Q262),"")</f>
        <v/>
      </c>
      <c r="X262" s="3">
        <f>IF(COUNT(B262,E262,H262,I262,P262,R262,S262)&gt;0,AVERAGE(B262,E262,H262,I262,P262,R262,S262),"")</f>
        <v/>
      </c>
      <c r="Y262" s="3" t="n"/>
      <c r="AJ262">
        <f>IFERROR(AVERAGEIF($A$4:$A$1004,AI262,$V$4:$V$1004),"")</f>
        <v/>
      </c>
      <c r="AK262">
        <f>IFERROR(AVERAGEIF($A$4:$A$1004,AI262,$W$4:$W$1004),"")</f>
        <v/>
      </c>
      <c r="AL262">
        <f>IFERROR(AVERAGEIF($A$4:$A$1004,AI262,$X$4:$X$1004),"")</f>
        <v/>
      </c>
    </row>
    <row r="263">
      <c r="A263" s="1">
        <f>IF(Data!A263&gt;0,Data!A263,"")</f>
        <v/>
      </c>
      <c r="B263" s="1">
        <f>IF(Data!B263&gt;0,Data!B263,"")</f>
        <v/>
      </c>
      <c r="C263" s="1">
        <f>IF(Data!C263&gt;0,Data!C263,"")</f>
        <v/>
      </c>
      <c r="D263" s="1">
        <f>IF(Data!D263&gt;0,Data!D263,"")</f>
        <v/>
      </c>
      <c r="E263" s="1">
        <f>IF(Data!E263&gt;0,Data!E263,"")</f>
        <v/>
      </c>
      <c r="F263" s="1">
        <f>IF(Data!F263&gt;0,Data!F263,"")</f>
        <v/>
      </c>
      <c r="G263" s="1">
        <f>IF(Data!G263&gt;0,Data!G263,"")</f>
        <v/>
      </c>
      <c r="H263" s="1">
        <f>IF(Data!H263&gt;0,Data!H263,"")</f>
        <v/>
      </c>
      <c r="I263" s="1">
        <f>IF(Data!I263&gt;0,Data!I263,"")</f>
        <v/>
      </c>
      <c r="J263" s="1">
        <f>IF(Data!J263&gt;0,Data!J263,"")</f>
        <v/>
      </c>
      <c r="K263" s="1">
        <f>IF(Data!K263&gt;0,Data!K263,"")</f>
        <v/>
      </c>
      <c r="L263" s="1">
        <f>IF(Data!L263&gt;0,Data!L263,"")</f>
        <v/>
      </c>
      <c r="M263" s="1">
        <f>IF(Data!M263&gt;0,Data!M263,"")</f>
        <v/>
      </c>
      <c r="N263" s="1">
        <f>IF(Data!N263&gt;0,Data!N263,"")</f>
        <v/>
      </c>
      <c r="O263" s="1">
        <f>IF(Data!O263&gt;0,Data!O263,"")</f>
        <v/>
      </c>
      <c r="P263" s="1">
        <f>IF(Data!P263&gt;0,Data!P263,"")</f>
        <v/>
      </c>
      <c r="Q263" s="1">
        <f>IF(Data!Q263&gt;0,Data!Q263,"")</f>
        <v/>
      </c>
      <c r="R263" s="1">
        <f>IF(Data!R263&gt;0,Data!R263,"")</f>
        <v/>
      </c>
      <c r="S263" s="1">
        <f>IF(Data!S263&gt;0,Data!S263,"")</f>
        <v/>
      </c>
      <c r="V263" s="3">
        <f>IF(COUNT(D263,J263,K263,L263,M263,O263)&gt;0,AVERAGE(D263,J263,K263,L263,M263,O263),"")</f>
        <v/>
      </c>
      <c r="W263" s="3">
        <f>IF(COUNT(C263,F263,G263,N263,Q263)&gt;0,AVERAGE(C263,F263,G263,N263,Q263),"")</f>
        <v/>
      </c>
      <c r="X263" s="3">
        <f>IF(COUNT(B263,E263,H263,I263,P263,R263,S263)&gt;0,AVERAGE(B263,E263,H263,I263,P263,R263,S263),"")</f>
        <v/>
      </c>
      <c r="Y263" s="3" t="n"/>
      <c r="AJ263">
        <f>IFERROR(AVERAGEIF($A$4:$A$1004,AI263,$V$4:$V$1004),"")</f>
        <v/>
      </c>
      <c r="AK263">
        <f>IFERROR(AVERAGEIF($A$4:$A$1004,AI263,$W$4:$W$1004),"")</f>
        <v/>
      </c>
      <c r="AL263">
        <f>IFERROR(AVERAGEIF($A$4:$A$1004,AI263,$X$4:$X$1004),"")</f>
        <v/>
      </c>
    </row>
    <row r="264">
      <c r="A264" s="1">
        <f>IF(Data!A264&gt;0,Data!A264,"")</f>
        <v/>
      </c>
      <c r="B264" s="1">
        <f>IF(Data!B264&gt;0,Data!B264,"")</f>
        <v/>
      </c>
      <c r="C264" s="1">
        <f>IF(Data!C264&gt;0,Data!C264,"")</f>
        <v/>
      </c>
      <c r="D264" s="1">
        <f>IF(Data!D264&gt;0,Data!D264,"")</f>
        <v/>
      </c>
      <c r="E264" s="1">
        <f>IF(Data!E264&gt;0,Data!E264,"")</f>
        <v/>
      </c>
      <c r="F264" s="1">
        <f>IF(Data!F264&gt;0,Data!F264,"")</f>
        <v/>
      </c>
      <c r="G264" s="1">
        <f>IF(Data!G264&gt;0,Data!G264,"")</f>
        <v/>
      </c>
      <c r="H264" s="1">
        <f>IF(Data!H264&gt;0,Data!H264,"")</f>
        <v/>
      </c>
      <c r="I264" s="1">
        <f>IF(Data!I264&gt;0,Data!I264,"")</f>
        <v/>
      </c>
      <c r="J264" s="1">
        <f>IF(Data!J264&gt;0,Data!J264,"")</f>
        <v/>
      </c>
      <c r="K264" s="1">
        <f>IF(Data!K264&gt;0,Data!K264,"")</f>
        <v/>
      </c>
      <c r="L264" s="1">
        <f>IF(Data!L264&gt;0,Data!L264,"")</f>
        <v/>
      </c>
      <c r="M264" s="1">
        <f>IF(Data!M264&gt;0,Data!M264,"")</f>
        <v/>
      </c>
      <c r="N264" s="1">
        <f>IF(Data!N264&gt;0,Data!N264,"")</f>
        <v/>
      </c>
      <c r="O264" s="1">
        <f>IF(Data!O264&gt;0,Data!O264,"")</f>
        <v/>
      </c>
      <c r="P264" s="1">
        <f>IF(Data!P264&gt;0,Data!P264,"")</f>
        <v/>
      </c>
      <c r="Q264" s="1">
        <f>IF(Data!Q264&gt;0,Data!Q264,"")</f>
        <v/>
      </c>
      <c r="R264" s="1">
        <f>IF(Data!R264&gt;0,Data!R264,"")</f>
        <v/>
      </c>
      <c r="S264" s="1">
        <f>IF(Data!S264&gt;0,Data!S264,"")</f>
        <v/>
      </c>
      <c r="V264" s="3">
        <f>IF(COUNT(D264,J264,K264,L264,M264,O264)&gt;0,AVERAGE(D264,J264,K264,L264,M264,O264),"")</f>
        <v/>
      </c>
      <c r="W264" s="3">
        <f>IF(COUNT(C264,F264,G264,N264,Q264)&gt;0,AVERAGE(C264,F264,G264,N264,Q264),"")</f>
        <v/>
      </c>
      <c r="X264" s="3">
        <f>IF(COUNT(B264,E264,H264,I264,P264,R264,S264)&gt;0,AVERAGE(B264,E264,H264,I264,P264,R264,S264),"")</f>
        <v/>
      </c>
      <c r="Y264" s="3" t="n"/>
      <c r="AJ264">
        <f>IFERROR(AVERAGEIF($A$4:$A$1004,AI264,$V$4:$V$1004),"")</f>
        <v/>
      </c>
      <c r="AK264">
        <f>IFERROR(AVERAGEIF($A$4:$A$1004,AI264,$W$4:$W$1004),"")</f>
        <v/>
      </c>
      <c r="AL264">
        <f>IFERROR(AVERAGEIF($A$4:$A$1004,AI264,$X$4:$X$1004),"")</f>
        <v/>
      </c>
    </row>
    <row r="265">
      <c r="A265" s="1">
        <f>IF(Data!A265&gt;0,Data!A265,"")</f>
        <v/>
      </c>
      <c r="B265" s="1">
        <f>IF(Data!B265&gt;0,Data!B265,"")</f>
        <v/>
      </c>
      <c r="C265" s="1">
        <f>IF(Data!C265&gt;0,Data!C265,"")</f>
        <v/>
      </c>
      <c r="D265" s="1">
        <f>IF(Data!D265&gt;0,Data!D265,"")</f>
        <v/>
      </c>
      <c r="E265" s="1">
        <f>IF(Data!E265&gt;0,Data!E265,"")</f>
        <v/>
      </c>
      <c r="F265" s="1">
        <f>IF(Data!F265&gt;0,Data!F265,"")</f>
        <v/>
      </c>
      <c r="G265" s="1">
        <f>IF(Data!G265&gt;0,Data!G265,"")</f>
        <v/>
      </c>
      <c r="H265" s="1">
        <f>IF(Data!H265&gt;0,Data!H265,"")</f>
        <v/>
      </c>
      <c r="I265" s="1">
        <f>IF(Data!I265&gt;0,Data!I265,"")</f>
        <v/>
      </c>
      <c r="J265" s="1">
        <f>IF(Data!J265&gt;0,Data!J265,"")</f>
        <v/>
      </c>
      <c r="K265" s="1">
        <f>IF(Data!K265&gt;0,Data!K265,"")</f>
        <v/>
      </c>
      <c r="L265" s="1">
        <f>IF(Data!L265&gt;0,Data!L265,"")</f>
        <v/>
      </c>
      <c r="M265" s="1">
        <f>IF(Data!M265&gt;0,Data!M265,"")</f>
        <v/>
      </c>
      <c r="N265" s="1">
        <f>IF(Data!N265&gt;0,Data!N265,"")</f>
        <v/>
      </c>
      <c r="O265" s="1">
        <f>IF(Data!O265&gt;0,Data!O265,"")</f>
        <v/>
      </c>
      <c r="P265" s="1">
        <f>IF(Data!P265&gt;0,Data!P265,"")</f>
        <v/>
      </c>
      <c r="Q265" s="1">
        <f>IF(Data!Q265&gt;0,Data!Q265,"")</f>
        <v/>
      </c>
      <c r="R265" s="1">
        <f>IF(Data!R265&gt;0,Data!R265,"")</f>
        <v/>
      </c>
      <c r="S265" s="1">
        <f>IF(Data!S265&gt;0,Data!S265,"")</f>
        <v/>
      </c>
      <c r="V265" s="3">
        <f>IF(COUNT(D265,J265,K265,L265,M265,O265)&gt;0,AVERAGE(D265,J265,K265,L265,M265,O265),"")</f>
        <v/>
      </c>
      <c r="W265" s="3">
        <f>IF(COUNT(C265,F265,G265,N265,Q265)&gt;0,AVERAGE(C265,F265,G265,N265,Q265),"")</f>
        <v/>
      </c>
      <c r="X265" s="3">
        <f>IF(COUNT(B265,E265,H265,I265,P265,R265,S265)&gt;0,AVERAGE(B265,E265,H265,I265,P265,R265,S265),"")</f>
        <v/>
      </c>
      <c r="Y265" s="3" t="n"/>
      <c r="AJ265">
        <f>IFERROR(AVERAGEIF($A$4:$A$1004,AI265,$V$4:$V$1004),"")</f>
        <v/>
      </c>
      <c r="AK265">
        <f>IFERROR(AVERAGEIF($A$4:$A$1004,AI265,$W$4:$W$1004),"")</f>
        <v/>
      </c>
      <c r="AL265">
        <f>IFERROR(AVERAGEIF($A$4:$A$1004,AI265,$X$4:$X$1004),"")</f>
        <v/>
      </c>
    </row>
    <row r="266">
      <c r="A266" s="1">
        <f>IF(Data!A266&gt;0,Data!A266,"")</f>
        <v/>
      </c>
      <c r="B266" s="1">
        <f>IF(Data!B266&gt;0,Data!B266,"")</f>
        <v/>
      </c>
      <c r="C266" s="1">
        <f>IF(Data!C266&gt;0,Data!C266,"")</f>
        <v/>
      </c>
      <c r="D266" s="1">
        <f>IF(Data!D266&gt;0,Data!D266,"")</f>
        <v/>
      </c>
      <c r="E266" s="1">
        <f>IF(Data!E266&gt;0,Data!E266,"")</f>
        <v/>
      </c>
      <c r="F266" s="1">
        <f>IF(Data!F266&gt;0,Data!F266,"")</f>
        <v/>
      </c>
      <c r="G266" s="1">
        <f>IF(Data!G266&gt;0,Data!G266,"")</f>
        <v/>
      </c>
      <c r="H266" s="1">
        <f>IF(Data!H266&gt;0,Data!H266,"")</f>
        <v/>
      </c>
      <c r="I266" s="1">
        <f>IF(Data!I266&gt;0,Data!I266,"")</f>
        <v/>
      </c>
      <c r="J266" s="1">
        <f>IF(Data!J266&gt;0,Data!J266,"")</f>
        <v/>
      </c>
      <c r="K266" s="1">
        <f>IF(Data!K266&gt;0,Data!K266,"")</f>
        <v/>
      </c>
      <c r="L266" s="1">
        <f>IF(Data!L266&gt;0,Data!L266,"")</f>
        <v/>
      </c>
      <c r="M266" s="1">
        <f>IF(Data!M266&gt;0,Data!M266,"")</f>
        <v/>
      </c>
      <c r="N266" s="1">
        <f>IF(Data!N266&gt;0,Data!N266,"")</f>
        <v/>
      </c>
      <c r="O266" s="1">
        <f>IF(Data!O266&gt;0,Data!O266,"")</f>
        <v/>
      </c>
      <c r="P266" s="1">
        <f>IF(Data!P266&gt;0,Data!P266,"")</f>
        <v/>
      </c>
      <c r="Q266" s="1">
        <f>IF(Data!Q266&gt;0,Data!Q266,"")</f>
        <v/>
      </c>
      <c r="R266" s="1">
        <f>IF(Data!R266&gt;0,Data!R266,"")</f>
        <v/>
      </c>
      <c r="S266" s="1">
        <f>IF(Data!S266&gt;0,Data!S266,"")</f>
        <v/>
      </c>
      <c r="V266" s="3">
        <f>IF(COUNT(D266,J266,K266,L266,M266,O266)&gt;0,AVERAGE(D266,J266,K266,L266,M266,O266),"")</f>
        <v/>
      </c>
      <c r="W266" s="3">
        <f>IF(COUNT(C266,F266,G266,N266,Q266)&gt;0,AVERAGE(C266,F266,G266,N266,Q266),"")</f>
        <v/>
      </c>
      <c r="X266" s="3">
        <f>IF(COUNT(B266,E266,H266,I266,P266,R266,S266)&gt;0,AVERAGE(B266,E266,H266,I266,P266,R266,S266),"")</f>
        <v/>
      </c>
      <c r="Y266" s="3" t="n"/>
      <c r="AJ266">
        <f>IFERROR(AVERAGEIF($A$4:$A$1004,AI266,$V$4:$V$1004),"")</f>
        <v/>
      </c>
      <c r="AK266">
        <f>IFERROR(AVERAGEIF($A$4:$A$1004,AI266,$W$4:$W$1004),"")</f>
        <v/>
      </c>
      <c r="AL266">
        <f>IFERROR(AVERAGEIF($A$4:$A$1004,AI266,$X$4:$X$1004),"")</f>
        <v/>
      </c>
    </row>
    <row r="267">
      <c r="A267" s="1">
        <f>IF(Data!A267&gt;0,Data!A267,"")</f>
        <v/>
      </c>
      <c r="B267" s="1">
        <f>IF(Data!B267&gt;0,Data!B267,"")</f>
        <v/>
      </c>
      <c r="C267" s="1">
        <f>IF(Data!C267&gt;0,Data!C267,"")</f>
        <v/>
      </c>
      <c r="D267" s="1">
        <f>IF(Data!D267&gt;0,Data!D267,"")</f>
        <v/>
      </c>
      <c r="E267" s="1">
        <f>IF(Data!E267&gt;0,Data!E267,"")</f>
        <v/>
      </c>
      <c r="F267" s="1">
        <f>IF(Data!F267&gt;0,Data!F267,"")</f>
        <v/>
      </c>
      <c r="G267" s="1">
        <f>IF(Data!G267&gt;0,Data!G267,"")</f>
        <v/>
      </c>
      <c r="H267" s="1">
        <f>IF(Data!H267&gt;0,Data!H267,"")</f>
        <v/>
      </c>
      <c r="I267" s="1">
        <f>IF(Data!I267&gt;0,Data!I267,"")</f>
        <v/>
      </c>
      <c r="J267" s="1">
        <f>IF(Data!J267&gt;0,Data!J267,"")</f>
        <v/>
      </c>
      <c r="K267" s="1">
        <f>IF(Data!K267&gt;0,Data!K267,"")</f>
        <v/>
      </c>
      <c r="L267" s="1">
        <f>IF(Data!L267&gt;0,Data!L267,"")</f>
        <v/>
      </c>
      <c r="M267" s="1">
        <f>IF(Data!M267&gt;0,Data!M267,"")</f>
        <v/>
      </c>
      <c r="N267" s="1">
        <f>IF(Data!N267&gt;0,Data!N267,"")</f>
        <v/>
      </c>
      <c r="O267" s="1">
        <f>IF(Data!O267&gt;0,Data!O267,"")</f>
        <v/>
      </c>
      <c r="P267" s="1">
        <f>IF(Data!P267&gt;0,Data!P267,"")</f>
        <v/>
      </c>
      <c r="Q267" s="1">
        <f>IF(Data!Q267&gt;0,Data!Q267,"")</f>
        <v/>
      </c>
      <c r="R267" s="1">
        <f>IF(Data!R267&gt;0,Data!R267,"")</f>
        <v/>
      </c>
      <c r="S267" s="1">
        <f>IF(Data!S267&gt;0,Data!S267,"")</f>
        <v/>
      </c>
      <c r="V267" s="3">
        <f>IF(COUNT(D267,J267,K267,L267,M267,O267)&gt;0,AVERAGE(D267,J267,K267,L267,M267,O267),"")</f>
        <v/>
      </c>
      <c r="W267" s="3">
        <f>IF(COUNT(C267,F267,G267,N267,Q267)&gt;0,AVERAGE(C267,F267,G267,N267,Q267),"")</f>
        <v/>
      </c>
      <c r="X267" s="3">
        <f>IF(COUNT(B267,E267,H267,I267,P267,R267,S267)&gt;0,AVERAGE(B267,E267,H267,I267,P267,R267,S267),"")</f>
        <v/>
      </c>
      <c r="Y267" s="3" t="n"/>
      <c r="AJ267">
        <f>IFERROR(AVERAGEIF($A$4:$A$1004,AI267,$V$4:$V$1004),"")</f>
        <v/>
      </c>
      <c r="AK267">
        <f>IFERROR(AVERAGEIF($A$4:$A$1004,AI267,$W$4:$W$1004),"")</f>
        <v/>
      </c>
      <c r="AL267">
        <f>IFERROR(AVERAGEIF($A$4:$A$1004,AI267,$X$4:$X$1004),"")</f>
        <v/>
      </c>
    </row>
    <row r="268">
      <c r="A268" s="1">
        <f>IF(Data!A268&gt;0,Data!A268,"")</f>
        <v/>
      </c>
      <c r="B268" s="1">
        <f>IF(Data!B268&gt;0,Data!B268,"")</f>
        <v/>
      </c>
      <c r="C268" s="1">
        <f>IF(Data!C268&gt;0,Data!C268,"")</f>
        <v/>
      </c>
      <c r="D268" s="1">
        <f>IF(Data!D268&gt;0,Data!D268,"")</f>
        <v/>
      </c>
      <c r="E268" s="1">
        <f>IF(Data!E268&gt;0,Data!E268,"")</f>
        <v/>
      </c>
      <c r="F268" s="1">
        <f>IF(Data!F268&gt;0,Data!F268,"")</f>
        <v/>
      </c>
      <c r="G268" s="1">
        <f>IF(Data!G268&gt;0,Data!G268,"")</f>
        <v/>
      </c>
      <c r="H268" s="1">
        <f>IF(Data!H268&gt;0,Data!H268,"")</f>
        <v/>
      </c>
      <c r="I268" s="1">
        <f>IF(Data!I268&gt;0,Data!I268,"")</f>
        <v/>
      </c>
      <c r="J268" s="1">
        <f>IF(Data!J268&gt;0,Data!J268,"")</f>
        <v/>
      </c>
      <c r="K268" s="1">
        <f>IF(Data!K268&gt;0,Data!K268,"")</f>
        <v/>
      </c>
      <c r="L268" s="1">
        <f>IF(Data!L268&gt;0,Data!L268,"")</f>
        <v/>
      </c>
      <c r="M268" s="1">
        <f>IF(Data!M268&gt;0,Data!M268,"")</f>
        <v/>
      </c>
      <c r="N268" s="1">
        <f>IF(Data!N268&gt;0,Data!N268,"")</f>
        <v/>
      </c>
      <c r="O268" s="1">
        <f>IF(Data!O268&gt;0,Data!O268,"")</f>
        <v/>
      </c>
      <c r="P268" s="1">
        <f>IF(Data!P268&gt;0,Data!P268,"")</f>
        <v/>
      </c>
      <c r="Q268" s="1">
        <f>IF(Data!Q268&gt;0,Data!Q268,"")</f>
        <v/>
      </c>
      <c r="R268" s="1">
        <f>IF(Data!R268&gt;0,Data!R268,"")</f>
        <v/>
      </c>
      <c r="S268" s="1">
        <f>IF(Data!S268&gt;0,Data!S268,"")</f>
        <v/>
      </c>
      <c r="V268" s="3">
        <f>IF(COUNT(D268,J268,K268,L268,M268,O268)&gt;0,AVERAGE(D268,J268,K268,L268,M268,O268),"")</f>
        <v/>
      </c>
      <c r="W268" s="3">
        <f>IF(COUNT(C268,F268,G268,N268,Q268)&gt;0,AVERAGE(C268,F268,G268,N268,Q268),"")</f>
        <v/>
      </c>
      <c r="X268" s="3">
        <f>IF(COUNT(B268,E268,H268,I268,P268,R268,S268)&gt;0,AVERAGE(B268,E268,H268,I268,P268,R268,S268),"")</f>
        <v/>
      </c>
      <c r="Y268" s="3" t="n"/>
      <c r="AJ268">
        <f>IFERROR(AVERAGEIF($A$4:$A$1004,AI268,$V$4:$V$1004),"")</f>
        <v/>
      </c>
      <c r="AK268">
        <f>IFERROR(AVERAGEIF($A$4:$A$1004,AI268,$W$4:$W$1004),"")</f>
        <v/>
      </c>
      <c r="AL268">
        <f>IFERROR(AVERAGEIF($A$4:$A$1004,AI268,$X$4:$X$1004),"")</f>
        <v/>
      </c>
    </row>
    <row r="269">
      <c r="A269" s="1">
        <f>IF(Data!A269&gt;0,Data!A269,"")</f>
        <v/>
      </c>
      <c r="B269" s="1">
        <f>IF(Data!B269&gt;0,Data!B269,"")</f>
        <v/>
      </c>
      <c r="C269" s="1">
        <f>IF(Data!C269&gt;0,Data!C269,"")</f>
        <v/>
      </c>
      <c r="D269" s="1">
        <f>IF(Data!D269&gt;0,Data!D269,"")</f>
        <v/>
      </c>
      <c r="E269" s="1">
        <f>IF(Data!E269&gt;0,Data!E269,"")</f>
        <v/>
      </c>
      <c r="F269" s="1">
        <f>IF(Data!F269&gt;0,Data!F269,"")</f>
        <v/>
      </c>
      <c r="G269" s="1">
        <f>IF(Data!G269&gt;0,Data!G269,"")</f>
        <v/>
      </c>
      <c r="H269" s="1">
        <f>IF(Data!H269&gt;0,Data!H269,"")</f>
        <v/>
      </c>
      <c r="I269" s="1">
        <f>IF(Data!I269&gt;0,Data!I269,"")</f>
        <v/>
      </c>
      <c r="J269" s="1">
        <f>IF(Data!J269&gt;0,Data!J269,"")</f>
        <v/>
      </c>
      <c r="K269" s="1">
        <f>IF(Data!K269&gt;0,Data!K269,"")</f>
        <v/>
      </c>
      <c r="L269" s="1">
        <f>IF(Data!L269&gt;0,Data!L269,"")</f>
        <v/>
      </c>
      <c r="M269" s="1">
        <f>IF(Data!M269&gt;0,Data!M269,"")</f>
        <v/>
      </c>
      <c r="N269" s="1">
        <f>IF(Data!N269&gt;0,Data!N269,"")</f>
        <v/>
      </c>
      <c r="O269" s="1">
        <f>IF(Data!O269&gt;0,Data!O269,"")</f>
        <v/>
      </c>
      <c r="P269" s="1">
        <f>IF(Data!P269&gt;0,Data!P269,"")</f>
        <v/>
      </c>
      <c r="Q269" s="1">
        <f>IF(Data!Q269&gt;0,Data!Q269,"")</f>
        <v/>
      </c>
      <c r="R269" s="1">
        <f>IF(Data!R269&gt;0,Data!R269,"")</f>
        <v/>
      </c>
      <c r="S269" s="1">
        <f>IF(Data!S269&gt;0,Data!S269,"")</f>
        <v/>
      </c>
      <c r="V269" s="3">
        <f>IF(COUNT(D269,J269,K269,L269,M269,O269)&gt;0,AVERAGE(D269,J269,K269,L269,M269,O269),"")</f>
        <v/>
      </c>
      <c r="W269" s="3">
        <f>IF(COUNT(C269,F269,G269,N269,Q269)&gt;0,AVERAGE(C269,F269,G269,N269,Q269),"")</f>
        <v/>
      </c>
      <c r="X269" s="3">
        <f>IF(COUNT(B269,E269,H269,I269,P269,R269,S269)&gt;0,AVERAGE(B269,E269,H269,I269,P269,R269,S269),"")</f>
        <v/>
      </c>
      <c r="Y269" s="3" t="n"/>
      <c r="AJ269">
        <f>IFERROR(AVERAGEIF($A$4:$A$1004,AI269,$V$4:$V$1004),"")</f>
        <v/>
      </c>
      <c r="AK269">
        <f>IFERROR(AVERAGEIF($A$4:$A$1004,AI269,$W$4:$W$1004),"")</f>
        <v/>
      </c>
      <c r="AL269">
        <f>IFERROR(AVERAGEIF($A$4:$A$1004,AI269,$X$4:$X$1004),"")</f>
        <v/>
      </c>
    </row>
    <row r="270">
      <c r="A270" s="1">
        <f>IF(Data!A270&gt;0,Data!A270,"")</f>
        <v/>
      </c>
      <c r="B270" s="1">
        <f>IF(Data!B270&gt;0,Data!B270,"")</f>
        <v/>
      </c>
      <c r="C270" s="1">
        <f>IF(Data!C270&gt;0,Data!C270,"")</f>
        <v/>
      </c>
      <c r="D270" s="1">
        <f>IF(Data!D270&gt;0,Data!D270,"")</f>
        <v/>
      </c>
      <c r="E270" s="1">
        <f>IF(Data!E270&gt;0,Data!E270,"")</f>
        <v/>
      </c>
      <c r="F270" s="1">
        <f>IF(Data!F270&gt;0,Data!F270,"")</f>
        <v/>
      </c>
      <c r="G270" s="1">
        <f>IF(Data!G270&gt;0,Data!G270,"")</f>
        <v/>
      </c>
      <c r="H270" s="1">
        <f>IF(Data!H270&gt;0,Data!H270,"")</f>
        <v/>
      </c>
      <c r="I270" s="1">
        <f>IF(Data!I270&gt;0,Data!I270,"")</f>
        <v/>
      </c>
      <c r="J270" s="1">
        <f>IF(Data!J270&gt;0,Data!J270,"")</f>
        <v/>
      </c>
      <c r="K270" s="1">
        <f>IF(Data!K270&gt;0,Data!K270,"")</f>
        <v/>
      </c>
      <c r="L270" s="1">
        <f>IF(Data!L270&gt;0,Data!L270,"")</f>
        <v/>
      </c>
      <c r="M270" s="1">
        <f>IF(Data!M270&gt;0,Data!M270,"")</f>
        <v/>
      </c>
      <c r="N270" s="1">
        <f>IF(Data!N270&gt;0,Data!N270,"")</f>
        <v/>
      </c>
      <c r="O270" s="1">
        <f>IF(Data!O270&gt;0,Data!O270,"")</f>
        <v/>
      </c>
      <c r="P270" s="1">
        <f>IF(Data!P270&gt;0,Data!P270,"")</f>
        <v/>
      </c>
      <c r="Q270" s="1">
        <f>IF(Data!Q270&gt;0,Data!Q270,"")</f>
        <v/>
      </c>
      <c r="R270" s="1">
        <f>IF(Data!R270&gt;0,Data!R270,"")</f>
        <v/>
      </c>
      <c r="S270" s="1">
        <f>IF(Data!S270&gt;0,Data!S270,"")</f>
        <v/>
      </c>
      <c r="V270" s="3">
        <f>IF(COUNT(D270,J270,K270,L270,M270,O270)&gt;0,AVERAGE(D270,J270,K270,L270,M270,O270),"")</f>
        <v/>
      </c>
      <c r="W270" s="3">
        <f>IF(COUNT(C270,F270,G270,N270,Q270)&gt;0,AVERAGE(C270,F270,G270,N270,Q270),"")</f>
        <v/>
      </c>
      <c r="X270" s="3">
        <f>IF(COUNT(B270,E270,H270,I270,P270,R270,S270)&gt;0,AVERAGE(B270,E270,H270,I270,P270,R270,S270),"")</f>
        <v/>
      </c>
      <c r="Y270" s="3" t="n"/>
      <c r="AJ270">
        <f>IFERROR(AVERAGEIF($A$4:$A$1004,AI270,$V$4:$V$1004),"")</f>
        <v/>
      </c>
      <c r="AK270">
        <f>IFERROR(AVERAGEIF($A$4:$A$1004,AI270,$W$4:$W$1004),"")</f>
        <v/>
      </c>
      <c r="AL270">
        <f>IFERROR(AVERAGEIF($A$4:$A$1004,AI270,$X$4:$X$1004),"")</f>
        <v/>
      </c>
    </row>
    <row r="271">
      <c r="A271" s="1">
        <f>IF(Data!A271&gt;0,Data!A271,"")</f>
        <v/>
      </c>
      <c r="B271" s="1">
        <f>IF(Data!B271&gt;0,Data!B271,"")</f>
        <v/>
      </c>
      <c r="C271" s="1">
        <f>IF(Data!C271&gt;0,Data!C271,"")</f>
        <v/>
      </c>
      <c r="D271" s="1">
        <f>IF(Data!D271&gt;0,Data!D271,"")</f>
        <v/>
      </c>
      <c r="E271" s="1">
        <f>IF(Data!E271&gt;0,Data!E271,"")</f>
        <v/>
      </c>
      <c r="F271" s="1">
        <f>IF(Data!F271&gt;0,Data!F271,"")</f>
        <v/>
      </c>
      <c r="G271" s="1">
        <f>IF(Data!G271&gt;0,Data!G271,"")</f>
        <v/>
      </c>
      <c r="H271" s="1">
        <f>IF(Data!H271&gt;0,Data!H271,"")</f>
        <v/>
      </c>
      <c r="I271" s="1">
        <f>IF(Data!I271&gt;0,Data!I271,"")</f>
        <v/>
      </c>
      <c r="J271" s="1">
        <f>IF(Data!J271&gt;0,Data!J271,"")</f>
        <v/>
      </c>
      <c r="K271" s="1">
        <f>IF(Data!K271&gt;0,Data!K271,"")</f>
        <v/>
      </c>
      <c r="L271" s="1">
        <f>IF(Data!L271&gt;0,Data!L271,"")</f>
        <v/>
      </c>
      <c r="M271" s="1">
        <f>IF(Data!M271&gt;0,Data!M271,"")</f>
        <v/>
      </c>
      <c r="N271" s="1">
        <f>IF(Data!N271&gt;0,Data!N271,"")</f>
        <v/>
      </c>
      <c r="O271" s="1">
        <f>IF(Data!O271&gt;0,Data!O271,"")</f>
        <v/>
      </c>
      <c r="P271" s="1">
        <f>IF(Data!P271&gt;0,Data!P271,"")</f>
        <v/>
      </c>
      <c r="Q271" s="1">
        <f>IF(Data!Q271&gt;0,Data!Q271,"")</f>
        <v/>
      </c>
      <c r="R271" s="1">
        <f>IF(Data!R271&gt;0,Data!R271,"")</f>
        <v/>
      </c>
      <c r="S271" s="1">
        <f>IF(Data!S271&gt;0,Data!S271,"")</f>
        <v/>
      </c>
      <c r="V271" s="3">
        <f>IF(COUNT(D271,J271,K271,L271,M271,O271)&gt;0,AVERAGE(D271,J271,K271,L271,M271,O271),"")</f>
        <v/>
      </c>
      <c r="W271" s="3">
        <f>IF(COUNT(C271,F271,G271,N271,Q271)&gt;0,AVERAGE(C271,F271,G271,N271,Q271),"")</f>
        <v/>
      </c>
      <c r="X271" s="3">
        <f>IF(COUNT(B271,E271,H271,I271,P271,R271,S271)&gt;0,AVERAGE(B271,E271,H271,I271,P271,R271,S271),"")</f>
        <v/>
      </c>
      <c r="Y271" s="3" t="n"/>
      <c r="AJ271">
        <f>IFERROR(AVERAGEIF($A$4:$A$1004,AI271,$V$4:$V$1004),"")</f>
        <v/>
      </c>
      <c r="AK271">
        <f>IFERROR(AVERAGEIF($A$4:$A$1004,AI271,$W$4:$W$1004),"")</f>
        <v/>
      </c>
      <c r="AL271">
        <f>IFERROR(AVERAGEIF($A$4:$A$1004,AI271,$X$4:$X$1004),"")</f>
        <v/>
      </c>
    </row>
    <row r="272">
      <c r="A272" s="1">
        <f>IF(Data!A272&gt;0,Data!A272,"")</f>
        <v/>
      </c>
      <c r="B272" s="1">
        <f>IF(Data!B272&gt;0,Data!B272,"")</f>
        <v/>
      </c>
      <c r="C272" s="1">
        <f>IF(Data!C272&gt;0,Data!C272,"")</f>
        <v/>
      </c>
      <c r="D272" s="1">
        <f>IF(Data!D272&gt;0,Data!D272,"")</f>
        <v/>
      </c>
      <c r="E272" s="1">
        <f>IF(Data!E272&gt;0,Data!E272,"")</f>
        <v/>
      </c>
      <c r="F272" s="1">
        <f>IF(Data!F272&gt;0,Data!F272,"")</f>
        <v/>
      </c>
      <c r="G272" s="1">
        <f>IF(Data!G272&gt;0,Data!G272,"")</f>
        <v/>
      </c>
      <c r="H272" s="1">
        <f>IF(Data!H272&gt;0,Data!H272,"")</f>
        <v/>
      </c>
      <c r="I272" s="1">
        <f>IF(Data!I272&gt;0,Data!I272,"")</f>
        <v/>
      </c>
      <c r="J272" s="1">
        <f>IF(Data!J272&gt;0,Data!J272,"")</f>
        <v/>
      </c>
      <c r="K272" s="1">
        <f>IF(Data!K272&gt;0,Data!K272,"")</f>
        <v/>
      </c>
      <c r="L272" s="1">
        <f>IF(Data!L272&gt;0,Data!L272,"")</f>
        <v/>
      </c>
      <c r="M272" s="1">
        <f>IF(Data!M272&gt;0,Data!M272,"")</f>
        <v/>
      </c>
      <c r="N272" s="1">
        <f>IF(Data!N272&gt;0,Data!N272,"")</f>
        <v/>
      </c>
      <c r="O272" s="1">
        <f>IF(Data!O272&gt;0,Data!O272,"")</f>
        <v/>
      </c>
      <c r="P272" s="1">
        <f>IF(Data!P272&gt;0,Data!P272,"")</f>
        <v/>
      </c>
      <c r="Q272" s="1">
        <f>IF(Data!Q272&gt;0,Data!Q272,"")</f>
        <v/>
      </c>
      <c r="R272" s="1">
        <f>IF(Data!R272&gt;0,Data!R272,"")</f>
        <v/>
      </c>
      <c r="S272" s="1">
        <f>IF(Data!S272&gt;0,Data!S272,"")</f>
        <v/>
      </c>
      <c r="V272" s="3">
        <f>IF(COUNT(D272,J272,K272,L272,M272,O272)&gt;0,AVERAGE(D272,J272,K272,L272,M272,O272),"")</f>
        <v/>
      </c>
      <c r="W272" s="3">
        <f>IF(COUNT(C272,F272,G272,N272,Q272)&gt;0,AVERAGE(C272,F272,G272,N272,Q272),"")</f>
        <v/>
      </c>
      <c r="X272" s="3">
        <f>IF(COUNT(B272,E272,H272,I272,P272,R272,S272)&gt;0,AVERAGE(B272,E272,H272,I272,P272,R272,S272),"")</f>
        <v/>
      </c>
      <c r="Y272" s="3" t="n"/>
      <c r="AJ272">
        <f>IFERROR(AVERAGEIF($A$4:$A$1004,AI272,$V$4:$V$1004),"")</f>
        <v/>
      </c>
      <c r="AK272">
        <f>IFERROR(AVERAGEIF($A$4:$A$1004,AI272,$W$4:$W$1004),"")</f>
        <v/>
      </c>
      <c r="AL272">
        <f>IFERROR(AVERAGEIF($A$4:$A$1004,AI272,$X$4:$X$1004),"")</f>
        <v/>
      </c>
    </row>
    <row r="273">
      <c r="A273" s="1">
        <f>IF(Data!A273&gt;0,Data!A273,"")</f>
        <v/>
      </c>
      <c r="B273" s="1">
        <f>IF(Data!B273&gt;0,Data!B273,"")</f>
        <v/>
      </c>
      <c r="C273" s="1">
        <f>IF(Data!C273&gt;0,Data!C273,"")</f>
        <v/>
      </c>
      <c r="D273" s="1">
        <f>IF(Data!D273&gt;0,Data!D273,"")</f>
        <v/>
      </c>
      <c r="E273" s="1">
        <f>IF(Data!E273&gt;0,Data!E273,"")</f>
        <v/>
      </c>
      <c r="F273" s="1">
        <f>IF(Data!F273&gt;0,Data!F273,"")</f>
        <v/>
      </c>
      <c r="G273" s="1">
        <f>IF(Data!G273&gt;0,Data!G273,"")</f>
        <v/>
      </c>
      <c r="H273" s="1">
        <f>IF(Data!H273&gt;0,Data!H273,"")</f>
        <v/>
      </c>
      <c r="I273" s="1">
        <f>IF(Data!I273&gt;0,Data!I273,"")</f>
        <v/>
      </c>
      <c r="J273" s="1">
        <f>IF(Data!J273&gt;0,Data!J273,"")</f>
        <v/>
      </c>
      <c r="K273" s="1">
        <f>IF(Data!K273&gt;0,Data!K273,"")</f>
        <v/>
      </c>
      <c r="L273" s="1">
        <f>IF(Data!L273&gt;0,Data!L273,"")</f>
        <v/>
      </c>
      <c r="M273" s="1">
        <f>IF(Data!M273&gt;0,Data!M273,"")</f>
        <v/>
      </c>
      <c r="N273" s="1">
        <f>IF(Data!N273&gt;0,Data!N273,"")</f>
        <v/>
      </c>
      <c r="O273" s="1">
        <f>IF(Data!O273&gt;0,Data!O273,"")</f>
        <v/>
      </c>
      <c r="P273" s="1">
        <f>IF(Data!P273&gt;0,Data!P273,"")</f>
        <v/>
      </c>
      <c r="Q273" s="1">
        <f>IF(Data!Q273&gt;0,Data!Q273,"")</f>
        <v/>
      </c>
      <c r="R273" s="1">
        <f>IF(Data!R273&gt;0,Data!R273,"")</f>
        <v/>
      </c>
      <c r="S273" s="1">
        <f>IF(Data!S273&gt;0,Data!S273,"")</f>
        <v/>
      </c>
      <c r="V273" s="3">
        <f>IF(COUNT(D273,J273,K273,L273,M273,O273)&gt;0,AVERAGE(D273,J273,K273,L273,M273,O273),"")</f>
        <v/>
      </c>
      <c r="W273" s="3">
        <f>IF(COUNT(C273,F273,G273,N273,Q273)&gt;0,AVERAGE(C273,F273,G273,N273,Q273),"")</f>
        <v/>
      </c>
      <c r="X273" s="3">
        <f>IF(COUNT(B273,E273,H273,I273,P273,R273,S273)&gt;0,AVERAGE(B273,E273,H273,I273,P273,R273,S273),"")</f>
        <v/>
      </c>
      <c r="Y273" s="3" t="n"/>
      <c r="AJ273">
        <f>IFERROR(AVERAGEIF($A$4:$A$1004,AI273,$V$4:$V$1004),"")</f>
        <v/>
      </c>
      <c r="AK273">
        <f>IFERROR(AVERAGEIF($A$4:$A$1004,AI273,$W$4:$W$1004),"")</f>
        <v/>
      </c>
      <c r="AL273">
        <f>IFERROR(AVERAGEIF($A$4:$A$1004,AI273,$X$4:$X$1004),"")</f>
        <v/>
      </c>
    </row>
    <row r="274">
      <c r="A274" s="1">
        <f>IF(Data!A274&gt;0,Data!A274,"")</f>
        <v/>
      </c>
      <c r="B274" s="1">
        <f>IF(Data!B274&gt;0,Data!B274,"")</f>
        <v/>
      </c>
      <c r="C274" s="1">
        <f>IF(Data!C274&gt;0,Data!C274,"")</f>
        <v/>
      </c>
      <c r="D274" s="1">
        <f>IF(Data!D274&gt;0,Data!D274,"")</f>
        <v/>
      </c>
      <c r="E274" s="1">
        <f>IF(Data!E274&gt;0,Data!E274,"")</f>
        <v/>
      </c>
      <c r="F274" s="1">
        <f>IF(Data!F274&gt;0,Data!F274,"")</f>
        <v/>
      </c>
      <c r="G274" s="1">
        <f>IF(Data!G274&gt;0,Data!G274,"")</f>
        <v/>
      </c>
      <c r="H274" s="1">
        <f>IF(Data!H274&gt;0,Data!H274,"")</f>
        <v/>
      </c>
      <c r="I274" s="1">
        <f>IF(Data!I274&gt;0,Data!I274,"")</f>
        <v/>
      </c>
      <c r="J274" s="1">
        <f>IF(Data!J274&gt;0,Data!J274,"")</f>
        <v/>
      </c>
      <c r="K274" s="1">
        <f>IF(Data!K274&gt;0,Data!K274,"")</f>
        <v/>
      </c>
      <c r="L274" s="1">
        <f>IF(Data!L274&gt;0,Data!L274,"")</f>
        <v/>
      </c>
      <c r="M274" s="1">
        <f>IF(Data!M274&gt;0,Data!M274,"")</f>
        <v/>
      </c>
      <c r="N274" s="1">
        <f>IF(Data!N274&gt;0,Data!N274,"")</f>
        <v/>
      </c>
      <c r="O274" s="1">
        <f>IF(Data!O274&gt;0,Data!O274,"")</f>
        <v/>
      </c>
      <c r="P274" s="1">
        <f>IF(Data!P274&gt;0,Data!P274,"")</f>
        <v/>
      </c>
      <c r="Q274" s="1">
        <f>IF(Data!Q274&gt;0,Data!Q274,"")</f>
        <v/>
      </c>
      <c r="R274" s="1">
        <f>IF(Data!R274&gt;0,Data!R274,"")</f>
        <v/>
      </c>
      <c r="S274" s="1">
        <f>IF(Data!S274&gt;0,Data!S274,"")</f>
        <v/>
      </c>
      <c r="V274" s="3">
        <f>IF(COUNT(D274,J274,K274,L274,M274,O274)&gt;0,AVERAGE(D274,J274,K274,L274,M274,O274),"")</f>
        <v/>
      </c>
      <c r="W274" s="3">
        <f>IF(COUNT(C274,F274,G274,N274,Q274)&gt;0,AVERAGE(C274,F274,G274,N274,Q274),"")</f>
        <v/>
      </c>
      <c r="X274" s="3">
        <f>IF(COUNT(B274,E274,H274,I274,P274,R274,S274)&gt;0,AVERAGE(B274,E274,H274,I274,P274,R274,S274),"")</f>
        <v/>
      </c>
      <c r="Y274" s="3" t="n"/>
      <c r="AJ274">
        <f>IFERROR(AVERAGEIF($A$4:$A$1004,AI274,$V$4:$V$1004),"")</f>
        <v/>
      </c>
      <c r="AK274">
        <f>IFERROR(AVERAGEIF($A$4:$A$1004,AI274,$W$4:$W$1004),"")</f>
        <v/>
      </c>
      <c r="AL274">
        <f>IFERROR(AVERAGEIF($A$4:$A$1004,AI274,$X$4:$X$1004),"")</f>
        <v/>
      </c>
    </row>
    <row r="275">
      <c r="A275" s="1">
        <f>IF(Data!A275&gt;0,Data!A275,"")</f>
        <v/>
      </c>
      <c r="B275" s="1">
        <f>IF(Data!B275&gt;0,Data!B275,"")</f>
        <v/>
      </c>
      <c r="C275" s="1">
        <f>IF(Data!C275&gt;0,Data!C275,"")</f>
        <v/>
      </c>
      <c r="D275" s="1">
        <f>IF(Data!D275&gt;0,Data!D275,"")</f>
        <v/>
      </c>
      <c r="E275" s="1">
        <f>IF(Data!E275&gt;0,Data!E275,"")</f>
        <v/>
      </c>
      <c r="F275" s="1">
        <f>IF(Data!F275&gt;0,Data!F275,"")</f>
        <v/>
      </c>
      <c r="G275" s="1">
        <f>IF(Data!G275&gt;0,Data!G275,"")</f>
        <v/>
      </c>
      <c r="H275" s="1">
        <f>IF(Data!H275&gt;0,Data!H275,"")</f>
        <v/>
      </c>
      <c r="I275" s="1">
        <f>IF(Data!I275&gt;0,Data!I275,"")</f>
        <v/>
      </c>
      <c r="J275" s="1">
        <f>IF(Data!J275&gt;0,Data!J275,"")</f>
        <v/>
      </c>
      <c r="K275" s="1">
        <f>IF(Data!K275&gt;0,Data!K275,"")</f>
        <v/>
      </c>
      <c r="L275" s="1">
        <f>IF(Data!L275&gt;0,Data!L275,"")</f>
        <v/>
      </c>
      <c r="M275" s="1">
        <f>IF(Data!M275&gt;0,Data!M275,"")</f>
        <v/>
      </c>
      <c r="N275" s="1">
        <f>IF(Data!N275&gt;0,Data!N275,"")</f>
        <v/>
      </c>
      <c r="O275" s="1">
        <f>IF(Data!O275&gt;0,Data!O275,"")</f>
        <v/>
      </c>
      <c r="P275" s="1">
        <f>IF(Data!P275&gt;0,Data!P275,"")</f>
        <v/>
      </c>
      <c r="Q275" s="1">
        <f>IF(Data!Q275&gt;0,Data!Q275,"")</f>
        <v/>
      </c>
      <c r="R275" s="1">
        <f>IF(Data!R275&gt;0,Data!R275,"")</f>
        <v/>
      </c>
      <c r="S275" s="1">
        <f>IF(Data!S275&gt;0,Data!S275,"")</f>
        <v/>
      </c>
      <c r="V275" s="3">
        <f>IF(COUNT(D275,J275,K275,L275,M275,O275)&gt;0,AVERAGE(D275,J275,K275,L275,M275,O275),"")</f>
        <v/>
      </c>
      <c r="W275" s="3">
        <f>IF(COUNT(C275,F275,G275,N275,Q275)&gt;0,AVERAGE(C275,F275,G275,N275,Q275),"")</f>
        <v/>
      </c>
      <c r="X275" s="3">
        <f>IF(COUNT(B275,E275,H275,I275,P275,R275,S275)&gt;0,AVERAGE(B275,E275,H275,I275,P275,R275,S275),"")</f>
        <v/>
      </c>
      <c r="Y275" s="3" t="n"/>
      <c r="AJ275">
        <f>IFERROR(AVERAGEIF($A$4:$A$1004,AI275,$V$4:$V$1004),"")</f>
        <v/>
      </c>
      <c r="AK275">
        <f>IFERROR(AVERAGEIF($A$4:$A$1004,AI275,$W$4:$W$1004),"")</f>
        <v/>
      </c>
      <c r="AL275">
        <f>IFERROR(AVERAGEIF($A$4:$A$1004,AI275,$X$4:$X$1004),"")</f>
        <v/>
      </c>
    </row>
    <row r="276">
      <c r="A276" s="1">
        <f>IF(Data!A276&gt;0,Data!A276,"")</f>
        <v/>
      </c>
      <c r="B276" s="1">
        <f>IF(Data!B276&gt;0,Data!B276,"")</f>
        <v/>
      </c>
      <c r="C276" s="1">
        <f>IF(Data!C276&gt;0,Data!C276,"")</f>
        <v/>
      </c>
      <c r="D276" s="1">
        <f>IF(Data!D276&gt;0,Data!D276,"")</f>
        <v/>
      </c>
      <c r="E276" s="1">
        <f>IF(Data!E276&gt;0,Data!E276,"")</f>
        <v/>
      </c>
      <c r="F276" s="1">
        <f>IF(Data!F276&gt;0,Data!F276,"")</f>
        <v/>
      </c>
      <c r="G276" s="1">
        <f>IF(Data!G276&gt;0,Data!G276,"")</f>
        <v/>
      </c>
      <c r="H276" s="1">
        <f>IF(Data!H276&gt;0,Data!H276,"")</f>
        <v/>
      </c>
      <c r="I276" s="1">
        <f>IF(Data!I276&gt;0,Data!I276,"")</f>
        <v/>
      </c>
      <c r="J276" s="1">
        <f>IF(Data!J276&gt;0,Data!J276,"")</f>
        <v/>
      </c>
      <c r="K276" s="1">
        <f>IF(Data!K276&gt;0,Data!K276,"")</f>
        <v/>
      </c>
      <c r="L276" s="1">
        <f>IF(Data!L276&gt;0,Data!L276,"")</f>
        <v/>
      </c>
      <c r="M276" s="1">
        <f>IF(Data!M276&gt;0,Data!M276,"")</f>
        <v/>
      </c>
      <c r="N276" s="1">
        <f>IF(Data!N276&gt;0,Data!N276,"")</f>
        <v/>
      </c>
      <c r="O276" s="1">
        <f>IF(Data!O276&gt;0,Data!O276,"")</f>
        <v/>
      </c>
      <c r="P276" s="1">
        <f>IF(Data!P276&gt;0,Data!P276,"")</f>
        <v/>
      </c>
      <c r="Q276" s="1">
        <f>IF(Data!Q276&gt;0,Data!Q276,"")</f>
        <v/>
      </c>
      <c r="R276" s="1">
        <f>IF(Data!R276&gt;0,Data!R276,"")</f>
        <v/>
      </c>
      <c r="S276" s="1">
        <f>IF(Data!S276&gt;0,Data!S276,"")</f>
        <v/>
      </c>
      <c r="V276" s="3">
        <f>IF(COUNT(D276,J276,K276,L276,M276,O276)&gt;0,AVERAGE(D276,J276,K276,L276,M276,O276),"")</f>
        <v/>
      </c>
      <c r="W276" s="3">
        <f>IF(COUNT(C276,F276,G276,N276,Q276)&gt;0,AVERAGE(C276,F276,G276,N276,Q276),"")</f>
        <v/>
      </c>
      <c r="X276" s="3">
        <f>IF(COUNT(B276,E276,H276,I276,P276,R276,S276)&gt;0,AVERAGE(B276,E276,H276,I276,P276,R276,S276),"")</f>
        <v/>
      </c>
      <c r="Y276" s="3" t="n"/>
      <c r="AJ276">
        <f>IFERROR(AVERAGEIF($A$4:$A$1004,AI276,$V$4:$V$1004),"")</f>
        <v/>
      </c>
      <c r="AK276">
        <f>IFERROR(AVERAGEIF($A$4:$A$1004,AI276,$W$4:$W$1004),"")</f>
        <v/>
      </c>
      <c r="AL276">
        <f>IFERROR(AVERAGEIF($A$4:$A$1004,AI276,$X$4:$X$1004),"")</f>
        <v/>
      </c>
    </row>
    <row r="277">
      <c r="A277" s="1">
        <f>IF(Data!A277&gt;0,Data!A277,"")</f>
        <v/>
      </c>
      <c r="B277" s="1">
        <f>IF(Data!B277&gt;0,Data!B277,"")</f>
        <v/>
      </c>
      <c r="C277" s="1">
        <f>IF(Data!C277&gt;0,Data!C277,"")</f>
        <v/>
      </c>
      <c r="D277" s="1">
        <f>IF(Data!D277&gt;0,Data!D277,"")</f>
        <v/>
      </c>
      <c r="E277" s="1">
        <f>IF(Data!E277&gt;0,Data!E277,"")</f>
        <v/>
      </c>
      <c r="F277" s="1">
        <f>IF(Data!F277&gt;0,Data!F277,"")</f>
        <v/>
      </c>
      <c r="G277" s="1">
        <f>IF(Data!G277&gt;0,Data!G277,"")</f>
        <v/>
      </c>
      <c r="H277" s="1">
        <f>IF(Data!H277&gt;0,Data!H277,"")</f>
        <v/>
      </c>
      <c r="I277" s="1">
        <f>IF(Data!I277&gt;0,Data!I277,"")</f>
        <v/>
      </c>
      <c r="J277" s="1">
        <f>IF(Data!J277&gt;0,Data!J277,"")</f>
        <v/>
      </c>
      <c r="K277" s="1">
        <f>IF(Data!K277&gt;0,Data!K277,"")</f>
        <v/>
      </c>
      <c r="L277" s="1">
        <f>IF(Data!L277&gt;0,Data!L277,"")</f>
        <v/>
      </c>
      <c r="M277" s="1">
        <f>IF(Data!M277&gt;0,Data!M277,"")</f>
        <v/>
      </c>
      <c r="N277" s="1">
        <f>IF(Data!N277&gt;0,Data!N277,"")</f>
        <v/>
      </c>
      <c r="O277" s="1">
        <f>IF(Data!O277&gt;0,Data!O277,"")</f>
        <v/>
      </c>
      <c r="P277" s="1">
        <f>IF(Data!P277&gt;0,Data!P277,"")</f>
        <v/>
      </c>
      <c r="Q277" s="1">
        <f>IF(Data!Q277&gt;0,Data!Q277,"")</f>
        <v/>
      </c>
      <c r="R277" s="1">
        <f>IF(Data!R277&gt;0,Data!R277,"")</f>
        <v/>
      </c>
      <c r="S277" s="1">
        <f>IF(Data!S277&gt;0,Data!S277,"")</f>
        <v/>
      </c>
      <c r="V277" s="3">
        <f>IF(COUNT(D277,J277,K277,L277,M277,O277)&gt;0,AVERAGE(D277,J277,K277,L277,M277,O277),"")</f>
        <v/>
      </c>
      <c r="W277" s="3">
        <f>IF(COUNT(C277,F277,G277,N277,Q277)&gt;0,AVERAGE(C277,F277,G277,N277,Q277),"")</f>
        <v/>
      </c>
      <c r="X277" s="3">
        <f>IF(COUNT(B277,E277,H277,I277,P277,R277,S277)&gt;0,AVERAGE(B277,E277,H277,I277,P277,R277,S277),"")</f>
        <v/>
      </c>
      <c r="Y277" s="3" t="n"/>
      <c r="AJ277">
        <f>IFERROR(AVERAGEIF($A$4:$A$1004,AI277,$V$4:$V$1004),"")</f>
        <v/>
      </c>
      <c r="AK277">
        <f>IFERROR(AVERAGEIF($A$4:$A$1004,AI277,$W$4:$W$1004),"")</f>
        <v/>
      </c>
      <c r="AL277">
        <f>IFERROR(AVERAGEIF($A$4:$A$1004,AI277,$X$4:$X$1004),"")</f>
        <v/>
      </c>
    </row>
    <row r="278">
      <c r="A278" s="1">
        <f>IF(Data!A278&gt;0,Data!A278,"")</f>
        <v/>
      </c>
      <c r="B278" s="1">
        <f>IF(Data!B278&gt;0,Data!B278,"")</f>
        <v/>
      </c>
      <c r="C278" s="1">
        <f>IF(Data!C278&gt;0,Data!C278,"")</f>
        <v/>
      </c>
      <c r="D278" s="1">
        <f>IF(Data!D278&gt;0,Data!D278,"")</f>
        <v/>
      </c>
      <c r="E278" s="1">
        <f>IF(Data!E278&gt;0,Data!E278,"")</f>
        <v/>
      </c>
      <c r="F278" s="1">
        <f>IF(Data!F278&gt;0,Data!F278,"")</f>
        <v/>
      </c>
      <c r="G278" s="1">
        <f>IF(Data!G278&gt;0,Data!G278,"")</f>
        <v/>
      </c>
      <c r="H278" s="1">
        <f>IF(Data!H278&gt;0,Data!H278,"")</f>
        <v/>
      </c>
      <c r="I278" s="1">
        <f>IF(Data!I278&gt;0,Data!I278,"")</f>
        <v/>
      </c>
      <c r="J278" s="1">
        <f>IF(Data!J278&gt;0,Data!J278,"")</f>
        <v/>
      </c>
      <c r="K278" s="1">
        <f>IF(Data!K278&gt;0,Data!K278,"")</f>
        <v/>
      </c>
      <c r="L278" s="1">
        <f>IF(Data!L278&gt;0,Data!L278,"")</f>
        <v/>
      </c>
      <c r="M278" s="1">
        <f>IF(Data!M278&gt;0,Data!M278,"")</f>
        <v/>
      </c>
      <c r="N278" s="1">
        <f>IF(Data!N278&gt;0,Data!N278,"")</f>
        <v/>
      </c>
      <c r="O278" s="1">
        <f>IF(Data!O278&gt;0,Data!O278,"")</f>
        <v/>
      </c>
      <c r="P278" s="1">
        <f>IF(Data!P278&gt;0,Data!P278,"")</f>
        <v/>
      </c>
      <c r="Q278" s="1">
        <f>IF(Data!Q278&gt;0,Data!Q278,"")</f>
        <v/>
      </c>
      <c r="R278" s="1">
        <f>IF(Data!R278&gt;0,Data!R278,"")</f>
        <v/>
      </c>
      <c r="S278" s="1">
        <f>IF(Data!S278&gt;0,Data!S278,"")</f>
        <v/>
      </c>
      <c r="V278" s="3">
        <f>IF(COUNT(D278,J278,K278,L278,M278,O278)&gt;0,AVERAGE(D278,J278,K278,L278,M278,O278),"")</f>
        <v/>
      </c>
      <c r="W278" s="3">
        <f>IF(COUNT(C278,F278,G278,N278,Q278)&gt;0,AVERAGE(C278,F278,G278,N278,Q278),"")</f>
        <v/>
      </c>
      <c r="X278" s="3">
        <f>IF(COUNT(B278,E278,H278,I278,P278,R278,S278)&gt;0,AVERAGE(B278,E278,H278,I278,P278,R278,S278),"")</f>
        <v/>
      </c>
      <c r="Y278" s="3" t="n"/>
      <c r="AJ278">
        <f>IFERROR(AVERAGEIF($A$4:$A$1004,AI278,$V$4:$V$1004),"")</f>
        <v/>
      </c>
      <c r="AK278">
        <f>IFERROR(AVERAGEIF($A$4:$A$1004,AI278,$W$4:$W$1004),"")</f>
        <v/>
      </c>
      <c r="AL278">
        <f>IFERROR(AVERAGEIF($A$4:$A$1004,AI278,$X$4:$X$1004),"")</f>
        <v/>
      </c>
    </row>
    <row r="279">
      <c r="A279" s="1">
        <f>IF(Data!A279&gt;0,Data!A279,"")</f>
        <v/>
      </c>
      <c r="B279" s="1">
        <f>IF(Data!B279&gt;0,Data!B279,"")</f>
        <v/>
      </c>
      <c r="C279" s="1">
        <f>IF(Data!C279&gt;0,Data!C279,"")</f>
        <v/>
      </c>
      <c r="D279" s="1">
        <f>IF(Data!D279&gt;0,Data!D279,"")</f>
        <v/>
      </c>
      <c r="E279" s="1">
        <f>IF(Data!E279&gt;0,Data!E279,"")</f>
        <v/>
      </c>
      <c r="F279" s="1">
        <f>IF(Data!F279&gt;0,Data!F279,"")</f>
        <v/>
      </c>
      <c r="G279" s="1">
        <f>IF(Data!G279&gt;0,Data!G279,"")</f>
        <v/>
      </c>
      <c r="H279" s="1">
        <f>IF(Data!H279&gt;0,Data!H279,"")</f>
        <v/>
      </c>
      <c r="I279" s="1">
        <f>IF(Data!I279&gt;0,Data!I279,"")</f>
        <v/>
      </c>
      <c r="J279" s="1">
        <f>IF(Data!J279&gt;0,Data!J279,"")</f>
        <v/>
      </c>
      <c r="K279" s="1">
        <f>IF(Data!K279&gt;0,Data!K279,"")</f>
        <v/>
      </c>
      <c r="L279" s="1">
        <f>IF(Data!L279&gt;0,Data!L279,"")</f>
        <v/>
      </c>
      <c r="M279" s="1">
        <f>IF(Data!M279&gt;0,Data!M279,"")</f>
        <v/>
      </c>
      <c r="N279" s="1">
        <f>IF(Data!N279&gt;0,Data!N279,"")</f>
        <v/>
      </c>
      <c r="O279" s="1">
        <f>IF(Data!O279&gt;0,Data!O279,"")</f>
        <v/>
      </c>
      <c r="P279" s="1">
        <f>IF(Data!P279&gt;0,Data!P279,"")</f>
        <v/>
      </c>
      <c r="Q279" s="1">
        <f>IF(Data!Q279&gt;0,Data!Q279,"")</f>
        <v/>
      </c>
      <c r="R279" s="1">
        <f>IF(Data!R279&gt;0,Data!R279,"")</f>
        <v/>
      </c>
      <c r="S279" s="1">
        <f>IF(Data!S279&gt;0,Data!S279,"")</f>
        <v/>
      </c>
      <c r="V279" s="3">
        <f>IF(COUNT(D279,J279,K279,L279,M279,O279)&gt;0,AVERAGE(D279,J279,K279,L279,M279,O279),"")</f>
        <v/>
      </c>
      <c r="W279" s="3">
        <f>IF(COUNT(C279,F279,G279,N279,Q279)&gt;0,AVERAGE(C279,F279,G279,N279,Q279),"")</f>
        <v/>
      </c>
      <c r="X279" s="3">
        <f>IF(COUNT(B279,E279,H279,I279,P279,R279,S279)&gt;0,AVERAGE(B279,E279,H279,I279,P279,R279,S279),"")</f>
        <v/>
      </c>
      <c r="Y279" s="3" t="n"/>
      <c r="AJ279">
        <f>IFERROR(AVERAGEIF($A$4:$A$1004,AI279,$V$4:$V$1004),"")</f>
        <v/>
      </c>
      <c r="AK279">
        <f>IFERROR(AVERAGEIF($A$4:$A$1004,AI279,$W$4:$W$1004),"")</f>
        <v/>
      </c>
      <c r="AL279">
        <f>IFERROR(AVERAGEIF($A$4:$A$1004,AI279,$X$4:$X$1004),"")</f>
        <v/>
      </c>
    </row>
    <row r="280">
      <c r="A280" s="1">
        <f>IF(Data!A280&gt;0,Data!A280,"")</f>
        <v/>
      </c>
      <c r="B280" s="1">
        <f>IF(Data!B280&gt;0,Data!B280,"")</f>
        <v/>
      </c>
      <c r="C280" s="1">
        <f>IF(Data!C280&gt;0,Data!C280,"")</f>
        <v/>
      </c>
      <c r="D280" s="1">
        <f>IF(Data!D280&gt;0,Data!D280,"")</f>
        <v/>
      </c>
      <c r="E280" s="1">
        <f>IF(Data!E280&gt;0,Data!E280,"")</f>
        <v/>
      </c>
      <c r="F280" s="1">
        <f>IF(Data!F280&gt;0,Data!F280,"")</f>
        <v/>
      </c>
      <c r="G280" s="1">
        <f>IF(Data!G280&gt;0,Data!G280,"")</f>
        <v/>
      </c>
      <c r="H280" s="1">
        <f>IF(Data!H280&gt;0,Data!H280,"")</f>
        <v/>
      </c>
      <c r="I280" s="1">
        <f>IF(Data!I280&gt;0,Data!I280,"")</f>
        <v/>
      </c>
      <c r="J280" s="1">
        <f>IF(Data!J280&gt;0,Data!J280,"")</f>
        <v/>
      </c>
      <c r="K280" s="1">
        <f>IF(Data!K280&gt;0,Data!K280,"")</f>
        <v/>
      </c>
      <c r="L280" s="1">
        <f>IF(Data!L280&gt;0,Data!L280,"")</f>
        <v/>
      </c>
      <c r="M280" s="1">
        <f>IF(Data!M280&gt;0,Data!M280,"")</f>
        <v/>
      </c>
      <c r="N280" s="1">
        <f>IF(Data!N280&gt;0,Data!N280,"")</f>
        <v/>
      </c>
      <c r="O280" s="1">
        <f>IF(Data!O280&gt;0,Data!O280,"")</f>
        <v/>
      </c>
      <c r="P280" s="1">
        <f>IF(Data!P280&gt;0,Data!P280,"")</f>
        <v/>
      </c>
      <c r="Q280" s="1">
        <f>IF(Data!Q280&gt;0,Data!Q280,"")</f>
        <v/>
      </c>
      <c r="R280" s="1">
        <f>IF(Data!R280&gt;0,Data!R280,"")</f>
        <v/>
      </c>
      <c r="S280" s="1">
        <f>IF(Data!S280&gt;0,Data!S280,"")</f>
        <v/>
      </c>
      <c r="V280" s="3">
        <f>IF(COUNT(D280,J280,K280,L280,M280,O280)&gt;0,AVERAGE(D280,J280,K280,L280,M280,O280),"")</f>
        <v/>
      </c>
      <c r="W280" s="3">
        <f>IF(COUNT(C280,F280,G280,N280,Q280)&gt;0,AVERAGE(C280,F280,G280,N280,Q280),"")</f>
        <v/>
      </c>
      <c r="X280" s="3">
        <f>IF(COUNT(B280,E280,H280,I280,P280,R280,S280)&gt;0,AVERAGE(B280,E280,H280,I280,P280,R280,S280),"")</f>
        <v/>
      </c>
      <c r="Y280" s="3" t="n"/>
      <c r="AJ280">
        <f>IFERROR(AVERAGEIF($A$4:$A$1004,AI280,$V$4:$V$1004),"")</f>
        <v/>
      </c>
      <c r="AK280">
        <f>IFERROR(AVERAGEIF($A$4:$A$1004,AI280,$W$4:$W$1004),"")</f>
        <v/>
      </c>
      <c r="AL280">
        <f>IFERROR(AVERAGEIF($A$4:$A$1004,AI280,$X$4:$X$1004),"")</f>
        <v/>
      </c>
    </row>
    <row r="281">
      <c r="A281" s="1">
        <f>IF(Data!A281&gt;0,Data!A281,"")</f>
        <v/>
      </c>
      <c r="B281" s="1">
        <f>IF(Data!B281&gt;0,Data!B281,"")</f>
        <v/>
      </c>
      <c r="C281" s="1">
        <f>IF(Data!C281&gt;0,Data!C281,"")</f>
        <v/>
      </c>
      <c r="D281" s="1">
        <f>IF(Data!D281&gt;0,Data!D281,"")</f>
        <v/>
      </c>
      <c r="E281" s="1">
        <f>IF(Data!E281&gt;0,Data!E281,"")</f>
        <v/>
      </c>
      <c r="F281" s="1">
        <f>IF(Data!F281&gt;0,Data!F281,"")</f>
        <v/>
      </c>
      <c r="G281" s="1">
        <f>IF(Data!G281&gt;0,Data!G281,"")</f>
        <v/>
      </c>
      <c r="H281" s="1">
        <f>IF(Data!H281&gt;0,Data!H281,"")</f>
        <v/>
      </c>
      <c r="I281" s="1">
        <f>IF(Data!I281&gt;0,Data!I281,"")</f>
        <v/>
      </c>
      <c r="J281" s="1">
        <f>IF(Data!J281&gt;0,Data!J281,"")</f>
        <v/>
      </c>
      <c r="K281" s="1">
        <f>IF(Data!K281&gt;0,Data!K281,"")</f>
        <v/>
      </c>
      <c r="L281" s="1">
        <f>IF(Data!L281&gt;0,Data!L281,"")</f>
        <v/>
      </c>
      <c r="M281" s="1">
        <f>IF(Data!M281&gt;0,Data!M281,"")</f>
        <v/>
      </c>
      <c r="N281" s="1">
        <f>IF(Data!N281&gt;0,Data!N281,"")</f>
        <v/>
      </c>
      <c r="O281" s="1">
        <f>IF(Data!O281&gt;0,Data!O281,"")</f>
        <v/>
      </c>
      <c r="P281" s="1">
        <f>IF(Data!P281&gt;0,Data!P281,"")</f>
        <v/>
      </c>
      <c r="Q281" s="1">
        <f>IF(Data!Q281&gt;0,Data!Q281,"")</f>
        <v/>
      </c>
      <c r="R281" s="1">
        <f>IF(Data!R281&gt;0,Data!R281,"")</f>
        <v/>
      </c>
      <c r="S281" s="1">
        <f>IF(Data!S281&gt;0,Data!S281,"")</f>
        <v/>
      </c>
      <c r="V281" s="3">
        <f>IF(COUNT(D281,J281,K281,L281,M281,O281)&gt;0,AVERAGE(D281,J281,K281,L281,M281,O281),"")</f>
        <v/>
      </c>
      <c r="W281" s="3">
        <f>IF(COUNT(C281,F281,G281,N281,Q281)&gt;0,AVERAGE(C281,F281,G281,N281,Q281),"")</f>
        <v/>
      </c>
      <c r="X281" s="3">
        <f>IF(COUNT(B281,E281,H281,I281,P281,R281,S281)&gt;0,AVERAGE(B281,E281,H281,I281,P281,R281,S281),"")</f>
        <v/>
      </c>
      <c r="Y281" s="3" t="n"/>
      <c r="AJ281">
        <f>IFERROR(AVERAGEIF($A$4:$A$1004,AI281,$V$4:$V$1004),"")</f>
        <v/>
      </c>
      <c r="AK281">
        <f>IFERROR(AVERAGEIF($A$4:$A$1004,AI281,$W$4:$W$1004),"")</f>
        <v/>
      </c>
      <c r="AL281">
        <f>IFERROR(AVERAGEIF($A$4:$A$1004,AI281,$X$4:$X$1004),"")</f>
        <v/>
      </c>
    </row>
    <row r="282">
      <c r="A282" s="1">
        <f>IF(Data!A282&gt;0,Data!A282,"")</f>
        <v/>
      </c>
      <c r="B282" s="1">
        <f>IF(Data!B282&gt;0,Data!B282,"")</f>
        <v/>
      </c>
      <c r="C282" s="1">
        <f>IF(Data!C282&gt;0,Data!C282,"")</f>
        <v/>
      </c>
      <c r="D282" s="1">
        <f>IF(Data!D282&gt;0,Data!D282,"")</f>
        <v/>
      </c>
      <c r="E282" s="1">
        <f>IF(Data!E282&gt;0,Data!E282,"")</f>
        <v/>
      </c>
      <c r="F282" s="1">
        <f>IF(Data!F282&gt;0,Data!F282,"")</f>
        <v/>
      </c>
      <c r="G282" s="1">
        <f>IF(Data!G282&gt;0,Data!G282,"")</f>
        <v/>
      </c>
      <c r="H282" s="1">
        <f>IF(Data!H282&gt;0,Data!H282,"")</f>
        <v/>
      </c>
      <c r="I282" s="1">
        <f>IF(Data!I282&gt;0,Data!I282,"")</f>
        <v/>
      </c>
      <c r="J282" s="1">
        <f>IF(Data!J282&gt;0,Data!J282,"")</f>
        <v/>
      </c>
      <c r="K282" s="1">
        <f>IF(Data!K282&gt;0,Data!K282,"")</f>
        <v/>
      </c>
      <c r="L282" s="1">
        <f>IF(Data!L282&gt;0,Data!L282,"")</f>
        <v/>
      </c>
      <c r="M282" s="1">
        <f>IF(Data!M282&gt;0,Data!M282,"")</f>
        <v/>
      </c>
      <c r="N282" s="1">
        <f>IF(Data!N282&gt;0,Data!N282,"")</f>
        <v/>
      </c>
      <c r="O282" s="1">
        <f>IF(Data!O282&gt;0,Data!O282,"")</f>
        <v/>
      </c>
      <c r="P282" s="1">
        <f>IF(Data!P282&gt;0,Data!P282,"")</f>
        <v/>
      </c>
      <c r="Q282" s="1">
        <f>IF(Data!Q282&gt;0,Data!Q282,"")</f>
        <v/>
      </c>
      <c r="R282" s="1">
        <f>IF(Data!R282&gt;0,Data!R282,"")</f>
        <v/>
      </c>
      <c r="S282" s="1">
        <f>IF(Data!S282&gt;0,Data!S282,"")</f>
        <v/>
      </c>
      <c r="V282" s="3">
        <f>IF(COUNT(D282,J282,K282,L282,M282,O282)&gt;0,AVERAGE(D282,J282,K282,L282,M282,O282),"")</f>
        <v/>
      </c>
      <c r="W282" s="3">
        <f>IF(COUNT(C282,F282,G282,N282,Q282)&gt;0,AVERAGE(C282,F282,G282,N282,Q282),"")</f>
        <v/>
      </c>
      <c r="X282" s="3">
        <f>IF(COUNT(B282,E282,H282,I282,P282,R282,S282)&gt;0,AVERAGE(B282,E282,H282,I282,P282,R282,S282),"")</f>
        <v/>
      </c>
      <c r="Y282" s="3" t="n"/>
      <c r="AJ282">
        <f>IFERROR(AVERAGEIF($A$4:$A$1004,AI282,$V$4:$V$1004),"")</f>
        <v/>
      </c>
      <c r="AK282">
        <f>IFERROR(AVERAGEIF($A$4:$A$1004,AI282,$W$4:$W$1004),"")</f>
        <v/>
      </c>
      <c r="AL282">
        <f>IFERROR(AVERAGEIF($A$4:$A$1004,AI282,$X$4:$X$1004),"")</f>
        <v/>
      </c>
    </row>
    <row r="283">
      <c r="A283" s="1">
        <f>IF(Data!A283&gt;0,Data!A283,"")</f>
        <v/>
      </c>
      <c r="B283" s="1">
        <f>IF(Data!B283&gt;0,Data!B283,"")</f>
        <v/>
      </c>
      <c r="C283" s="1">
        <f>IF(Data!C283&gt;0,Data!C283,"")</f>
        <v/>
      </c>
      <c r="D283" s="1">
        <f>IF(Data!D283&gt;0,Data!D283,"")</f>
        <v/>
      </c>
      <c r="E283" s="1">
        <f>IF(Data!E283&gt;0,Data!E283,"")</f>
        <v/>
      </c>
      <c r="F283" s="1">
        <f>IF(Data!F283&gt;0,Data!F283,"")</f>
        <v/>
      </c>
      <c r="G283" s="1">
        <f>IF(Data!G283&gt;0,Data!G283,"")</f>
        <v/>
      </c>
      <c r="H283" s="1">
        <f>IF(Data!H283&gt;0,Data!H283,"")</f>
        <v/>
      </c>
      <c r="I283" s="1">
        <f>IF(Data!I283&gt;0,Data!I283,"")</f>
        <v/>
      </c>
      <c r="J283" s="1">
        <f>IF(Data!J283&gt;0,Data!J283,"")</f>
        <v/>
      </c>
      <c r="K283" s="1">
        <f>IF(Data!K283&gt;0,Data!K283,"")</f>
        <v/>
      </c>
      <c r="L283" s="1">
        <f>IF(Data!L283&gt;0,Data!L283,"")</f>
        <v/>
      </c>
      <c r="M283" s="1">
        <f>IF(Data!M283&gt;0,Data!M283,"")</f>
        <v/>
      </c>
      <c r="N283" s="1">
        <f>IF(Data!N283&gt;0,Data!N283,"")</f>
        <v/>
      </c>
      <c r="O283" s="1">
        <f>IF(Data!O283&gt;0,Data!O283,"")</f>
        <v/>
      </c>
      <c r="P283" s="1">
        <f>IF(Data!P283&gt;0,Data!P283,"")</f>
        <v/>
      </c>
      <c r="Q283" s="1">
        <f>IF(Data!Q283&gt;0,Data!Q283,"")</f>
        <v/>
      </c>
      <c r="R283" s="1">
        <f>IF(Data!R283&gt;0,Data!R283,"")</f>
        <v/>
      </c>
      <c r="S283" s="1">
        <f>IF(Data!S283&gt;0,Data!S283,"")</f>
        <v/>
      </c>
      <c r="V283" s="3">
        <f>IF(COUNT(D283,J283,K283,L283,M283,O283)&gt;0,AVERAGE(D283,J283,K283,L283,M283,O283),"")</f>
        <v/>
      </c>
      <c r="W283" s="3">
        <f>IF(COUNT(C283,F283,G283,N283,Q283)&gt;0,AVERAGE(C283,F283,G283,N283,Q283),"")</f>
        <v/>
      </c>
      <c r="X283" s="3">
        <f>IF(COUNT(B283,E283,H283,I283,P283,R283,S283)&gt;0,AVERAGE(B283,E283,H283,I283,P283,R283,S283),"")</f>
        <v/>
      </c>
      <c r="Y283" s="3" t="n"/>
      <c r="AJ283">
        <f>IFERROR(AVERAGEIF($A$4:$A$1004,AI283,$V$4:$V$1004),"")</f>
        <v/>
      </c>
      <c r="AK283">
        <f>IFERROR(AVERAGEIF($A$4:$A$1004,AI283,$W$4:$W$1004),"")</f>
        <v/>
      </c>
      <c r="AL283">
        <f>IFERROR(AVERAGEIF($A$4:$A$1004,AI283,$X$4:$X$1004),"")</f>
        <v/>
      </c>
    </row>
    <row r="284">
      <c r="A284" s="1">
        <f>IF(Data!A284&gt;0,Data!A284,"")</f>
        <v/>
      </c>
      <c r="B284" s="1">
        <f>IF(Data!B284&gt;0,Data!B284,"")</f>
        <v/>
      </c>
      <c r="C284" s="1">
        <f>IF(Data!C284&gt;0,Data!C284,"")</f>
        <v/>
      </c>
      <c r="D284" s="1">
        <f>IF(Data!D284&gt;0,Data!D284,"")</f>
        <v/>
      </c>
      <c r="E284" s="1">
        <f>IF(Data!E284&gt;0,Data!E284,"")</f>
        <v/>
      </c>
      <c r="F284" s="1">
        <f>IF(Data!F284&gt;0,Data!F284,"")</f>
        <v/>
      </c>
      <c r="G284" s="1">
        <f>IF(Data!G284&gt;0,Data!G284,"")</f>
        <v/>
      </c>
      <c r="H284" s="1">
        <f>IF(Data!H284&gt;0,Data!H284,"")</f>
        <v/>
      </c>
      <c r="I284" s="1">
        <f>IF(Data!I284&gt;0,Data!I284,"")</f>
        <v/>
      </c>
      <c r="J284" s="1">
        <f>IF(Data!J284&gt;0,Data!J284,"")</f>
        <v/>
      </c>
      <c r="K284" s="1">
        <f>IF(Data!K284&gt;0,Data!K284,"")</f>
        <v/>
      </c>
      <c r="L284" s="1">
        <f>IF(Data!L284&gt;0,Data!L284,"")</f>
        <v/>
      </c>
      <c r="M284" s="1">
        <f>IF(Data!M284&gt;0,Data!M284,"")</f>
        <v/>
      </c>
      <c r="N284" s="1">
        <f>IF(Data!N284&gt;0,Data!N284,"")</f>
        <v/>
      </c>
      <c r="O284" s="1">
        <f>IF(Data!O284&gt;0,Data!O284,"")</f>
        <v/>
      </c>
      <c r="P284" s="1">
        <f>IF(Data!P284&gt;0,Data!P284,"")</f>
        <v/>
      </c>
      <c r="Q284" s="1">
        <f>IF(Data!Q284&gt;0,Data!Q284,"")</f>
        <v/>
      </c>
      <c r="R284" s="1">
        <f>IF(Data!R284&gt;0,Data!R284,"")</f>
        <v/>
      </c>
      <c r="S284" s="1">
        <f>IF(Data!S284&gt;0,Data!S284,"")</f>
        <v/>
      </c>
      <c r="V284" s="3">
        <f>IF(COUNT(D284,J284,K284,L284,M284,O284)&gt;0,AVERAGE(D284,J284,K284,L284,M284,O284),"")</f>
        <v/>
      </c>
      <c r="W284" s="3">
        <f>IF(COUNT(C284,F284,G284,N284,Q284)&gt;0,AVERAGE(C284,F284,G284,N284,Q284),"")</f>
        <v/>
      </c>
      <c r="X284" s="3">
        <f>IF(COUNT(B284,E284,H284,I284,P284,R284,S284)&gt;0,AVERAGE(B284,E284,H284,I284,P284,R284,S284),"")</f>
        <v/>
      </c>
      <c r="Y284" s="3" t="n"/>
      <c r="AJ284">
        <f>IFERROR(AVERAGEIF($A$4:$A$1004,AI284,$V$4:$V$1004),"")</f>
        <v/>
      </c>
      <c r="AK284">
        <f>IFERROR(AVERAGEIF($A$4:$A$1004,AI284,$W$4:$W$1004),"")</f>
        <v/>
      </c>
      <c r="AL284">
        <f>IFERROR(AVERAGEIF($A$4:$A$1004,AI284,$X$4:$X$1004),"")</f>
        <v/>
      </c>
    </row>
    <row r="285">
      <c r="A285" s="1">
        <f>IF(Data!A285&gt;0,Data!A285,"")</f>
        <v/>
      </c>
      <c r="B285" s="1">
        <f>IF(Data!B285&gt;0,Data!B285,"")</f>
        <v/>
      </c>
      <c r="C285" s="1">
        <f>IF(Data!C285&gt;0,Data!C285,"")</f>
        <v/>
      </c>
      <c r="D285" s="1">
        <f>IF(Data!D285&gt;0,Data!D285,"")</f>
        <v/>
      </c>
      <c r="E285" s="1">
        <f>IF(Data!E285&gt;0,Data!E285,"")</f>
        <v/>
      </c>
      <c r="F285" s="1">
        <f>IF(Data!F285&gt;0,Data!F285,"")</f>
        <v/>
      </c>
      <c r="G285" s="1">
        <f>IF(Data!G285&gt;0,Data!G285,"")</f>
        <v/>
      </c>
      <c r="H285" s="1">
        <f>IF(Data!H285&gt;0,Data!H285,"")</f>
        <v/>
      </c>
      <c r="I285" s="1">
        <f>IF(Data!I285&gt;0,Data!I285,"")</f>
        <v/>
      </c>
      <c r="J285" s="1">
        <f>IF(Data!J285&gt;0,Data!J285,"")</f>
        <v/>
      </c>
      <c r="K285" s="1">
        <f>IF(Data!K285&gt;0,Data!K285,"")</f>
        <v/>
      </c>
      <c r="L285" s="1">
        <f>IF(Data!L285&gt;0,Data!L285,"")</f>
        <v/>
      </c>
      <c r="M285" s="1">
        <f>IF(Data!M285&gt;0,Data!M285,"")</f>
        <v/>
      </c>
      <c r="N285" s="1">
        <f>IF(Data!N285&gt;0,Data!N285,"")</f>
        <v/>
      </c>
      <c r="O285" s="1">
        <f>IF(Data!O285&gt;0,Data!O285,"")</f>
        <v/>
      </c>
      <c r="P285" s="1">
        <f>IF(Data!P285&gt;0,Data!P285,"")</f>
        <v/>
      </c>
      <c r="Q285" s="1">
        <f>IF(Data!Q285&gt;0,Data!Q285,"")</f>
        <v/>
      </c>
      <c r="R285" s="1">
        <f>IF(Data!R285&gt;0,Data!R285,"")</f>
        <v/>
      </c>
      <c r="S285" s="1">
        <f>IF(Data!S285&gt;0,Data!S285,"")</f>
        <v/>
      </c>
      <c r="V285" s="3">
        <f>IF(COUNT(D285,J285,K285,L285,M285,O285)&gt;0,AVERAGE(D285,J285,K285,L285,M285,O285),"")</f>
        <v/>
      </c>
      <c r="W285" s="3">
        <f>IF(COUNT(C285,F285,G285,N285,Q285)&gt;0,AVERAGE(C285,F285,G285,N285,Q285),"")</f>
        <v/>
      </c>
      <c r="X285" s="3">
        <f>IF(COUNT(B285,E285,H285,I285,P285,R285,S285)&gt;0,AVERAGE(B285,E285,H285,I285,P285,R285,S285),"")</f>
        <v/>
      </c>
      <c r="Y285" s="3" t="n"/>
      <c r="AJ285">
        <f>IFERROR(AVERAGEIF($A$4:$A$1004,AI285,$V$4:$V$1004),"")</f>
        <v/>
      </c>
      <c r="AK285">
        <f>IFERROR(AVERAGEIF($A$4:$A$1004,AI285,$W$4:$W$1004),"")</f>
        <v/>
      </c>
      <c r="AL285">
        <f>IFERROR(AVERAGEIF($A$4:$A$1004,AI285,$X$4:$X$1004),"")</f>
        <v/>
      </c>
    </row>
    <row r="286">
      <c r="A286" s="1">
        <f>IF(Data!A286&gt;0,Data!A286,"")</f>
        <v/>
      </c>
      <c r="B286" s="1">
        <f>IF(Data!B286&gt;0,Data!B286,"")</f>
        <v/>
      </c>
      <c r="C286" s="1">
        <f>IF(Data!C286&gt;0,Data!C286,"")</f>
        <v/>
      </c>
      <c r="D286" s="1">
        <f>IF(Data!D286&gt;0,Data!D286,"")</f>
        <v/>
      </c>
      <c r="E286" s="1">
        <f>IF(Data!E286&gt;0,Data!E286,"")</f>
        <v/>
      </c>
      <c r="F286" s="1">
        <f>IF(Data!F286&gt;0,Data!F286,"")</f>
        <v/>
      </c>
      <c r="G286" s="1">
        <f>IF(Data!G286&gt;0,Data!G286,"")</f>
        <v/>
      </c>
      <c r="H286" s="1">
        <f>IF(Data!H286&gt;0,Data!H286,"")</f>
        <v/>
      </c>
      <c r="I286" s="1">
        <f>IF(Data!I286&gt;0,Data!I286,"")</f>
        <v/>
      </c>
      <c r="J286" s="1">
        <f>IF(Data!J286&gt;0,Data!J286,"")</f>
        <v/>
      </c>
      <c r="K286" s="1">
        <f>IF(Data!K286&gt;0,Data!K286,"")</f>
        <v/>
      </c>
      <c r="L286" s="1">
        <f>IF(Data!L286&gt;0,Data!L286,"")</f>
        <v/>
      </c>
      <c r="M286" s="1">
        <f>IF(Data!M286&gt;0,Data!M286,"")</f>
        <v/>
      </c>
      <c r="N286" s="1">
        <f>IF(Data!N286&gt;0,Data!N286,"")</f>
        <v/>
      </c>
      <c r="O286" s="1">
        <f>IF(Data!O286&gt;0,Data!O286,"")</f>
        <v/>
      </c>
      <c r="P286" s="1">
        <f>IF(Data!P286&gt;0,Data!P286,"")</f>
        <v/>
      </c>
      <c r="Q286" s="1">
        <f>IF(Data!Q286&gt;0,Data!Q286,"")</f>
        <v/>
      </c>
      <c r="R286" s="1">
        <f>IF(Data!R286&gt;0,Data!R286,"")</f>
        <v/>
      </c>
      <c r="S286" s="1">
        <f>IF(Data!S286&gt;0,Data!S286,"")</f>
        <v/>
      </c>
      <c r="V286" s="3">
        <f>IF(COUNT(D286,J286,K286,L286,M286,O286)&gt;0,AVERAGE(D286,J286,K286,L286,M286,O286),"")</f>
        <v/>
      </c>
      <c r="W286" s="3">
        <f>IF(COUNT(C286,F286,G286,N286,Q286)&gt;0,AVERAGE(C286,F286,G286,N286,Q286),"")</f>
        <v/>
      </c>
      <c r="X286" s="3">
        <f>IF(COUNT(B286,E286,H286,I286,P286,R286,S286)&gt;0,AVERAGE(B286,E286,H286,I286,P286,R286,S286),"")</f>
        <v/>
      </c>
      <c r="Y286" s="3" t="n"/>
      <c r="AJ286">
        <f>IFERROR(AVERAGEIF($A$4:$A$1004,AI286,$V$4:$V$1004),"")</f>
        <v/>
      </c>
      <c r="AK286">
        <f>IFERROR(AVERAGEIF($A$4:$A$1004,AI286,$W$4:$W$1004),"")</f>
        <v/>
      </c>
      <c r="AL286">
        <f>IFERROR(AVERAGEIF($A$4:$A$1004,AI286,$X$4:$X$1004),"")</f>
        <v/>
      </c>
    </row>
    <row r="287">
      <c r="A287" s="1">
        <f>IF(Data!A287&gt;0,Data!A287,"")</f>
        <v/>
      </c>
      <c r="B287" s="1">
        <f>IF(Data!B287&gt;0,Data!B287,"")</f>
        <v/>
      </c>
      <c r="C287" s="1">
        <f>IF(Data!C287&gt;0,Data!C287,"")</f>
        <v/>
      </c>
      <c r="D287" s="1">
        <f>IF(Data!D287&gt;0,Data!D287,"")</f>
        <v/>
      </c>
      <c r="E287" s="1">
        <f>IF(Data!E287&gt;0,Data!E287,"")</f>
        <v/>
      </c>
      <c r="F287" s="1">
        <f>IF(Data!F287&gt;0,Data!F287,"")</f>
        <v/>
      </c>
      <c r="G287" s="1">
        <f>IF(Data!G287&gt;0,Data!G287,"")</f>
        <v/>
      </c>
      <c r="H287" s="1">
        <f>IF(Data!H287&gt;0,Data!H287,"")</f>
        <v/>
      </c>
      <c r="I287" s="1">
        <f>IF(Data!I287&gt;0,Data!I287,"")</f>
        <v/>
      </c>
      <c r="J287" s="1">
        <f>IF(Data!J287&gt;0,Data!J287,"")</f>
        <v/>
      </c>
      <c r="K287" s="1">
        <f>IF(Data!K287&gt;0,Data!K287,"")</f>
        <v/>
      </c>
      <c r="L287" s="1">
        <f>IF(Data!L287&gt;0,Data!L287,"")</f>
        <v/>
      </c>
      <c r="M287" s="1">
        <f>IF(Data!M287&gt;0,Data!M287,"")</f>
        <v/>
      </c>
      <c r="N287" s="1">
        <f>IF(Data!N287&gt;0,Data!N287,"")</f>
        <v/>
      </c>
      <c r="O287" s="1">
        <f>IF(Data!O287&gt;0,Data!O287,"")</f>
        <v/>
      </c>
      <c r="P287" s="1">
        <f>IF(Data!P287&gt;0,Data!P287,"")</f>
        <v/>
      </c>
      <c r="Q287" s="1">
        <f>IF(Data!Q287&gt;0,Data!Q287,"")</f>
        <v/>
      </c>
      <c r="R287" s="1">
        <f>IF(Data!R287&gt;0,Data!R287,"")</f>
        <v/>
      </c>
      <c r="S287" s="1">
        <f>IF(Data!S287&gt;0,Data!S287,"")</f>
        <v/>
      </c>
      <c r="V287" s="3">
        <f>IF(COUNT(D287,J287,K287,L287,M287,O287)&gt;0,AVERAGE(D287,J287,K287,L287,M287,O287),"")</f>
        <v/>
      </c>
      <c r="W287" s="3">
        <f>IF(COUNT(C287,F287,G287,N287,Q287)&gt;0,AVERAGE(C287,F287,G287,N287,Q287),"")</f>
        <v/>
      </c>
      <c r="X287" s="3">
        <f>IF(COUNT(B287,E287,H287,I287,P287,R287,S287)&gt;0,AVERAGE(B287,E287,H287,I287,P287,R287,S287),"")</f>
        <v/>
      </c>
      <c r="Y287" s="3" t="n"/>
      <c r="AJ287">
        <f>IFERROR(AVERAGEIF($A$4:$A$1004,AI287,$V$4:$V$1004),"")</f>
        <v/>
      </c>
      <c r="AK287">
        <f>IFERROR(AVERAGEIF($A$4:$A$1004,AI287,$W$4:$W$1004),"")</f>
        <v/>
      </c>
      <c r="AL287">
        <f>IFERROR(AVERAGEIF($A$4:$A$1004,AI287,$X$4:$X$1004),"")</f>
        <v/>
      </c>
    </row>
    <row r="288">
      <c r="A288" s="1">
        <f>IF(Data!A288&gt;0,Data!A288,"")</f>
        <v/>
      </c>
      <c r="B288" s="1">
        <f>IF(Data!B288&gt;0,Data!B288,"")</f>
        <v/>
      </c>
      <c r="C288" s="1">
        <f>IF(Data!C288&gt;0,Data!C288,"")</f>
        <v/>
      </c>
      <c r="D288" s="1">
        <f>IF(Data!D288&gt;0,Data!D288,"")</f>
        <v/>
      </c>
      <c r="E288" s="1">
        <f>IF(Data!E288&gt;0,Data!E288,"")</f>
        <v/>
      </c>
      <c r="F288" s="1">
        <f>IF(Data!F288&gt;0,Data!F288,"")</f>
        <v/>
      </c>
      <c r="G288" s="1">
        <f>IF(Data!G288&gt;0,Data!G288,"")</f>
        <v/>
      </c>
      <c r="H288" s="1">
        <f>IF(Data!H288&gt;0,Data!H288,"")</f>
        <v/>
      </c>
      <c r="I288" s="1">
        <f>IF(Data!I288&gt;0,Data!I288,"")</f>
        <v/>
      </c>
      <c r="J288" s="1">
        <f>IF(Data!J288&gt;0,Data!J288,"")</f>
        <v/>
      </c>
      <c r="K288" s="1">
        <f>IF(Data!K288&gt;0,Data!K288,"")</f>
        <v/>
      </c>
      <c r="L288" s="1">
        <f>IF(Data!L288&gt;0,Data!L288,"")</f>
        <v/>
      </c>
      <c r="M288" s="1">
        <f>IF(Data!M288&gt;0,Data!M288,"")</f>
        <v/>
      </c>
      <c r="N288" s="1">
        <f>IF(Data!N288&gt;0,Data!N288,"")</f>
        <v/>
      </c>
      <c r="O288" s="1">
        <f>IF(Data!O288&gt;0,Data!O288,"")</f>
        <v/>
      </c>
      <c r="P288" s="1">
        <f>IF(Data!P288&gt;0,Data!P288,"")</f>
        <v/>
      </c>
      <c r="Q288" s="1">
        <f>IF(Data!Q288&gt;0,Data!Q288,"")</f>
        <v/>
      </c>
      <c r="R288" s="1">
        <f>IF(Data!R288&gt;0,Data!R288,"")</f>
        <v/>
      </c>
      <c r="S288" s="1">
        <f>IF(Data!S288&gt;0,Data!S288,"")</f>
        <v/>
      </c>
      <c r="V288" s="3">
        <f>IF(COUNT(D288,J288,K288,L288,M288,O288)&gt;0,AVERAGE(D288,J288,K288,L288,M288,O288),"")</f>
        <v/>
      </c>
      <c r="W288" s="3">
        <f>IF(COUNT(C288,F288,G288,N288,Q288)&gt;0,AVERAGE(C288,F288,G288,N288,Q288),"")</f>
        <v/>
      </c>
      <c r="X288" s="3">
        <f>IF(COUNT(B288,E288,H288,I288,P288,R288,S288)&gt;0,AVERAGE(B288,E288,H288,I288,P288,R288,S288),"")</f>
        <v/>
      </c>
      <c r="Y288" s="3" t="n"/>
      <c r="AJ288">
        <f>IFERROR(AVERAGEIF($A$4:$A$1004,AI288,$V$4:$V$1004),"")</f>
        <v/>
      </c>
      <c r="AK288">
        <f>IFERROR(AVERAGEIF($A$4:$A$1004,AI288,$W$4:$W$1004),"")</f>
        <v/>
      </c>
      <c r="AL288">
        <f>IFERROR(AVERAGEIF($A$4:$A$1004,AI288,$X$4:$X$1004),"")</f>
        <v/>
      </c>
    </row>
    <row r="289">
      <c r="A289" s="1">
        <f>IF(Data!A289&gt;0,Data!A289,"")</f>
        <v/>
      </c>
      <c r="B289" s="1">
        <f>IF(Data!B289&gt;0,Data!B289,"")</f>
        <v/>
      </c>
      <c r="C289" s="1">
        <f>IF(Data!C289&gt;0,Data!C289,"")</f>
        <v/>
      </c>
      <c r="D289" s="1">
        <f>IF(Data!D289&gt;0,Data!D289,"")</f>
        <v/>
      </c>
      <c r="E289" s="1">
        <f>IF(Data!E289&gt;0,Data!E289,"")</f>
        <v/>
      </c>
      <c r="F289" s="1">
        <f>IF(Data!F289&gt;0,Data!F289,"")</f>
        <v/>
      </c>
      <c r="G289" s="1">
        <f>IF(Data!G289&gt;0,Data!G289,"")</f>
        <v/>
      </c>
      <c r="H289" s="1">
        <f>IF(Data!H289&gt;0,Data!H289,"")</f>
        <v/>
      </c>
      <c r="I289" s="1">
        <f>IF(Data!I289&gt;0,Data!I289,"")</f>
        <v/>
      </c>
      <c r="J289" s="1">
        <f>IF(Data!J289&gt;0,Data!J289,"")</f>
        <v/>
      </c>
      <c r="K289" s="1">
        <f>IF(Data!K289&gt;0,Data!K289,"")</f>
        <v/>
      </c>
      <c r="L289" s="1">
        <f>IF(Data!L289&gt;0,Data!L289,"")</f>
        <v/>
      </c>
      <c r="M289" s="1">
        <f>IF(Data!M289&gt;0,Data!M289,"")</f>
        <v/>
      </c>
      <c r="N289" s="1">
        <f>IF(Data!N289&gt;0,Data!N289,"")</f>
        <v/>
      </c>
      <c r="O289" s="1">
        <f>IF(Data!O289&gt;0,Data!O289,"")</f>
        <v/>
      </c>
      <c r="P289" s="1">
        <f>IF(Data!P289&gt;0,Data!P289,"")</f>
        <v/>
      </c>
      <c r="Q289" s="1">
        <f>IF(Data!Q289&gt;0,Data!Q289,"")</f>
        <v/>
      </c>
      <c r="R289" s="1">
        <f>IF(Data!R289&gt;0,Data!R289,"")</f>
        <v/>
      </c>
      <c r="S289" s="1">
        <f>IF(Data!S289&gt;0,Data!S289,"")</f>
        <v/>
      </c>
      <c r="V289" s="3">
        <f>IF(COUNT(D289,J289,K289,L289,M289,O289)&gt;0,AVERAGE(D289,J289,K289,L289,M289,O289),"")</f>
        <v/>
      </c>
      <c r="W289" s="3">
        <f>IF(COUNT(C289,F289,G289,N289,Q289)&gt;0,AVERAGE(C289,F289,G289,N289,Q289),"")</f>
        <v/>
      </c>
      <c r="X289" s="3">
        <f>IF(COUNT(B289,E289,H289,I289,P289,R289,S289)&gt;0,AVERAGE(B289,E289,H289,I289,P289,R289,S289),"")</f>
        <v/>
      </c>
      <c r="Y289" s="3" t="n"/>
      <c r="AJ289">
        <f>IFERROR(AVERAGEIF($A$4:$A$1004,AI289,$V$4:$V$1004),"")</f>
        <v/>
      </c>
      <c r="AK289">
        <f>IFERROR(AVERAGEIF($A$4:$A$1004,AI289,$W$4:$W$1004),"")</f>
        <v/>
      </c>
      <c r="AL289">
        <f>IFERROR(AVERAGEIF($A$4:$A$1004,AI289,$X$4:$X$1004),"")</f>
        <v/>
      </c>
    </row>
    <row r="290">
      <c r="A290" s="1">
        <f>IF(Data!A290&gt;0,Data!A290,"")</f>
        <v/>
      </c>
      <c r="B290" s="1">
        <f>IF(Data!B290&gt;0,Data!B290,"")</f>
        <v/>
      </c>
      <c r="C290" s="1">
        <f>IF(Data!C290&gt;0,Data!C290,"")</f>
        <v/>
      </c>
      <c r="D290" s="1">
        <f>IF(Data!D290&gt;0,Data!D290,"")</f>
        <v/>
      </c>
      <c r="E290" s="1">
        <f>IF(Data!E290&gt;0,Data!E290,"")</f>
        <v/>
      </c>
      <c r="F290" s="1">
        <f>IF(Data!F290&gt;0,Data!F290,"")</f>
        <v/>
      </c>
      <c r="G290" s="1">
        <f>IF(Data!G290&gt;0,Data!G290,"")</f>
        <v/>
      </c>
      <c r="H290" s="1">
        <f>IF(Data!H290&gt;0,Data!H290,"")</f>
        <v/>
      </c>
      <c r="I290" s="1">
        <f>IF(Data!I290&gt;0,Data!I290,"")</f>
        <v/>
      </c>
      <c r="J290" s="1">
        <f>IF(Data!J290&gt;0,Data!J290,"")</f>
        <v/>
      </c>
      <c r="K290" s="1">
        <f>IF(Data!K290&gt;0,Data!K290,"")</f>
        <v/>
      </c>
      <c r="L290" s="1">
        <f>IF(Data!L290&gt;0,Data!L290,"")</f>
        <v/>
      </c>
      <c r="M290" s="1">
        <f>IF(Data!M290&gt;0,Data!M290,"")</f>
        <v/>
      </c>
      <c r="N290" s="1">
        <f>IF(Data!N290&gt;0,Data!N290,"")</f>
        <v/>
      </c>
      <c r="O290" s="1">
        <f>IF(Data!O290&gt;0,Data!O290,"")</f>
        <v/>
      </c>
      <c r="P290" s="1">
        <f>IF(Data!P290&gt;0,Data!P290,"")</f>
        <v/>
      </c>
      <c r="Q290" s="1">
        <f>IF(Data!Q290&gt;0,Data!Q290,"")</f>
        <v/>
      </c>
      <c r="R290" s="1">
        <f>IF(Data!R290&gt;0,Data!R290,"")</f>
        <v/>
      </c>
      <c r="S290" s="1">
        <f>IF(Data!S290&gt;0,Data!S290,"")</f>
        <v/>
      </c>
      <c r="V290" s="3">
        <f>IF(COUNT(D290,J290,K290,L290,M290,O290)&gt;0,AVERAGE(D290,J290,K290,L290,M290,O290),"")</f>
        <v/>
      </c>
      <c r="W290" s="3">
        <f>IF(COUNT(C290,F290,G290,N290,Q290)&gt;0,AVERAGE(C290,F290,G290,N290,Q290),"")</f>
        <v/>
      </c>
      <c r="X290" s="3">
        <f>IF(COUNT(B290,E290,H290,I290,P290,R290,S290)&gt;0,AVERAGE(B290,E290,H290,I290,P290,R290,S290),"")</f>
        <v/>
      </c>
      <c r="Y290" s="3" t="n"/>
      <c r="AJ290">
        <f>IFERROR(AVERAGEIF($A$4:$A$1004,AI290,$V$4:$V$1004),"")</f>
        <v/>
      </c>
      <c r="AK290">
        <f>IFERROR(AVERAGEIF($A$4:$A$1004,AI290,$W$4:$W$1004),"")</f>
        <v/>
      </c>
      <c r="AL290">
        <f>IFERROR(AVERAGEIF($A$4:$A$1004,AI290,$X$4:$X$1004),"")</f>
        <v/>
      </c>
    </row>
    <row r="291">
      <c r="A291" s="1">
        <f>IF(Data!A291&gt;0,Data!A291,"")</f>
        <v/>
      </c>
      <c r="B291" s="1">
        <f>IF(Data!B291&gt;0,Data!B291,"")</f>
        <v/>
      </c>
      <c r="C291" s="1">
        <f>IF(Data!C291&gt;0,Data!C291,"")</f>
        <v/>
      </c>
      <c r="D291" s="1">
        <f>IF(Data!D291&gt;0,Data!D291,"")</f>
        <v/>
      </c>
      <c r="E291" s="1">
        <f>IF(Data!E291&gt;0,Data!E291,"")</f>
        <v/>
      </c>
      <c r="F291" s="1">
        <f>IF(Data!F291&gt;0,Data!F291,"")</f>
        <v/>
      </c>
      <c r="G291" s="1">
        <f>IF(Data!G291&gt;0,Data!G291,"")</f>
        <v/>
      </c>
      <c r="H291" s="1">
        <f>IF(Data!H291&gt;0,Data!H291,"")</f>
        <v/>
      </c>
      <c r="I291" s="1">
        <f>IF(Data!I291&gt;0,Data!I291,"")</f>
        <v/>
      </c>
      <c r="J291" s="1">
        <f>IF(Data!J291&gt;0,Data!J291,"")</f>
        <v/>
      </c>
      <c r="K291" s="1">
        <f>IF(Data!K291&gt;0,Data!K291,"")</f>
        <v/>
      </c>
      <c r="L291" s="1">
        <f>IF(Data!L291&gt;0,Data!L291,"")</f>
        <v/>
      </c>
      <c r="M291" s="1">
        <f>IF(Data!M291&gt;0,Data!M291,"")</f>
        <v/>
      </c>
      <c r="N291" s="1">
        <f>IF(Data!N291&gt;0,Data!N291,"")</f>
        <v/>
      </c>
      <c r="O291" s="1">
        <f>IF(Data!O291&gt;0,Data!O291,"")</f>
        <v/>
      </c>
      <c r="P291" s="1">
        <f>IF(Data!P291&gt;0,Data!P291,"")</f>
        <v/>
      </c>
      <c r="Q291" s="1">
        <f>IF(Data!Q291&gt;0,Data!Q291,"")</f>
        <v/>
      </c>
      <c r="R291" s="1">
        <f>IF(Data!R291&gt;0,Data!R291,"")</f>
        <v/>
      </c>
      <c r="S291" s="1">
        <f>IF(Data!S291&gt;0,Data!S291,"")</f>
        <v/>
      </c>
      <c r="V291" s="3">
        <f>IF(COUNT(D291,J291,K291,L291,M291,O291)&gt;0,AVERAGE(D291,J291,K291,L291,M291,O291),"")</f>
        <v/>
      </c>
      <c r="W291" s="3">
        <f>IF(COUNT(C291,F291,G291,N291,Q291)&gt;0,AVERAGE(C291,F291,G291,N291,Q291),"")</f>
        <v/>
      </c>
      <c r="X291" s="3">
        <f>IF(COUNT(B291,E291,H291,I291,P291,R291,S291)&gt;0,AVERAGE(B291,E291,H291,I291,P291,R291,S291),"")</f>
        <v/>
      </c>
      <c r="Y291" s="3" t="n"/>
      <c r="AJ291">
        <f>IFERROR(AVERAGEIF($A$4:$A$1004,AI291,$V$4:$V$1004),"")</f>
        <v/>
      </c>
      <c r="AK291">
        <f>IFERROR(AVERAGEIF($A$4:$A$1004,AI291,$W$4:$W$1004),"")</f>
        <v/>
      </c>
      <c r="AL291">
        <f>IFERROR(AVERAGEIF($A$4:$A$1004,AI291,$X$4:$X$1004),"")</f>
        <v/>
      </c>
    </row>
    <row r="292">
      <c r="A292" s="1">
        <f>IF(Data!A292&gt;0,Data!A292,"")</f>
        <v/>
      </c>
      <c r="B292" s="1">
        <f>IF(Data!B292&gt;0,Data!B292,"")</f>
        <v/>
      </c>
      <c r="C292" s="1">
        <f>IF(Data!C292&gt;0,Data!C292,"")</f>
        <v/>
      </c>
      <c r="D292" s="1">
        <f>IF(Data!D292&gt;0,Data!D292,"")</f>
        <v/>
      </c>
      <c r="E292" s="1">
        <f>IF(Data!E292&gt;0,Data!E292,"")</f>
        <v/>
      </c>
      <c r="F292" s="1">
        <f>IF(Data!F292&gt;0,Data!F292,"")</f>
        <v/>
      </c>
      <c r="G292" s="1">
        <f>IF(Data!G292&gt;0,Data!G292,"")</f>
        <v/>
      </c>
      <c r="H292" s="1">
        <f>IF(Data!H292&gt;0,Data!H292,"")</f>
        <v/>
      </c>
      <c r="I292" s="1">
        <f>IF(Data!I292&gt;0,Data!I292,"")</f>
        <v/>
      </c>
      <c r="J292" s="1">
        <f>IF(Data!J292&gt;0,Data!J292,"")</f>
        <v/>
      </c>
      <c r="K292" s="1">
        <f>IF(Data!K292&gt;0,Data!K292,"")</f>
        <v/>
      </c>
      <c r="L292" s="1">
        <f>IF(Data!L292&gt;0,Data!L292,"")</f>
        <v/>
      </c>
      <c r="M292" s="1">
        <f>IF(Data!M292&gt;0,Data!M292,"")</f>
        <v/>
      </c>
      <c r="N292" s="1">
        <f>IF(Data!N292&gt;0,Data!N292,"")</f>
        <v/>
      </c>
      <c r="O292" s="1">
        <f>IF(Data!O292&gt;0,Data!O292,"")</f>
        <v/>
      </c>
      <c r="P292" s="1">
        <f>IF(Data!P292&gt;0,Data!P292,"")</f>
        <v/>
      </c>
      <c r="Q292" s="1">
        <f>IF(Data!Q292&gt;0,Data!Q292,"")</f>
        <v/>
      </c>
      <c r="R292" s="1">
        <f>IF(Data!R292&gt;0,Data!R292,"")</f>
        <v/>
      </c>
      <c r="S292" s="1">
        <f>IF(Data!S292&gt;0,Data!S292,"")</f>
        <v/>
      </c>
      <c r="V292" s="3">
        <f>IF(COUNT(D292,J292,K292,L292,M292,O292)&gt;0,AVERAGE(D292,J292,K292,L292,M292,O292),"")</f>
        <v/>
      </c>
      <c r="W292" s="3">
        <f>IF(COUNT(C292,F292,G292,N292,Q292)&gt;0,AVERAGE(C292,F292,G292,N292,Q292),"")</f>
        <v/>
      </c>
      <c r="X292" s="3">
        <f>IF(COUNT(B292,E292,H292,I292,P292,R292,S292)&gt;0,AVERAGE(B292,E292,H292,I292,P292,R292,S292),"")</f>
        <v/>
      </c>
      <c r="Y292" s="3" t="n"/>
      <c r="AJ292">
        <f>IFERROR(AVERAGEIF($A$4:$A$1004,AI292,$V$4:$V$1004),"")</f>
        <v/>
      </c>
      <c r="AK292">
        <f>IFERROR(AVERAGEIF($A$4:$A$1004,AI292,$W$4:$W$1004),"")</f>
        <v/>
      </c>
      <c r="AL292">
        <f>IFERROR(AVERAGEIF($A$4:$A$1004,AI292,$X$4:$X$1004),"")</f>
        <v/>
      </c>
    </row>
    <row r="293">
      <c r="A293" s="1">
        <f>IF(Data!A293&gt;0,Data!A293,"")</f>
        <v/>
      </c>
      <c r="B293" s="1">
        <f>IF(Data!B293&gt;0,Data!B293,"")</f>
        <v/>
      </c>
      <c r="C293" s="1">
        <f>IF(Data!C293&gt;0,Data!C293,"")</f>
        <v/>
      </c>
      <c r="D293" s="1">
        <f>IF(Data!D293&gt;0,Data!D293,"")</f>
        <v/>
      </c>
      <c r="E293" s="1">
        <f>IF(Data!E293&gt;0,Data!E293,"")</f>
        <v/>
      </c>
      <c r="F293" s="1">
        <f>IF(Data!F293&gt;0,Data!F293,"")</f>
        <v/>
      </c>
      <c r="G293" s="1">
        <f>IF(Data!G293&gt;0,Data!G293,"")</f>
        <v/>
      </c>
      <c r="H293" s="1">
        <f>IF(Data!H293&gt;0,Data!H293,"")</f>
        <v/>
      </c>
      <c r="I293" s="1">
        <f>IF(Data!I293&gt;0,Data!I293,"")</f>
        <v/>
      </c>
      <c r="J293" s="1">
        <f>IF(Data!J293&gt;0,Data!J293,"")</f>
        <v/>
      </c>
      <c r="K293" s="1">
        <f>IF(Data!K293&gt;0,Data!K293,"")</f>
        <v/>
      </c>
      <c r="L293" s="1">
        <f>IF(Data!L293&gt;0,Data!L293,"")</f>
        <v/>
      </c>
      <c r="M293" s="1">
        <f>IF(Data!M293&gt;0,Data!M293,"")</f>
        <v/>
      </c>
      <c r="N293" s="1">
        <f>IF(Data!N293&gt;0,Data!N293,"")</f>
        <v/>
      </c>
      <c r="O293" s="1">
        <f>IF(Data!O293&gt;0,Data!O293,"")</f>
        <v/>
      </c>
      <c r="P293" s="1">
        <f>IF(Data!P293&gt;0,Data!P293,"")</f>
        <v/>
      </c>
      <c r="Q293" s="1">
        <f>IF(Data!Q293&gt;0,Data!Q293,"")</f>
        <v/>
      </c>
      <c r="R293" s="1">
        <f>IF(Data!R293&gt;0,Data!R293,"")</f>
        <v/>
      </c>
      <c r="S293" s="1">
        <f>IF(Data!S293&gt;0,Data!S293,"")</f>
        <v/>
      </c>
      <c r="V293" s="3">
        <f>IF(COUNT(D293,J293,K293,L293,M293,O293)&gt;0,AVERAGE(D293,J293,K293,L293,M293,O293),"")</f>
        <v/>
      </c>
      <c r="W293" s="3">
        <f>IF(COUNT(C293,F293,G293,N293,Q293)&gt;0,AVERAGE(C293,F293,G293,N293,Q293),"")</f>
        <v/>
      </c>
      <c r="X293" s="3">
        <f>IF(COUNT(B293,E293,H293,I293,P293,R293,S293)&gt;0,AVERAGE(B293,E293,H293,I293,P293,R293,S293),"")</f>
        <v/>
      </c>
      <c r="Y293" s="3" t="n"/>
      <c r="AJ293">
        <f>IFERROR(AVERAGEIF($A$4:$A$1004,AI293,$V$4:$V$1004),"")</f>
        <v/>
      </c>
      <c r="AK293">
        <f>IFERROR(AVERAGEIF($A$4:$A$1004,AI293,$W$4:$W$1004),"")</f>
        <v/>
      </c>
      <c r="AL293">
        <f>IFERROR(AVERAGEIF($A$4:$A$1004,AI293,$X$4:$X$1004),"")</f>
        <v/>
      </c>
    </row>
    <row r="294">
      <c r="A294" s="1">
        <f>IF(Data!A294&gt;0,Data!A294,"")</f>
        <v/>
      </c>
      <c r="B294" s="1">
        <f>IF(Data!B294&gt;0,Data!B294,"")</f>
        <v/>
      </c>
      <c r="C294" s="1">
        <f>IF(Data!C294&gt;0,Data!C294,"")</f>
        <v/>
      </c>
      <c r="D294" s="1">
        <f>IF(Data!D294&gt;0,Data!D294,"")</f>
        <v/>
      </c>
      <c r="E294" s="1">
        <f>IF(Data!E294&gt;0,Data!E294,"")</f>
        <v/>
      </c>
      <c r="F294" s="1">
        <f>IF(Data!F294&gt;0,Data!F294,"")</f>
        <v/>
      </c>
      <c r="G294" s="1">
        <f>IF(Data!G294&gt;0,Data!G294,"")</f>
        <v/>
      </c>
      <c r="H294" s="1">
        <f>IF(Data!H294&gt;0,Data!H294,"")</f>
        <v/>
      </c>
      <c r="I294" s="1">
        <f>IF(Data!I294&gt;0,Data!I294,"")</f>
        <v/>
      </c>
      <c r="J294" s="1">
        <f>IF(Data!J294&gt;0,Data!J294,"")</f>
        <v/>
      </c>
      <c r="K294" s="1">
        <f>IF(Data!K294&gt;0,Data!K294,"")</f>
        <v/>
      </c>
      <c r="L294" s="1">
        <f>IF(Data!L294&gt;0,Data!L294,"")</f>
        <v/>
      </c>
      <c r="M294" s="1">
        <f>IF(Data!M294&gt;0,Data!M294,"")</f>
        <v/>
      </c>
      <c r="N294" s="1">
        <f>IF(Data!N294&gt;0,Data!N294,"")</f>
        <v/>
      </c>
      <c r="O294" s="1">
        <f>IF(Data!O294&gt;0,Data!O294,"")</f>
        <v/>
      </c>
      <c r="P294" s="1">
        <f>IF(Data!P294&gt;0,Data!P294,"")</f>
        <v/>
      </c>
      <c r="Q294" s="1">
        <f>IF(Data!Q294&gt;0,Data!Q294,"")</f>
        <v/>
      </c>
      <c r="R294" s="1">
        <f>IF(Data!R294&gt;0,Data!R294,"")</f>
        <v/>
      </c>
      <c r="S294" s="1">
        <f>IF(Data!S294&gt;0,Data!S294,"")</f>
        <v/>
      </c>
      <c r="V294" s="3">
        <f>IF(COUNT(D294,J294,K294,L294,M294,O294)&gt;0,AVERAGE(D294,J294,K294,L294,M294,O294),"")</f>
        <v/>
      </c>
      <c r="W294" s="3">
        <f>IF(COUNT(C294,F294,G294,N294,Q294)&gt;0,AVERAGE(C294,F294,G294,N294,Q294),"")</f>
        <v/>
      </c>
      <c r="X294" s="3">
        <f>IF(COUNT(B294,E294,H294,I294,P294,R294,S294)&gt;0,AVERAGE(B294,E294,H294,I294,P294,R294,S294),"")</f>
        <v/>
      </c>
      <c r="Y294" s="3" t="n"/>
      <c r="AJ294">
        <f>IFERROR(AVERAGEIF($A$4:$A$1004,AI294,$V$4:$V$1004),"")</f>
        <v/>
      </c>
      <c r="AK294">
        <f>IFERROR(AVERAGEIF($A$4:$A$1004,AI294,$W$4:$W$1004),"")</f>
        <v/>
      </c>
      <c r="AL294">
        <f>IFERROR(AVERAGEIF($A$4:$A$1004,AI294,$X$4:$X$1004),"")</f>
        <v/>
      </c>
    </row>
    <row r="295">
      <c r="A295" s="1">
        <f>IF(Data!A295&gt;0,Data!A295,"")</f>
        <v/>
      </c>
      <c r="B295" s="1">
        <f>IF(Data!B295&gt;0,Data!B295,"")</f>
        <v/>
      </c>
      <c r="C295" s="1">
        <f>IF(Data!C295&gt;0,Data!C295,"")</f>
        <v/>
      </c>
      <c r="D295" s="1">
        <f>IF(Data!D295&gt;0,Data!D295,"")</f>
        <v/>
      </c>
      <c r="E295" s="1">
        <f>IF(Data!E295&gt;0,Data!E295,"")</f>
        <v/>
      </c>
      <c r="F295" s="1">
        <f>IF(Data!F295&gt;0,Data!F295,"")</f>
        <v/>
      </c>
      <c r="G295" s="1">
        <f>IF(Data!G295&gt;0,Data!G295,"")</f>
        <v/>
      </c>
      <c r="H295" s="1">
        <f>IF(Data!H295&gt;0,Data!H295,"")</f>
        <v/>
      </c>
      <c r="I295" s="1">
        <f>IF(Data!I295&gt;0,Data!I295,"")</f>
        <v/>
      </c>
      <c r="J295" s="1">
        <f>IF(Data!J295&gt;0,Data!J295,"")</f>
        <v/>
      </c>
      <c r="K295" s="1">
        <f>IF(Data!K295&gt;0,Data!K295,"")</f>
        <v/>
      </c>
      <c r="L295" s="1">
        <f>IF(Data!L295&gt;0,Data!L295,"")</f>
        <v/>
      </c>
      <c r="M295" s="1">
        <f>IF(Data!M295&gt;0,Data!M295,"")</f>
        <v/>
      </c>
      <c r="N295" s="1">
        <f>IF(Data!N295&gt;0,Data!N295,"")</f>
        <v/>
      </c>
      <c r="O295" s="1">
        <f>IF(Data!O295&gt;0,Data!O295,"")</f>
        <v/>
      </c>
      <c r="P295" s="1">
        <f>IF(Data!P295&gt;0,Data!P295,"")</f>
        <v/>
      </c>
      <c r="Q295" s="1">
        <f>IF(Data!Q295&gt;0,Data!Q295,"")</f>
        <v/>
      </c>
      <c r="R295" s="1">
        <f>IF(Data!R295&gt;0,Data!R295,"")</f>
        <v/>
      </c>
      <c r="S295" s="1">
        <f>IF(Data!S295&gt;0,Data!S295,"")</f>
        <v/>
      </c>
      <c r="V295" s="3">
        <f>IF(COUNT(D295,J295,K295,L295,M295,O295)&gt;0,AVERAGE(D295,J295,K295,L295,M295,O295),"")</f>
        <v/>
      </c>
      <c r="W295" s="3">
        <f>IF(COUNT(C295,F295,G295,N295,Q295)&gt;0,AVERAGE(C295,F295,G295,N295,Q295),"")</f>
        <v/>
      </c>
      <c r="X295" s="3">
        <f>IF(COUNT(B295,E295,H295,I295,P295,R295,S295)&gt;0,AVERAGE(B295,E295,H295,I295,P295,R295,S295),"")</f>
        <v/>
      </c>
      <c r="Y295" s="3" t="n"/>
      <c r="AJ295">
        <f>IFERROR(AVERAGEIF($A$4:$A$1004,AI295,$V$4:$V$1004),"")</f>
        <v/>
      </c>
      <c r="AK295">
        <f>IFERROR(AVERAGEIF($A$4:$A$1004,AI295,$W$4:$W$1004),"")</f>
        <v/>
      </c>
      <c r="AL295">
        <f>IFERROR(AVERAGEIF($A$4:$A$1004,AI295,$X$4:$X$1004),"")</f>
        <v/>
      </c>
    </row>
    <row r="296">
      <c r="A296" s="1">
        <f>IF(Data!A296&gt;0,Data!A296,"")</f>
        <v/>
      </c>
      <c r="B296" s="1">
        <f>IF(Data!B296&gt;0,Data!B296,"")</f>
        <v/>
      </c>
      <c r="C296" s="1">
        <f>IF(Data!C296&gt;0,Data!C296,"")</f>
        <v/>
      </c>
      <c r="D296" s="1">
        <f>IF(Data!D296&gt;0,Data!D296,"")</f>
        <v/>
      </c>
      <c r="E296" s="1">
        <f>IF(Data!E296&gt;0,Data!E296,"")</f>
        <v/>
      </c>
      <c r="F296" s="1">
        <f>IF(Data!F296&gt;0,Data!F296,"")</f>
        <v/>
      </c>
      <c r="G296" s="1">
        <f>IF(Data!G296&gt;0,Data!G296,"")</f>
        <v/>
      </c>
      <c r="H296" s="1">
        <f>IF(Data!H296&gt;0,Data!H296,"")</f>
        <v/>
      </c>
      <c r="I296" s="1">
        <f>IF(Data!I296&gt;0,Data!I296,"")</f>
        <v/>
      </c>
      <c r="J296" s="1">
        <f>IF(Data!J296&gt;0,Data!J296,"")</f>
        <v/>
      </c>
      <c r="K296" s="1">
        <f>IF(Data!K296&gt;0,Data!K296,"")</f>
        <v/>
      </c>
      <c r="L296" s="1">
        <f>IF(Data!L296&gt;0,Data!L296,"")</f>
        <v/>
      </c>
      <c r="M296" s="1">
        <f>IF(Data!M296&gt;0,Data!M296,"")</f>
        <v/>
      </c>
      <c r="N296" s="1">
        <f>IF(Data!N296&gt;0,Data!N296,"")</f>
        <v/>
      </c>
      <c r="O296" s="1">
        <f>IF(Data!O296&gt;0,Data!O296,"")</f>
        <v/>
      </c>
      <c r="P296" s="1">
        <f>IF(Data!P296&gt;0,Data!P296,"")</f>
        <v/>
      </c>
      <c r="Q296" s="1">
        <f>IF(Data!Q296&gt;0,Data!Q296,"")</f>
        <v/>
      </c>
      <c r="R296" s="1">
        <f>IF(Data!R296&gt;0,Data!R296,"")</f>
        <v/>
      </c>
      <c r="S296" s="1">
        <f>IF(Data!S296&gt;0,Data!S296,"")</f>
        <v/>
      </c>
      <c r="V296" s="3">
        <f>IF(COUNT(D296,J296,K296,L296,M296,O296)&gt;0,AVERAGE(D296,J296,K296,L296,M296,O296),"")</f>
        <v/>
      </c>
      <c r="W296" s="3">
        <f>IF(COUNT(C296,F296,G296,N296,Q296)&gt;0,AVERAGE(C296,F296,G296,N296,Q296),"")</f>
        <v/>
      </c>
      <c r="X296" s="3">
        <f>IF(COUNT(B296,E296,H296,I296,P296,R296,S296)&gt;0,AVERAGE(B296,E296,H296,I296,P296,R296,S296),"")</f>
        <v/>
      </c>
      <c r="Y296" s="3" t="n"/>
      <c r="AJ296">
        <f>IFERROR(AVERAGEIF($A$4:$A$1004,AI296,$V$4:$V$1004),"")</f>
        <v/>
      </c>
      <c r="AK296">
        <f>IFERROR(AVERAGEIF($A$4:$A$1004,AI296,$W$4:$W$1004),"")</f>
        <v/>
      </c>
      <c r="AL296">
        <f>IFERROR(AVERAGEIF($A$4:$A$1004,AI296,$X$4:$X$1004),"")</f>
        <v/>
      </c>
    </row>
    <row r="297">
      <c r="A297" s="1">
        <f>IF(Data!A297&gt;0,Data!A297,"")</f>
        <v/>
      </c>
      <c r="B297" s="1">
        <f>IF(Data!B297&gt;0,Data!B297,"")</f>
        <v/>
      </c>
      <c r="C297" s="1">
        <f>IF(Data!C297&gt;0,Data!C297,"")</f>
        <v/>
      </c>
      <c r="D297" s="1">
        <f>IF(Data!D297&gt;0,Data!D297,"")</f>
        <v/>
      </c>
      <c r="E297" s="1">
        <f>IF(Data!E297&gt;0,Data!E297,"")</f>
        <v/>
      </c>
      <c r="F297" s="1">
        <f>IF(Data!F297&gt;0,Data!F297,"")</f>
        <v/>
      </c>
      <c r="G297" s="1">
        <f>IF(Data!G297&gt;0,Data!G297,"")</f>
        <v/>
      </c>
      <c r="H297" s="1">
        <f>IF(Data!H297&gt;0,Data!H297,"")</f>
        <v/>
      </c>
      <c r="I297" s="1">
        <f>IF(Data!I297&gt;0,Data!I297,"")</f>
        <v/>
      </c>
      <c r="J297" s="1">
        <f>IF(Data!J297&gt;0,Data!J297,"")</f>
        <v/>
      </c>
      <c r="K297" s="1">
        <f>IF(Data!K297&gt;0,Data!K297,"")</f>
        <v/>
      </c>
      <c r="L297" s="1">
        <f>IF(Data!L297&gt;0,Data!L297,"")</f>
        <v/>
      </c>
      <c r="M297" s="1">
        <f>IF(Data!M297&gt;0,Data!M297,"")</f>
        <v/>
      </c>
      <c r="N297" s="1">
        <f>IF(Data!N297&gt;0,Data!N297,"")</f>
        <v/>
      </c>
      <c r="O297" s="1">
        <f>IF(Data!O297&gt;0,Data!O297,"")</f>
        <v/>
      </c>
      <c r="P297" s="1">
        <f>IF(Data!P297&gt;0,Data!P297,"")</f>
        <v/>
      </c>
      <c r="Q297" s="1">
        <f>IF(Data!Q297&gt;0,Data!Q297,"")</f>
        <v/>
      </c>
      <c r="R297" s="1">
        <f>IF(Data!R297&gt;0,Data!R297,"")</f>
        <v/>
      </c>
      <c r="S297" s="1">
        <f>IF(Data!S297&gt;0,Data!S297,"")</f>
        <v/>
      </c>
      <c r="V297" s="3">
        <f>IF(COUNT(D297,J297,K297,L297,M297,O297)&gt;0,AVERAGE(D297,J297,K297,L297,M297,O297),"")</f>
        <v/>
      </c>
      <c r="W297" s="3">
        <f>IF(COUNT(C297,F297,G297,N297,Q297)&gt;0,AVERAGE(C297,F297,G297,N297,Q297),"")</f>
        <v/>
      </c>
      <c r="X297" s="3">
        <f>IF(COUNT(B297,E297,H297,I297,P297,R297,S297)&gt;0,AVERAGE(B297,E297,H297,I297,P297,R297,S297),"")</f>
        <v/>
      </c>
      <c r="Y297" s="3" t="n"/>
      <c r="AJ297">
        <f>IFERROR(AVERAGEIF($A$4:$A$1004,AI297,$V$4:$V$1004),"")</f>
        <v/>
      </c>
      <c r="AK297">
        <f>IFERROR(AVERAGEIF($A$4:$A$1004,AI297,$W$4:$W$1004),"")</f>
        <v/>
      </c>
      <c r="AL297">
        <f>IFERROR(AVERAGEIF($A$4:$A$1004,AI297,$X$4:$X$1004),"")</f>
        <v/>
      </c>
    </row>
    <row r="298">
      <c r="A298" s="1">
        <f>IF(Data!A298&gt;0,Data!A298,"")</f>
        <v/>
      </c>
      <c r="B298" s="1">
        <f>IF(Data!B298&gt;0,Data!B298,"")</f>
        <v/>
      </c>
      <c r="C298" s="1">
        <f>IF(Data!C298&gt;0,Data!C298,"")</f>
        <v/>
      </c>
      <c r="D298" s="1">
        <f>IF(Data!D298&gt;0,Data!D298,"")</f>
        <v/>
      </c>
      <c r="E298" s="1">
        <f>IF(Data!E298&gt;0,Data!E298,"")</f>
        <v/>
      </c>
      <c r="F298" s="1">
        <f>IF(Data!F298&gt;0,Data!F298,"")</f>
        <v/>
      </c>
      <c r="G298" s="1">
        <f>IF(Data!G298&gt;0,Data!G298,"")</f>
        <v/>
      </c>
      <c r="H298" s="1">
        <f>IF(Data!H298&gt;0,Data!H298,"")</f>
        <v/>
      </c>
      <c r="I298" s="1">
        <f>IF(Data!I298&gt;0,Data!I298,"")</f>
        <v/>
      </c>
      <c r="J298" s="1">
        <f>IF(Data!J298&gt;0,Data!J298,"")</f>
        <v/>
      </c>
      <c r="K298" s="1">
        <f>IF(Data!K298&gt;0,Data!K298,"")</f>
        <v/>
      </c>
      <c r="L298" s="1">
        <f>IF(Data!L298&gt;0,Data!L298,"")</f>
        <v/>
      </c>
      <c r="M298" s="1">
        <f>IF(Data!M298&gt;0,Data!M298,"")</f>
        <v/>
      </c>
      <c r="N298" s="1">
        <f>IF(Data!N298&gt;0,Data!N298,"")</f>
        <v/>
      </c>
      <c r="O298" s="1">
        <f>IF(Data!O298&gt;0,Data!O298,"")</f>
        <v/>
      </c>
      <c r="P298" s="1">
        <f>IF(Data!P298&gt;0,Data!P298,"")</f>
        <v/>
      </c>
      <c r="Q298" s="1">
        <f>IF(Data!Q298&gt;0,Data!Q298,"")</f>
        <v/>
      </c>
      <c r="R298" s="1">
        <f>IF(Data!R298&gt;0,Data!R298,"")</f>
        <v/>
      </c>
      <c r="S298" s="1">
        <f>IF(Data!S298&gt;0,Data!S298,"")</f>
        <v/>
      </c>
      <c r="V298" s="3">
        <f>IF(COUNT(D298,J298,K298,L298,M298,O298)&gt;0,AVERAGE(D298,J298,K298,L298,M298,O298),"")</f>
        <v/>
      </c>
      <c r="W298" s="3">
        <f>IF(COUNT(C298,F298,G298,N298,Q298)&gt;0,AVERAGE(C298,F298,G298,N298,Q298),"")</f>
        <v/>
      </c>
      <c r="X298" s="3">
        <f>IF(COUNT(B298,E298,H298,I298,P298,R298,S298)&gt;0,AVERAGE(B298,E298,H298,I298,P298,R298,S298),"")</f>
        <v/>
      </c>
      <c r="Y298" s="3" t="n"/>
      <c r="AJ298">
        <f>IFERROR(AVERAGEIF($A$4:$A$1004,AI298,$V$4:$V$1004),"")</f>
        <v/>
      </c>
      <c r="AK298">
        <f>IFERROR(AVERAGEIF($A$4:$A$1004,AI298,$W$4:$W$1004),"")</f>
        <v/>
      </c>
      <c r="AL298">
        <f>IFERROR(AVERAGEIF($A$4:$A$1004,AI298,$X$4:$X$1004),"")</f>
        <v/>
      </c>
    </row>
    <row r="299">
      <c r="A299" s="1">
        <f>IF(Data!A299&gt;0,Data!A299,"")</f>
        <v/>
      </c>
      <c r="B299" s="1">
        <f>IF(Data!B299&gt;0,Data!B299,"")</f>
        <v/>
      </c>
      <c r="C299" s="1">
        <f>IF(Data!C299&gt;0,Data!C299,"")</f>
        <v/>
      </c>
      <c r="D299" s="1">
        <f>IF(Data!D299&gt;0,Data!D299,"")</f>
        <v/>
      </c>
      <c r="E299" s="1">
        <f>IF(Data!E299&gt;0,Data!E299,"")</f>
        <v/>
      </c>
      <c r="F299" s="1">
        <f>IF(Data!F299&gt;0,Data!F299,"")</f>
        <v/>
      </c>
      <c r="G299" s="1">
        <f>IF(Data!G299&gt;0,Data!G299,"")</f>
        <v/>
      </c>
      <c r="H299" s="1">
        <f>IF(Data!H299&gt;0,Data!H299,"")</f>
        <v/>
      </c>
      <c r="I299" s="1">
        <f>IF(Data!I299&gt;0,Data!I299,"")</f>
        <v/>
      </c>
      <c r="J299" s="1">
        <f>IF(Data!J299&gt;0,Data!J299,"")</f>
        <v/>
      </c>
      <c r="K299" s="1">
        <f>IF(Data!K299&gt;0,Data!K299,"")</f>
        <v/>
      </c>
      <c r="L299" s="1">
        <f>IF(Data!L299&gt;0,Data!L299,"")</f>
        <v/>
      </c>
      <c r="M299" s="1">
        <f>IF(Data!M299&gt;0,Data!M299,"")</f>
        <v/>
      </c>
      <c r="N299" s="1">
        <f>IF(Data!N299&gt;0,Data!N299,"")</f>
        <v/>
      </c>
      <c r="O299" s="1">
        <f>IF(Data!O299&gt;0,Data!O299,"")</f>
        <v/>
      </c>
      <c r="P299" s="1">
        <f>IF(Data!P299&gt;0,Data!P299,"")</f>
        <v/>
      </c>
      <c r="Q299" s="1">
        <f>IF(Data!Q299&gt;0,Data!Q299,"")</f>
        <v/>
      </c>
      <c r="R299" s="1">
        <f>IF(Data!R299&gt;0,Data!R299,"")</f>
        <v/>
      </c>
      <c r="S299" s="1">
        <f>IF(Data!S299&gt;0,Data!S299,"")</f>
        <v/>
      </c>
      <c r="V299" s="3">
        <f>IF(COUNT(D299,J299,K299,L299,M299,O299)&gt;0,AVERAGE(D299,J299,K299,L299,M299,O299),"")</f>
        <v/>
      </c>
      <c r="W299" s="3">
        <f>IF(COUNT(C299,F299,G299,N299,Q299)&gt;0,AVERAGE(C299,F299,G299,N299,Q299),"")</f>
        <v/>
      </c>
      <c r="X299" s="3">
        <f>IF(COUNT(B299,E299,H299,I299,P299,R299,S299)&gt;0,AVERAGE(B299,E299,H299,I299,P299,R299,S299),"")</f>
        <v/>
      </c>
      <c r="Y299" s="3" t="n"/>
      <c r="AJ299">
        <f>IFERROR(AVERAGEIF($A$4:$A$1004,AI299,$V$4:$V$1004),"")</f>
        <v/>
      </c>
      <c r="AK299">
        <f>IFERROR(AVERAGEIF($A$4:$A$1004,AI299,$W$4:$W$1004),"")</f>
        <v/>
      </c>
      <c r="AL299">
        <f>IFERROR(AVERAGEIF($A$4:$A$1004,AI299,$X$4:$X$1004),"")</f>
        <v/>
      </c>
    </row>
    <row r="300">
      <c r="A300" s="1">
        <f>IF(Data!A300&gt;0,Data!A300,"")</f>
        <v/>
      </c>
      <c r="B300" s="1">
        <f>IF(Data!B300&gt;0,Data!B300,"")</f>
        <v/>
      </c>
      <c r="C300" s="1">
        <f>IF(Data!C300&gt;0,Data!C300,"")</f>
        <v/>
      </c>
      <c r="D300" s="1">
        <f>IF(Data!D300&gt;0,Data!D300,"")</f>
        <v/>
      </c>
      <c r="E300" s="1">
        <f>IF(Data!E300&gt;0,Data!E300,"")</f>
        <v/>
      </c>
      <c r="F300" s="1">
        <f>IF(Data!F300&gt;0,Data!F300,"")</f>
        <v/>
      </c>
      <c r="G300" s="1">
        <f>IF(Data!G300&gt;0,Data!G300,"")</f>
        <v/>
      </c>
      <c r="H300" s="1">
        <f>IF(Data!H300&gt;0,Data!H300,"")</f>
        <v/>
      </c>
      <c r="I300" s="1">
        <f>IF(Data!I300&gt;0,Data!I300,"")</f>
        <v/>
      </c>
      <c r="J300" s="1">
        <f>IF(Data!J300&gt;0,Data!J300,"")</f>
        <v/>
      </c>
      <c r="K300" s="1">
        <f>IF(Data!K300&gt;0,Data!K300,"")</f>
        <v/>
      </c>
      <c r="L300" s="1">
        <f>IF(Data!L300&gt;0,Data!L300,"")</f>
        <v/>
      </c>
      <c r="M300" s="1">
        <f>IF(Data!M300&gt;0,Data!M300,"")</f>
        <v/>
      </c>
      <c r="N300" s="1">
        <f>IF(Data!N300&gt;0,Data!N300,"")</f>
        <v/>
      </c>
      <c r="O300" s="1">
        <f>IF(Data!O300&gt;0,Data!O300,"")</f>
        <v/>
      </c>
      <c r="P300" s="1">
        <f>IF(Data!P300&gt;0,Data!P300,"")</f>
        <v/>
      </c>
      <c r="Q300" s="1">
        <f>IF(Data!Q300&gt;0,Data!Q300,"")</f>
        <v/>
      </c>
      <c r="R300" s="1">
        <f>IF(Data!R300&gt;0,Data!R300,"")</f>
        <v/>
      </c>
      <c r="S300" s="1">
        <f>IF(Data!S300&gt;0,Data!S300,"")</f>
        <v/>
      </c>
      <c r="V300" s="3">
        <f>IF(COUNT(D300,J300,K300,L300,M300,O300)&gt;0,AVERAGE(D300,J300,K300,L300,M300,O300),"")</f>
        <v/>
      </c>
      <c r="W300" s="3">
        <f>IF(COUNT(C300,F300,G300,N300,Q300)&gt;0,AVERAGE(C300,F300,G300,N300,Q300),"")</f>
        <v/>
      </c>
      <c r="X300" s="3">
        <f>IF(COUNT(B300,E300,H300,I300,P300,R300,S300)&gt;0,AVERAGE(B300,E300,H300,I300,P300,R300,S300),"")</f>
        <v/>
      </c>
      <c r="Y300" s="3" t="n"/>
      <c r="AJ300">
        <f>IFERROR(AVERAGEIF($A$4:$A$1004,AI300,$V$4:$V$1004),"")</f>
        <v/>
      </c>
      <c r="AK300">
        <f>IFERROR(AVERAGEIF($A$4:$A$1004,AI300,$W$4:$W$1004),"")</f>
        <v/>
      </c>
      <c r="AL300">
        <f>IFERROR(AVERAGEIF($A$4:$A$1004,AI300,$X$4:$X$1004),"")</f>
        <v/>
      </c>
    </row>
    <row r="301">
      <c r="A301" s="1">
        <f>IF(Data!A301&gt;0,Data!A301,"")</f>
        <v/>
      </c>
      <c r="B301" s="1">
        <f>IF(Data!B301&gt;0,Data!B301,"")</f>
        <v/>
      </c>
      <c r="C301" s="1">
        <f>IF(Data!C301&gt;0,Data!C301,"")</f>
        <v/>
      </c>
      <c r="D301" s="1">
        <f>IF(Data!D301&gt;0,Data!D301,"")</f>
        <v/>
      </c>
      <c r="E301" s="1">
        <f>IF(Data!E301&gt;0,Data!E301,"")</f>
        <v/>
      </c>
      <c r="F301" s="1">
        <f>IF(Data!F301&gt;0,Data!F301,"")</f>
        <v/>
      </c>
      <c r="G301" s="1">
        <f>IF(Data!G301&gt;0,Data!G301,"")</f>
        <v/>
      </c>
      <c r="H301" s="1">
        <f>IF(Data!H301&gt;0,Data!H301,"")</f>
        <v/>
      </c>
      <c r="I301" s="1">
        <f>IF(Data!I301&gt;0,Data!I301,"")</f>
        <v/>
      </c>
      <c r="J301" s="1">
        <f>IF(Data!J301&gt;0,Data!J301,"")</f>
        <v/>
      </c>
      <c r="K301" s="1">
        <f>IF(Data!K301&gt;0,Data!K301,"")</f>
        <v/>
      </c>
      <c r="L301" s="1">
        <f>IF(Data!L301&gt;0,Data!L301,"")</f>
        <v/>
      </c>
      <c r="M301" s="1">
        <f>IF(Data!M301&gt;0,Data!M301,"")</f>
        <v/>
      </c>
      <c r="N301" s="1">
        <f>IF(Data!N301&gt;0,Data!N301,"")</f>
        <v/>
      </c>
      <c r="O301" s="1">
        <f>IF(Data!O301&gt;0,Data!O301,"")</f>
        <v/>
      </c>
      <c r="P301" s="1">
        <f>IF(Data!P301&gt;0,Data!P301,"")</f>
        <v/>
      </c>
      <c r="Q301" s="1">
        <f>IF(Data!Q301&gt;0,Data!Q301,"")</f>
        <v/>
      </c>
      <c r="R301" s="1">
        <f>IF(Data!R301&gt;0,Data!R301,"")</f>
        <v/>
      </c>
      <c r="S301" s="1">
        <f>IF(Data!S301&gt;0,Data!S301,"")</f>
        <v/>
      </c>
      <c r="V301" s="3">
        <f>IF(COUNT(D301,J301,K301,L301,M301,O301)&gt;0,AVERAGE(D301,J301,K301,L301,M301,O301),"")</f>
        <v/>
      </c>
      <c r="W301" s="3">
        <f>IF(COUNT(C301,F301,G301,N301,Q301)&gt;0,AVERAGE(C301,F301,G301,N301,Q301),"")</f>
        <v/>
      </c>
      <c r="X301" s="3">
        <f>IF(COUNT(B301,E301,H301,I301,P301,R301,S301)&gt;0,AVERAGE(B301,E301,H301,I301,P301,R301,S301),"")</f>
        <v/>
      </c>
      <c r="Y301" s="3" t="n"/>
      <c r="AJ301">
        <f>IFERROR(AVERAGEIF($A$4:$A$1004,AI301,$V$4:$V$1004),"")</f>
        <v/>
      </c>
      <c r="AK301">
        <f>IFERROR(AVERAGEIF($A$4:$A$1004,AI301,$W$4:$W$1004),"")</f>
        <v/>
      </c>
      <c r="AL301">
        <f>IFERROR(AVERAGEIF($A$4:$A$1004,AI301,$X$4:$X$1004),"")</f>
        <v/>
      </c>
    </row>
    <row r="302">
      <c r="A302" s="1">
        <f>IF(Data!A302&gt;0,Data!A302,"")</f>
        <v/>
      </c>
      <c r="B302" s="1">
        <f>IF(Data!B302&gt;0,Data!B302,"")</f>
        <v/>
      </c>
      <c r="C302" s="1">
        <f>IF(Data!C302&gt;0,Data!C302,"")</f>
        <v/>
      </c>
      <c r="D302" s="1">
        <f>IF(Data!D302&gt;0,Data!D302,"")</f>
        <v/>
      </c>
      <c r="E302" s="1">
        <f>IF(Data!E302&gt;0,Data!E302,"")</f>
        <v/>
      </c>
      <c r="F302" s="1">
        <f>IF(Data!F302&gt;0,Data!F302,"")</f>
        <v/>
      </c>
      <c r="G302" s="1">
        <f>IF(Data!G302&gt;0,Data!G302,"")</f>
        <v/>
      </c>
      <c r="H302" s="1">
        <f>IF(Data!H302&gt;0,Data!H302,"")</f>
        <v/>
      </c>
      <c r="I302" s="1">
        <f>IF(Data!I302&gt;0,Data!I302,"")</f>
        <v/>
      </c>
      <c r="J302" s="1">
        <f>IF(Data!J302&gt;0,Data!J302,"")</f>
        <v/>
      </c>
      <c r="K302" s="1">
        <f>IF(Data!K302&gt;0,Data!K302,"")</f>
        <v/>
      </c>
      <c r="L302" s="1">
        <f>IF(Data!L302&gt;0,Data!L302,"")</f>
        <v/>
      </c>
      <c r="M302" s="1">
        <f>IF(Data!M302&gt;0,Data!M302,"")</f>
        <v/>
      </c>
      <c r="N302" s="1">
        <f>IF(Data!N302&gt;0,Data!N302,"")</f>
        <v/>
      </c>
      <c r="O302" s="1">
        <f>IF(Data!O302&gt;0,Data!O302,"")</f>
        <v/>
      </c>
      <c r="P302" s="1">
        <f>IF(Data!P302&gt;0,Data!P302,"")</f>
        <v/>
      </c>
      <c r="Q302" s="1">
        <f>IF(Data!Q302&gt;0,Data!Q302,"")</f>
        <v/>
      </c>
      <c r="R302" s="1">
        <f>IF(Data!R302&gt;0,Data!R302,"")</f>
        <v/>
      </c>
      <c r="S302" s="1">
        <f>IF(Data!S302&gt;0,Data!S302,"")</f>
        <v/>
      </c>
      <c r="V302" s="3">
        <f>IF(COUNT(D302,J302,K302,L302,M302,O302)&gt;0,AVERAGE(D302,J302,K302,L302,M302,O302),"")</f>
        <v/>
      </c>
      <c r="W302" s="3">
        <f>IF(COUNT(C302,F302,G302,N302,Q302)&gt;0,AVERAGE(C302,F302,G302,N302,Q302),"")</f>
        <v/>
      </c>
      <c r="X302" s="3">
        <f>IF(COUNT(B302,E302,H302,I302,P302,R302,S302)&gt;0,AVERAGE(B302,E302,H302,I302,P302,R302,S302),"")</f>
        <v/>
      </c>
      <c r="Y302" s="3" t="n"/>
      <c r="AJ302">
        <f>IFERROR(AVERAGEIF($A$4:$A$1004,AI302,$V$4:$V$1004),"")</f>
        <v/>
      </c>
      <c r="AK302">
        <f>IFERROR(AVERAGEIF($A$4:$A$1004,AI302,$W$4:$W$1004),"")</f>
        <v/>
      </c>
      <c r="AL302">
        <f>IFERROR(AVERAGEIF($A$4:$A$1004,AI302,$X$4:$X$1004),"")</f>
        <v/>
      </c>
    </row>
    <row r="303">
      <c r="A303" s="1">
        <f>IF(Data!A303&gt;0,Data!A303,"")</f>
        <v/>
      </c>
      <c r="B303" s="1">
        <f>IF(Data!B303&gt;0,Data!B303,"")</f>
        <v/>
      </c>
      <c r="C303" s="1">
        <f>IF(Data!C303&gt;0,Data!C303,"")</f>
        <v/>
      </c>
      <c r="D303" s="1">
        <f>IF(Data!D303&gt;0,Data!D303,"")</f>
        <v/>
      </c>
      <c r="E303" s="1">
        <f>IF(Data!E303&gt;0,Data!E303,"")</f>
        <v/>
      </c>
      <c r="F303" s="1">
        <f>IF(Data!F303&gt;0,Data!F303,"")</f>
        <v/>
      </c>
      <c r="G303" s="1">
        <f>IF(Data!G303&gt;0,Data!G303,"")</f>
        <v/>
      </c>
      <c r="H303" s="1">
        <f>IF(Data!H303&gt;0,Data!H303,"")</f>
        <v/>
      </c>
      <c r="I303" s="1">
        <f>IF(Data!I303&gt;0,Data!I303,"")</f>
        <v/>
      </c>
      <c r="J303" s="1">
        <f>IF(Data!J303&gt;0,Data!J303,"")</f>
        <v/>
      </c>
      <c r="K303" s="1">
        <f>IF(Data!K303&gt;0,Data!K303,"")</f>
        <v/>
      </c>
      <c r="L303" s="1">
        <f>IF(Data!L303&gt;0,Data!L303,"")</f>
        <v/>
      </c>
      <c r="M303" s="1">
        <f>IF(Data!M303&gt;0,Data!M303,"")</f>
        <v/>
      </c>
      <c r="N303" s="1">
        <f>IF(Data!N303&gt;0,Data!N303,"")</f>
        <v/>
      </c>
      <c r="O303" s="1">
        <f>IF(Data!O303&gt;0,Data!O303,"")</f>
        <v/>
      </c>
      <c r="P303" s="1">
        <f>IF(Data!P303&gt;0,Data!P303,"")</f>
        <v/>
      </c>
      <c r="Q303" s="1">
        <f>IF(Data!Q303&gt;0,Data!Q303,"")</f>
        <v/>
      </c>
      <c r="R303" s="1">
        <f>IF(Data!R303&gt;0,Data!R303,"")</f>
        <v/>
      </c>
      <c r="S303" s="1">
        <f>IF(Data!S303&gt;0,Data!S303,"")</f>
        <v/>
      </c>
      <c r="V303" s="3">
        <f>IF(COUNT(D303,J303,K303,L303,M303,O303)&gt;0,AVERAGE(D303,J303,K303,L303,M303,O303),"")</f>
        <v/>
      </c>
      <c r="W303" s="3">
        <f>IF(COUNT(C303,F303,G303,N303,Q303)&gt;0,AVERAGE(C303,F303,G303,N303,Q303),"")</f>
        <v/>
      </c>
      <c r="X303" s="3">
        <f>IF(COUNT(B303,E303,H303,I303,P303,R303,S303)&gt;0,AVERAGE(B303,E303,H303,I303,P303,R303,S303),"")</f>
        <v/>
      </c>
      <c r="Y303" s="3" t="n"/>
      <c r="AJ303">
        <f>IFERROR(AVERAGEIF($A$4:$A$1004,AI303,$V$4:$V$1004),"")</f>
        <v/>
      </c>
      <c r="AK303">
        <f>IFERROR(AVERAGEIF($A$4:$A$1004,AI303,$W$4:$W$1004),"")</f>
        <v/>
      </c>
      <c r="AL303">
        <f>IFERROR(AVERAGEIF($A$4:$A$1004,AI303,$X$4:$X$1004),"")</f>
        <v/>
      </c>
    </row>
    <row r="304">
      <c r="A304" s="1">
        <f>IF(Data!A304&gt;0,Data!A304,"")</f>
        <v/>
      </c>
      <c r="B304" s="1">
        <f>IF(Data!B304&gt;0,Data!B304,"")</f>
        <v/>
      </c>
      <c r="C304" s="1">
        <f>IF(Data!C304&gt;0,Data!C304,"")</f>
        <v/>
      </c>
      <c r="D304" s="1">
        <f>IF(Data!D304&gt;0,Data!D304,"")</f>
        <v/>
      </c>
      <c r="E304" s="1">
        <f>IF(Data!E304&gt;0,Data!E304,"")</f>
        <v/>
      </c>
      <c r="F304" s="1">
        <f>IF(Data!F304&gt;0,Data!F304,"")</f>
        <v/>
      </c>
      <c r="G304" s="1">
        <f>IF(Data!G304&gt;0,Data!G304,"")</f>
        <v/>
      </c>
      <c r="H304" s="1">
        <f>IF(Data!H304&gt;0,Data!H304,"")</f>
        <v/>
      </c>
      <c r="I304" s="1">
        <f>IF(Data!I304&gt;0,Data!I304,"")</f>
        <v/>
      </c>
      <c r="J304" s="1">
        <f>IF(Data!J304&gt;0,Data!J304,"")</f>
        <v/>
      </c>
      <c r="K304" s="1">
        <f>IF(Data!K304&gt;0,Data!K304,"")</f>
        <v/>
      </c>
      <c r="L304" s="1">
        <f>IF(Data!L304&gt;0,Data!L304,"")</f>
        <v/>
      </c>
      <c r="M304" s="1">
        <f>IF(Data!M304&gt;0,Data!M304,"")</f>
        <v/>
      </c>
      <c r="N304" s="1">
        <f>IF(Data!N304&gt;0,Data!N304,"")</f>
        <v/>
      </c>
      <c r="O304" s="1">
        <f>IF(Data!O304&gt;0,Data!O304,"")</f>
        <v/>
      </c>
      <c r="P304" s="1">
        <f>IF(Data!P304&gt;0,Data!P304,"")</f>
        <v/>
      </c>
      <c r="Q304" s="1">
        <f>IF(Data!Q304&gt;0,Data!Q304,"")</f>
        <v/>
      </c>
      <c r="R304" s="1">
        <f>IF(Data!R304&gt;0,Data!R304,"")</f>
        <v/>
      </c>
      <c r="S304" s="1">
        <f>IF(Data!S304&gt;0,Data!S304,"")</f>
        <v/>
      </c>
      <c r="V304" s="3">
        <f>IF(COUNT(D304,J304,K304,L304,M304,O304)&gt;0,AVERAGE(D304,J304,K304,L304,M304,O304),"")</f>
        <v/>
      </c>
      <c r="W304" s="3">
        <f>IF(COUNT(C304,F304,G304,N304,Q304)&gt;0,AVERAGE(C304,F304,G304,N304,Q304),"")</f>
        <v/>
      </c>
      <c r="X304" s="3">
        <f>IF(COUNT(B304,E304,H304,I304,P304,R304,S304)&gt;0,AVERAGE(B304,E304,H304,I304,P304,R304,S304),"")</f>
        <v/>
      </c>
      <c r="Y304" s="3" t="n"/>
      <c r="AJ304">
        <f>IFERROR(AVERAGEIF($A$4:$A$1004,AI304,$V$4:$V$1004),"")</f>
        <v/>
      </c>
      <c r="AK304">
        <f>IFERROR(AVERAGEIF($A$4:$A$1004,AI304,$W$4:$W$1004),"")</f>
        <v/>
      </c>
      <c r="AL304">
        <f>IFERROR(AVERAGEIF($A$4:$A$1004,AI304,$X$4:$X$1004),"")</f>
        <v/>
      </c>
    </row>
    <row r="305">
      <c r="A305" s="1">
        <f>IF(Data!A305&gt;0,Data!A305,"")</f>
        <v/>
      </c>
      <c r="B305" s="1">
        <f>IF(Data!B305&gt;0,Data!B305,"")</f>
        <v/>
      </c>
      <c r="C305" s="1">
        <f>IF(Data!C305&gt;0,Data!C305,"")</f>
        <v/>
      </c>
      <c r="D305" s="1">
        <f>IF(Data!D305&gt;0,Data!D305,"")</f>
        <v/>
      </c>
      <c r="E305" s="1">
        <f>IF(Data!E305&gt;0,Data!E305,"")</f>
        <v/>
      </c>
      <c r="F305" s="1">
        <f>IF(Data!F305&gt;0,Data!F305,"")</f>
        <v/>
      </c>
      <c r="G305" s="1">
        <f>IF(Data!G305&gt;0,Data!G305,"")</f>
        <v/>
      </c>
      <c r="H305" s="1">
        <f>IF(Data!H305&gt;0,Data!H305,"")</f>
        <v/>
      </c>
      <c r="I305" s="1">
        <f>IF(Data!I305&gt;0,Data!I305,"")</f>
        <v/>
      </c>
      <c r="J305" s="1">
        <f>IF(Data!J305&gt;0,Data!J305,"")</f>
        <v/>
      </c>
      <c r="K305" s="1">
        <f>IF(Data!K305&gt;0,Data!K305,"")</f>
        <v/>
      </c>
      <c r="L305" s="1">
        <f>IF(Data!L305&gt;0,Data!L305,"")</f>
        <v/>
      </c>
      <c r="M305" s="1">
        <f>IF(Data!M305&gt;0,Data!M305,"")</f>
        <v/>
      </c>
      <c r="N305" s="1">
        <f>IF(Data!N305&gt;0,Data!N305,"")</f>
        <v/>
      </c>
      <c r="O305" s="1">
        <f>IF(Data!O305&gt;0,Data!O305,"")</f>
        <v/>
      </c>
      <c r="P305" s="1">
        <f>IF(Data!P305&gt;0,Data!P305,"")</f>
        <v/>
      </c>
      <c r="Q305" s="1">
        <f>IF(Data!Q305&gt;0,Data!Q305,"")</f>
        <v/>
      </c>
      <c r="R305" s="1">
        <f>IF(Data!R305&gt;0,Data!R305,"")</f>
        <v/>
      </c>
      <c r="S305" s="1">
        <f>IF(Data!S305&gt;0,Data!S305,"")</f>
        <v/>
      </c>
      <c r="V305" s="3">
        <f>IF(COUNT(D305,J305,K305,L305,M305,O305)&gt;0,AVERAGE(D305,J305,K305,L305,M305,O305),"")</f>
        <v/>
      </c>
      <c r="W305" s="3">
        <f>IF(COUNT(C305,F305,G305,N305,Q305)&gt;0,AVERAGE(C305,F305,G305,N305,Q305),"")</f>
        <v/>
      </c>
      <c r="X305" s="3">
        <f>IF(COUNT(B305,E305,H305,I305,P305,R305,S305)&gt;0,AVERAGE(B305,E305,H305,I305,P305,R305,S305),"")</f>
        <v/>
      </c>
      <c r="Y305" s="3" t="n"/>
      <c r="AJ305">
        <f>IFERROR(AVERAGEIF($A$4:$A$1004,AI305,$V$4:$V$1004),"")</f>
        <v/>
      </c>
      <c r="AK305">
        <f>IFERROR(AVERAGEIF($A$4:$A$1004,AI305,$W$4:$W$1004),"")</f>
        <v/>
      </c>
      <c r="AL305">
        <f>IFERROR(AVERAGEIF($A$4:$A$1004,AI305,$X$4:$X$1004),"")</f>
        <v/>
      </c>
    </row>
    <row r="306">
      <c r="A306" s="1">
        <f>IF(Data!A306&gt;0,Data!A306,"")</f>
        <v/>
      </c>
      <c r="B306" s="1">
        <f>IF(Data!B306&gt;0,Data!B306,"")</f>
        <v/>
      </c>
      <c r="C306" s="1">
        <f>IF(Data!C306&gt;0,Data!C306,"")</f>
        <v/>
      </c>
      <c r="D306" s="1">
        <f>IF(Data!D306&gt;0,Data!D306,"")</f>
        <v/>
      </c>
      <c r="E306" s="1">
        <f>IF(Data!E306&gt;0,Data!E306,"")</f>
        <v/>
      </c>
      <c r="F306" s="1">
        <f>IF(Data!F306&gt;0,Data!F306,"")</f>
        <v/>
      </c>
      <c r="G306" s="1">
        <f>IF(Data!G306&gt;0,Data!G306,"")</f>
        <v/>
      </c>
      <c r="H306" s="1">
        <f>IF(Data!H306&gt;0,Data!H306,"")</f>
        <v/>
      </c>
      <c r="I306" s="1">
        <f>IF(Data!I306&gt;0,Data!I306,"")</f>
        <v/>
      </c>
      <c r="J306" s="1">
        <f>IF(Data!J306&gt;0,Data!J306,"")</f>
        <v/>
      </c>
      <c r="K306" s="1">
        <f>IF(Data!K306&gt;0,Data!K306,"")</f>
        <v/>
      </c>
      <c r="L306" s="1">
        <f>IF(Data!L306&gt;0,Data!L306,"")</f>
        <v/>
      </c>
      <c r="M306" s="1">
        <f>IF(Data!M306&gt;0,Data!M306,"")</f>
        <v/>
      </c>
      <c r="N306" s="1">
        <f>IF(Data!N306&gt;0,Data!N306,"")</f>
        <v/>
      </c>
      <c r="O306" s="1">
        <f>IF(Data!O306&gt;0,Data!O306,"")</f>
        <v/>
      </c>
      <c r="P306" s="1">
        <f>IF(Data!P306&gt;0,Data!P306,"")</f>
        <v/>
      </c>
      <c r="Q306" s="1">
        <f>IF(Data!Q306&gt;0,Data!Q306,"")</f>
        <v/>
      </c>
      <c r="R306" s="1">
        <f>IF(Data!R306&gt;0,Data!R306,"")</f>
        <v/>
      </c>
      <c r="S306" s="1">
        <f>IF(Data!S306&gt;0,Data!S306,"")</f>
        <v/>
      </c>
      <c r="V306" s="3">
        <f>IF(COUNT(D306,J306,K306,L306,M306,O306)&gt;0,AVERAGE(D306,J306,K306,L306,M306,O306),"")</f>
        <v/>
      </c>
      <c r="W306" s="3">
        <f>IF(COUNT(C306,F306,G306,N306,Q306)&gt;0,AVERAGE(C306,F306,G306,N306,Q306),"")</f>
        <v/>
      </c>
      <c r="X306" s="3">
        <f>IF(COUNT(B306,E306,H306,I306,P306,R306,S306)&gt;0,AVERAGE(B306,E306,H306,I306,P306,R306,S306),"")</f>
        <v/>
      </c>
      <c r="Y306" s="3" t="n"/>
      <c r="AJ306">
        <f>IFERROR(AVERAGEIF($A$4:$A$1004,AI306,$V$4:$V$1004),"")</f>
        <v/>
      </c>
      <c r="AK306">
        <f>IFERROR(AVERAGEIF($A$4:$A$1004,AI306,$W$4:$W$1004),"")</f>
        <v/>
      </c>
      <c r="AL306">
        <f>IFERROR(AVERAGEIF($A$4:$A$1004,AI306,$X$4:$X$1004),"")</f>
        <v/>
      </c>
    </row>
    <row r="307">
      <c r="A307" s="1">
        <f>IF(Data!A307&gt;0,Data!A307,"")</f>
        <v/>
      </c>
      <c r="B307" s="1">
        <f>IF(Data!B307&gt;0,Data!B307,"")</f>
        <v/>
      </c>
      <c r="C307" s="1">
        <f>IF(Data!C307&gt;0,Data!C307,"")</f>
        <v/>
      </c>
      <c r="D307" s="1">
        <f>IF(Data!D307&gt;0,Data!D307,"")</f>
        <v/>
      </c>
      <c r="E307" s="1">
        <f>IF(Data!E307&gt;0,Data!E307,"")</f>
        <v/>
      </c>
      <c r="F307" s="1">
        <f>IF(Data!F307&gt;0,Data!F307,"")</f>
        <v/>
      </c>
      <c r="G307" s="1">
        <f>IF(Data!G307&gt;0,Data!G307,"")</f>
        <v/>
      </c>
      <c r="H307" s="1">
        <f>IF(Data!H307&gt;0,Data!H307,"")</f>
        <v/>
      </c>
      <c r="I307" s="1">
        <f>IF(Data!I307&gt;0,Data!I307,"")</f>
        <v/>
      </c>
      <c r="J307" s="1">
        <f>IF(Data!J307&gt;0,Data!J307,"")</f>
        <v/>
      </c>
      <c r="K307" s="1">
        <f>IF(Data!K307&gt;0,Data!K307,"")</f>
        <v/>
      </c>
      <c r="L307" s="1">
        <f>IF(Data!L307&gt;0,Data!L307,"")</f>
        <v/>
      </c>
      <c r="M307" s="1">
        <f>IF(Data!M307&gt;0,Data!M307,"")</f>
        <v/>
      </c>
      <c r="N307" s="1">
        <f>IF(Data!N307&gt;0,Data!N307,"")</f>
        <v/>
      </c>
      <c r="O307" s="1">
        <f>IF(Data!O307&gt;0,Data!O307,"")</f>
        <v/>
      </c>
      <c r="P307" s="1">
        <f>IF(Data!P307&gt;0,Data!P307,"")</f>
        <v/>
      </c>
      <c r="Q307" s="1">
        <f>IF(Data!Q307&gt;0,Data!Q307,"")</f>
        <v/>
      </c>
      <c r="R307" s="1">
        <f>IF(Data!R307&gt;0,Data!R307,"")</f>
        <v/>
      </c>
      <c r="S307" s="1">
        <f>IF(Data!S307&gt;0,Data!S307,"")</f>
        <v/>
      </c>
      <c r="V307" s="3">
        <f>IF(COUNT(D307,J307,K307,L307,M307,O307)&gt;0,AVERAGE(D307,J307,K307,L307,M307,O307),"")</f>
        <v/>
      </c>
      <c r="W307" s="3">
        <f>IF(COUNT(C307,F307,G307,N307,Q307)&gt;0,AVERAGE(C307,F307,G307,N307,Q307),"")</f>
        <v/>
      </c>
      <c r="X307" s="3">
        <f>IF(COUNT(B307,E307,H307,I307,P307,R307,S307)&gt;0,AVERAGE(B307,E307,H307,I307,P307,R307,S307),"")</f>
        <v/>
      </c>
      <c r="Y307" s="3" t="n"/>
      <c r="AJ307">
        <f>IFERROR(AVERAGEIF($A$4:$A$1004,AI307,$V$4:$V$1004),"")</f>
        <v/>
      </c>
      <c r="AK307">
        <f>IFERROR(AVERAGEIF($A$4:$A$1004,AI307,$W$4:$W$1004),"")</f>
        <v/>
      </c>
      <c r="AL307">
        <f>IFERROR(AVERAGEIF($A$4:$A$1004,AI307,$X$4:$X$1004),"")</f>
        <v/>
      </c>
    </row>
    <row r="308">
      <c r="A308" s="1">
        <f>IF(Data!A308&gt;0,Data!A308,"")</f>
        <v/>
      </c>
      <c r="B308" s="1">
        <f>IF(Data!B308&gt;0,Data!B308,"")</f>
        <v/>
      </c>
      <c r="C308" s="1">
        <f>IF(Data!C308&gt;0,Data!C308,"")</f>
        <v/>
      </c>
      <c r="D308" s="1">
        <f>IF(Data!D308&gt;0,Data!D308,"")</f>
        <v/>
      </c>
      <c r="E308" s="1">
        <f>IF(Data!E308&gt;0,Data!E308,"")</f>
        <v/>
      </c>
      <c r="F308" s="1">
        <f>IF(Data!F308&gt;0,Data!F308,"")</f>
        <v/>
      </c>
      <c r="G308" s="1">
        <f>IF(Data!G308&gt;0,Data!G308,"")</f>
        <v/>
      </c>
      <c r="H308" s="1">
        <f>IF(Data!H308&gt;0,Data!H308,"")</f>
        <v/>
      </c>
      <c r="I308" s="1">
        <f>IF(Data!I308&gt;0,Data!I308,"")</f>
        <v/>
      </c>
      <c r="J308" s="1">
        <f>IF(Data!J308&gt;0,Data!J308,"")</f>
        <v/>
      </c>
      <c r="K308" s="1">
        <f>IF(Data!K308&gt;0,Data!K308,"")</f>
        <v/>
      </c>
      <c r="L308" s="1">
        <f>IF(Data!L308&gt;0,Data!L308,"")</f>
        <v/>
      </c>
      <c r="M308" s="1">
        <f>IF(Data!M308&gt;0,Data!M308,"")</f>
        <v/>
      </c>
      <c r="N308" s="1">
        <f>IF(Data!N308&gt;0,Data!N308,"")</f>
        <v/>
      </c>
      <c r="O308" s="1">
        <f>IF(Data!O308&gt;0,Data!O308,"")</f>
        <v/>
      </c>
      <c r="P308" s="1">
        <f>IF(Data!P308&gt;0,Data!P308,"")</f>
        <v/>
      </c>
      <c r="Q308" s="1">
        <f>IF(Data!Q308&gt;0,Data!Q308,"")</f>
        <v/>
      </c>
      <c r="R308" s="1">
        <f>IF(Data!R308&gt;0,Data!R308,"")</f>
        <v/>
      </c>
      <c r="S308" s="1">
        <f>IF(Data!S308&gt;0,Data!S308,"")</f>
        <v/>
      </c>
      <c r="V308" s="3">
        <f>IF(COUNT(D308,J308,K308,L308,M308,O308)&gt;0,AVERAGE(D308,J308,K308,L308,M308,O308),"")</f>
        <v/>
      </c>
      <c r="W308" s="3">
        <f>IF(COUNT(C308,F308,G308,N308,Q308)&gt;0,AVERAGE(C308,F308,G308,N308,Q308),"")</f>
        <v/>
      </c>
      <c r="X308" s="3">
        <f>IF(COUNT(B308,E308,H308,I308,P308,R308,S308)&gt;0,AVERAGE(B308,E308,H308,I308,P308,R308,S308),"")</f>
        <v/>
      </c>
      <c r="Y308" s="3" t="n"/>
      <c r="AJ308">
        <f>IFERROR(AVERAGEIF($A$4:$A$1004,AI308,$V$4:$V$1004),"")</f>
        <v/>
      </c>
      <c r="AK308">
        <f>IFERROR(AVERAGEIF($A$4:$A$1004,AI308,$W$4:$W$1004),"")</f>
        <v/>
      </c>
      <c r="AL308">
        <f>IFERROR(AVERAGEIF($A$4:$A$1004,AI308,$X$4:$X$1004),"")</f>
        <v/>
      </c>
    </row>
    <row r="309">
      <c r="A309" s="1">
        <f>IF(Data!A309&gt;0,Data!A309,"")</f>
        <v/>
      </c>
      <c r="B309" s="1">
        <f>IF(Data!B309&gt;0,Data!B309,"")</f>
        <v/>
      </c>
      <c r="C309" s="1">
        <f>IF(Data!C309&gt;0,Data!C309,"")</f>
        <v/>
      </c>
      <c r="D309" s="1">
        <f>IF(Data!D309&gt;0,Data!D309,"")</f>
        <v/>
      </c>
      <c r="E309" s="1">
        <f>IF(Data!E309&gt;0,Data!E309,"")</f>
        <v/>
      </c>
      <c r="F309" s="1">
        <f>IF(Data!F309&gt;0,Data!F309,"")</f>
        <v/>
      </c>
      <c r="G309" s="1">
        <f>IF(Data!G309&gt;0,Data!G309,"")</f>
        <v/>
      </c>
      <c r="H309" s="1">
        <f>IF(Data!H309&gt;0,Data!H309,"")</f>
        <v/>
      </c>
      <c r="I309" s="1">
        <f>IF(Data!I309&gt;0,Data!I309,"")</f>
        <v/>
      </c>
      <c r="J309" s="1">
        <f>IF(Data!J309&gt;0,Data!J309,"")</f>
        <v/>
      </c>
      <c r="K309" s="1">
        <f>IF(Data!K309&gt;0,Data!K309,"")</f>
        <v/>
      </c>
      <c r="L309" s="1">
        <f>IF(Data!L309&gt;0,Data!L309,"")</f>
        <v/>
      </c>
      <c r="M309" s="1">
        <f>IF(Data!M309&gt;0,Data!M309,"")</f>
        <v/>
      </c>
      <c r="N309" s="1">
        <f>IF(Data!N309&gt;0,Data!N309,"")</f>
        <v/>
      </c>
      <c r="O309" s="1">
        <f>IF(Data!O309&gt;0,Data!O309,"")</f>
        <v/>
      </c>
      <c r="P309" s="1">
        <f>IF(Data!P309&gt;0,Data!P309,"")</f>
        <v/>
      </c>
      <c r="Q309" s="1">
        <f>IF(Data!Q309&gt;0,Data!Q309,"")</f>
        <v/>
      </c>
      <c r="R309" s="1">
        <f>IF(Data!R309&gt;0,Data!R309,"")</f>
        <v/>
      </c>
      <c r="S309" s="1">
        <f>IF(Data!S309&gt;0,Data!S309,"")</f>
        <v/>
      </c>
      <c r="V309" s="3">
        <f>IF(COUNT(D309,J309,K309,L309,M309,O309)&gt;0,AVERAGE(D309,J309,K309,L309,M309,O309),"")</f>
        <v/>
      </c>
      <c r="W309" s="3">
        <f>IF(COUNT(C309,F309,G309,N309,Q309)&gt;0,AVERAGE(C309,F309,G309,N309,Q309),"")</f>
        <v/>
      </c>
      <c r="X309" s="3">
        <f>IF(COUNT(B309,E309,H309,I309,P309,R309,S309)&gt;0,AVERAGE(B309,E309,H309,I309,P309,R309,S309),"")</f>
        <v/>
      </c>
      <c r="Y309" s="3" t="n"/>
      <c r="AJ309">
        <f>IFERROR(AVERAGEIF($A$4:$A$1004,AI309,$V$4:$V$1004),"")</f>
        <v/>
      </c>
      <c r="AK309">
        <f>IFERROR(AVERAGEIF($A$4:$A$1004,AI309,$W$4:$W$1004),"")</f>
        <v/>
      </c>
      <c r="AL309">
        <f>IFERROR(AVERAGEIF($A$4:$A$1004,AI309,$X$4:$X$1004),"")</f>
        <v/>
      </c>
    </row>
    <row r="310">
      <c r="A310" s="1">
        <f>IF(Data!A310&gt;0,Data!A310,"")</f>
        <v/>
      </c>
      <c r="B310" s="1">
        <f>IF(Data!B310&gt;0,Data!B310,"")</f>
        <v/>
      </c>
      <c r="C310" s="1">
        <f>IF(Data!C310&gt;0,Data!C310,"")</f>
        <v/>
      </c>
      <c r="D310" s="1">
        <f>IF(Data!D310&gt;0,Data!D310,"")</f>
        <v/>
      </c>
      <c r="E310" s="1">
        <f>IF(Data!E310&gt;0,Data!E310,"")</f>
        <v/>
      </c>
      <c r="F310" s="1">
        <f>IF(Data!F310&gt;0,Data!F310,"")</f>
        <v/>
      </c>
      <c r="G310" s="1">
        <f>IF(Data!G310&gt;0,Data!G310,"")</f>
        <v/>
      </c>
      <c r="H310" s="1">
        <f>IF(Data!H310&gt;0,Data!H310,"")</f>
        <v/>
      </c>
      <c r="I310" s="1">
        <f>IF(Data!I310&gt;0,Data!I310,"")</f>
        <v/>
      </c>
      <c r="J310" s="1">
        <f>IF(Data!J310&gt;0,Data!J310,"")</f>
        <v/>
      </c>
      <c r="K310" s="1">
        <f>IF(Data!K310&gt;0,Data!K310,"")</f>
        <v/>
      </c>
      <c r="L310" s="1">
        <f>IF(Data!L310&gt;0,Data!L310,"")</f>
        <v/>
      </c>
      <c r="M310" s="1">
        <f>IF(Data!M310&gt;0,Data!M310,"")</f>
        <v/>
      </c>
      <c r="N310" s="1">
        <f>IF(Data!N310&gt;0,Data!N310,"")</f>
        <v/>
      </c>
      <c r="O310" s="1">
        <f>IF(Data!O310&gt;0,Data!O310,"")</f>
        <v/>
      </c>
      <c r="P310" s="1">
        <f>IF(Data!P310&gt;0,Data!P310,"")</f>
        <v/>
      </c>
      <c r="Q310" s="1">
        <f>IF(Data!Q310&gt;0,Data!Q310,"")</f>
        <v/>
      </c>
      <c r="R310" s="1">
        <f>IF(Data!R310&gt;0,Data!R310,"")</f>
        <v/>
      </c>
      <c r="S310" s="1">
        <f>IF(Data!S310&gt;0,Data!S310,"")</f>
        <v/>
      </c>
      <c r="V310" s="3">
        <f>IF(COUNT(D310,J310,K310,L310,M310,O310)&gt;0,AVERAGE(D310,J310,K310,L310,M310,O310),"")</f>
        <v/>
      </c>
      <c r="W310" s="3">
        <f>IF(COUNT(C310,F310,G310,N310,Q310)&gt;0,AVERAGE(C310,F310,G310,N310,Q310),"")</f>
        <v/>
      </c>
      <c r="X310" s="3">
        <f>IF(COUNT(B310,E310,H310,I310,P310,R310,S310)&gt;0,AVERAGE(B310,E310,H310,I310,P310,R310,S310),"")</f>
        <v/>
      </c>
      <c r="Y310" s="3" t="n"/>
      <c r="AJ310">
        <f>IFERROR(AVERAGEIF($A$4:$A$1004,AI310,$V$4:$V$1004),"")</f>
        <v/>
      </c>
      <c r="AK310">
        <f>IFERROR(AVERAGEIF($A$4:$A$1004,AI310,$W$4:$W$1004),"")</f>
        <v/>
      </c>
      <c r="AL310">
        <f>IFERROR(AVERAGEIF($A$4:$A$1004,AI310,$X$4:$X$1004),"")</f>
        <v/>
      </c>
    </row>
    <row r="311">
      <c r="A311" s="1">
        <f>IF(Data!A311&gt;0,Data!A311,"")</f>
        <v/>
      </c>
      <c r="B311" s="1">
        <f>IF(Data!B311&gt;0,Data!B311,"")</f>
        <v/>
      </c>
      <c r="C311" s="1">
        <f>IF(Data!C311&gt;0,Data!C311,"")</f>
        <v/>
      </c>
      <c r="D311" s="1">
        <f>IF(Data!D311&gt;0,Data!D311,"")</f>
        <v/>
      </c>
      <c r="E311" s="1">
        <f>IF(Data!E311&gt;0,Data!E311,"")</f>
        <v/>
      </c>
      <c r="F311" s="1">
        <f>IF(Data!F311&gt;0,Data!F311,"")</f>
        <v/>
      </c>
      <c r="G311" s="1">
        <f>IF(Data!G311&gt;0,Data!G311,"")</f>
        <v/>
      </c>
      <c r="H311" s="1">
        <f>IF(Data!H311&gt;0,Data!H311,"")</f>
        <v/>
      </c>
      <c r="I311" s="1">
        <f>IF(Data!I311&gt;0,Data!I311,"")</f>
        <v/>
      </c>
      <c r="J311" s="1">
        <f>IF(Data!J311&gt;0,Data!J311,"")</f>
        <v/>
      </c>
      <c r="K311" s="1">
        <f>IF(Data!K311&gt;0,Data!K311,"")</f>
        <v/>
      </c>
      <c r="L311" s="1">
        <f>IF(Data!L311&gt;0,Data!L311,"")</f>
        <v/>
      </c>
      <c r="M311" s="1">
        <f>IF(Data!M311&gt;0,Data!M311,"")</f>
        <v/>
      </c>
      <c r="N311" s="1">
        <f>IF(Data!N311&gt;0,Data!N311,"")</f>
        <v/>
      </c>
      <c r="O311" s="1">
        <f>IF(Data!O311&gt;0,Data!O311,"")</f>
        <v/>
      </c>
      <c r="P311" s="1">
        <f>IF(Data!P311&gt;0,Data!P311,"")</f>
        <v/>
      </c>
      <c r="Q311" s="1">
        <f>IF(Data!Q311&gt;0,Data!Q311,"")</f>
        <v/>
      </c>
      <c r="R311" s="1">
        <f>IF(Data!R311&gt;0,Data!R311,"")</f>
        <v/>
      </c>
      <c r="S311" s="1">
        <f>IF(Data!S311&gt;0,Data!S311,"")</f>
        <v/>
      </c>
      <c r="V311" s="3">
        <f>IF(COUNT(D311,J311,K311,L311,M311,O311)&gt;0,AVERAGE(D311,J311,K311,L311,M311,O311),"")</f>
        <v/>
      </c>
      <c r="W311" s="3">
        <f>IF(COUNT(C311,F311,G311,N311,Q311)&gt;0,AVERAGE(C311,F311,G311,N311,Q311),"")</f>
        <v/>
      </c>
      <c r="X311" s="3">
        <f>IF(COUNT(B311,E311,H311,I311,P311,R311,S311)&gt;0,AVERAGE(B311,E311,H311,I311,P311,R311,S311),"")</f>
        <v/>
      </c>
      <c r="Y311" s="3" t="n"/>
      <c r="AJ311">
        <f>IFERROR(AVERAGEIF($A$4:$A$1004,AI311,$V$4:$V$1004),"")</f>
        <v/>
      </c>
      <c r="AK311">
        <f>IFERROR(AVERAGEIF($A$4:$A$1004,AI311,$W$4:$W$1004),"")</f>
        <v/>
      </c>
      <c r="AL311">
        <f>IFERROR(AVERAGEIF($A$4:$A$1004,AI311,$X$4:$X$1004),"")</f>
        <v/>
      </c>
    </row>
    <row r="312">
      <c r="A312" s="1">
        <f>IF(Data!A312&gt;0,Data!A312,"")</f>
        <v/>
      </c>
      <c r="B312" s="1">
        <f>IF(Data!B312&gt;0,Data!B312,"")</f>
        <v/>
      </c>
      <c r="C312" s="1">
        <f>IF(Data!C312&gt;0,Data!C312,"")</f>
        <v/>
      </c>
      <c r="D312" s="1">
        <f>IF(Data!D312&gt;0,Data!D312,"")</f>
        <v/>
      </c>
      <c r="E312" s="1">
        <f>IF(Data!E312&gt;0,Data!E312,"")</f>
        <v/>
      </c>
      <c r="F312" s="1">
        <f>IF(Data!F312&gt;0,Data!F312,"")</f>
        <v/>
      </c>
      <c r="G312" s="1">
        <f>IF(Data!G312&gt;0,Data!G312,"")</f>
        <v/>
      </c>
      <c r="H312" s="1">
        <f>IF(Data!H312&gt;0,Data!H312,"")</f>
        <v/>
      </c>
      <c r="I312" s="1">
        <f>IF(Data!I312&gt;0,Data!I312,"")</f>
        <v/>
      </c>
      <c r="J312" s="1">
        <f>IF(Data!J312&gt;0,Data!J312,"")</f>
        <v/>
      </c>
      <c r="K312" s="1">
        <f>IF(Data!K312&gt;0,Data!K312,"")</f>
        <v/>
      </c>
      <c r="L312" s="1">
        <f>IF(Data!L312&gt;0,Data!L312,"")</f>
        <v/>
      </c>
      <c r="M312" s="1">
        <f>IF(Data!M312&gt;0,Data!M312,"")</f>
        <v/>
      </c>
      <c r="N312" s="1">
        <f>IF(Data!N312&gt;0,Data!N312,"")</f>
        <v/>
      </c>
      <c r="O312" s="1">
        <f>IF(Data!O312&gt;0,Data!O312,"")</f>
        <v/>
      </c>
      <c r="P312" s="1">
        <f>IF(Data!P312&gt;0,Data!P312,"")</f>
        <v/>
      </c>
      <c r="Q312" s="1">
        <f>IF(Data!Q312&gt;0,Data!Q312,"")</f>
        <v/>
      </c>
      <c r="R312" s="1">
        <f>IF(Data!R312&gt;0,Data!R312,"")</f>
        <v/>
      </c>
      <c r="S312" s="1">
        <f>IF(Data!S312&gt;0,Data!S312,"")</f>
        <v/>
      </c>
      <c r="V312" s="3">
        <f>IF(COUNT(D312,J312,K312,L312,M312,O312)&gt;0,AVERAGE(D312,J312,K312,L312,M312,O312),"")</f>
        <v/>
      </c>
      <c r="W312" s="3">
        <f>IF(COUNT(C312,F312,G312,N312,Q312)&gt;0,AVERAGE(C312,F312,G312,N312,Q312),"")</f>
        <v/>
      </c>
      <c r="X312" s="3">
        <f>IF(COUNT(B312,E312,H312,I312,P312,R312,S312)&gt;0,AVERAGE(B312,E312,H312,I312,P312,R312,S312),"")</f>
        <v/>
      </c>
      <c r="Y312" s="3" t="n"/>
      <c r="AJ312">
        <f>IFERROR(AVERAGEIF($A$4:$A$1004,AI312,$V$4:$V$1004),"")</f>
        <v/>
      </c>
      <c r="AK312">
        <f>IFERROR(AVERAGEIF($A$4:$A$1004,AI312,$W$4:$W$1004),"")</f>
        <v/>
      </c>
      <c r="AL312">
        <f>IFERROR(AVERAGEIF($A$4:$A$1004,AI312,$X$4:$X$1004),"")</f>
        <v/>
      </c>
    </row>
    <row r="313">
      <c r="A313" s="1">
        <f>IF(Data!A313&gt;0,Data!A313,"")</f>
        <v/>
      </c>
      <c r="B313" s="1">
        <f>IF(Data!B313&gt;0,Data!B313,"")</f>
        <v/>
      </c>
      <c r="C313" s="1">
        <f>IF(Data!C313&gt;0,Data!C313,"")</f>
        <v/>
      </c>
      <c r="D313" s="1">
        <f>IF(Data!D313&gt;0,Data!D313,"")</f>
        <v/>
      </c>
      <c r="E313" s="1">
        <f>IF(Data!E313&gt;0,Data!E313,"")</f>
        <v/>
      </c>
      <c r="F313" s="1">
        <f>IF(Data!F313&gt;0,Data!F313,"")</f>
        <v/>
      </c>
      <c r="G313" s="1">
        <f>IF(Data!G313&gt;0,Data!G313,"")</f>
        <v/>
      </c>
      <c r="H313" s="1">
        <f>IF(Data!H313&gt;0,Data!H313,"")</f>
        <v/>
      </c>
      <c r="I313" s="1">
        <f>IF(Data!I313&gt;0,Data!I313,"")</f>
        <v/>
      </c>
      <c r="J313" s="1">
        <f>IF(Data!J313&gt;0,Data!J313,"")</f>
        <v/>
      </c>
      <c r="K313" s="1">
        <f>IF(Data!K313&gt;0,Data!K313,"")</f>
        <v/>
      </c>
      <c r="L313" s="1">
        <f>IF(Data!L313&gt;0,Data!L313,"")</f>
        <v/>
      </c>
      <c r="M313" s="1">
        <f>IF(Data!M313&gt;0,Data!M313,"")</f>
        <v/>
      </c>
      <c r="N313" s="1">
        <f>IF(Data!N313&gt;0,Data!N313,"")</f>
        <v/>
      </c>
      <c r="O313" s="1">
        <f>IF(Data!O313&gt;0,Data!O313,"")</f>
        <v/>
      </c>
      <c r="P313" s="1">
        <f>IF(Data!P313&gt;0,Data!P313,"")</f>
        <v/>
      </c>
      <c r="Q313" s="1">
        <f>IF(Data!Q313&gt;0,Data!Q313,"")</f>
        <v/>
      </c>
      <c r="R313" s="1">
        <f>IF(Data!R313&gt;0,Data!R313,"")</f>
        <v/>
      </c>
      <c r="S313" s="1">
        <f>IF(Data!S313&gt;0,Data!S313,"")</f>
        <v/>
      </c>
      <c r="V313" s="3">
        <f>IF(COUNT(D313,J313,K313,L313,M313,O313)&gt;0,AVERAGE(D313,J313,K313,L313,M313,O313),"")</f>
        <v/>
      </c>
      <c r="W313" s="3">
        <f>IF(COUNT(C313,F313,G313,N313,Q313)&gt;0,AVERAGE(C313,F313,G313,N313,Q313),"")</f>
        <v/>
      </c>
      <c r="X313" s="3">
        <f>IF(COUNT(B313,E313,H313,I313,P313,R313,S313)&gt;0,AVERAGE(B313,E313,H313,I313,P313,R313,S313),"")</f>
        <v/>
      </c>
      <c r="Y313" s="3" t="n"/>
      <c r="AJ313">
        <f>IFERROR(AVERAGEIF($A$4:$A$1004,AI313,$V$4:$V$1004),"")</f>
        <v/>
      </c>
      <c r="AK313">
        <f>IFERROR(AVERAGEIF($A$4:$A$1004,AI313,$W$4:$W$1004),"")</f>
        <v/>
      </c>
      <c r="AL313">
        <f>IFERROR(AVERAGEIF($A$4:$A$1004,AI313,$X$4:$X$1004),"")</f>
        <v/>
      </c>
    </row>
    <row r="314">
      <c r="A314" s="1">
        <f>IF(Data!A314&gt;0,Data!A314,"")</f>
        <v/>
      </c>
      <c r="B314" s="1">
        <f>IF(Data!B314&gt;0,Data!B314,"")</f>
        <v/>
      </c>
      <c r="C314" s="1">
        <f>IF(Data!C314&gt;0,Data!C314,"")</f>
        <v/>
      </c>
      <c r="D314" s="1">
        <f>IF(Data!D314&gt;0,Data!D314,"")</f>
        <v/>
      </c>
      <c r="E314" s="1">
        <f>IF(Data!E314&gt;0,Data!E314,"")</f>
        <v/>
      </c>
      <c r="F314" s="1">
        <f>IF(Data!F314&gt;0,Data!F314,"")</f>
        <v/>
      </c>
      <c r="G314" s="1">
        <f>IF(Data!G314&gt;0,Data!G314,"")</f>
        <v/>
      </c>
      <c r="H314" s="1">
        <f>IF(Data!H314&gt;0,Data!H314,"")</f>
        <v/>
      </c>
      <c r="I314" s="1">
        <f>IF(Data!I314&gt;0,Data!I314,"")</f>
        <v/>
      </c>
      <c r="J314" s="1">
        <f>IF(Data!J314&gt;0,Data!J314,"")</f>
        <v/>
      </c>
      <c r="K314" s="1">
        <f>IF(Data!K314&gt;0,Data!K314,"")</f>
        <v/>
      </c>
      <c r="L314" s="1">
        <f>IF(Data!L314&gt;0,Data!L314,"")</f>
        <v/>
      </c>
      <c r="M314" s="1">
        <f>IF(Data!M314&gt;0,Data!M314,"")</f>
        <v/>
      </c>
      <c r="N314" s="1">
        <f>IF(Data!N314&gt;0,Data!N314,"")</f>
        <v/>
      </c>
      <c r="O314" s="1">
        <f>IF(Data!O314&gt;0,Data!O314,"")</f>
        <v/>
      </c>
      <c r="P314" s="1">
        <f>IF(Data!P314&gt;0,Data!P314,"")</f>
        <v/>
      </c>
      <c r="Q314" s="1">
        <f>IF(Data!Q314&gt;0,Data!Q314,"")</f>
        <v/>
      </c>
      <c r="R314" s="1">
        <f>IF(Data!R314&gt;0,Data!R314,"")</f>
        <v/>
      </c>
      <c r="S314" s="1">
        <f>IF(Data!S314&gt;0,Data!S314,"")</f>
        <v/>
      </c>
      <c r="V314" s="3">
        <f>IF(COUNT(D314,J314,K314,L314,M314,O314)&gt;0,AVERAGE(D314,J314,K314,L314,M314,O314),"")</f>
        <v/>
      </c>
      <c r="W314" s="3">
        <f>IF(COUNT(C314,F314,G314,N314,Q314)&gt;0,AVERAGE(C314,F314,G314,N314,Q314),"")</f>
        <v/>
      </c>
      <c r="X314" s="3">
        <f>IF(COUNT(B314,E314,H314,I314,P314,R314,S314)&gt;0,AVERAGE(B314,E314,H314,I314,P314,R314,S314),"")</f>
        <v/>
      </c>
      <c r="Y314" s="3" t="n"/>
      <c r="AJ314">
        <f>IFERROR(AVERAGEIF($A$4:$A$1004,AI314,$V$4:$V$1004),"")</f>
        <v/>
      </c>
      <c r="AK314">
        <f>IFERROR(AVERAGEIF($A$4:$A$1004,AI314,$W$4:$W$1004),"")</f>
        <v/>
      </c>
      <c r="AL314">
        <f>IFERROR(AVERAGEIF($A$4:$A$1004,AI314,$X$4:$X$1004),"")</f>
        <v/>
      </c>
    </row>
    <row r="315">
      <c r="A315" s="1">
        <f>IF(Data!A315&gt;0,Data!A315,"")</f>
        <v/>
      </c>
      <c r="B315" s="1">
        <f>IF(Data!B315&gt;0,Data!B315,"")</f>
        <v/>
      </c>
      <c r="C315" s="1">
        <f>IF(Data!C315&gt;0,Data!C315,"")</f>
        <v/>
      </c>
      <c r="D315" s="1">
        <f>IF(Data!D315&gt;0,Data!D315,"")</f>
        <v/>
      </c>
      <c r="E315" s="1">
        <f>IF(Data!E315&gt;0,Data!E315,"")</f>
        <v/>
      </c>
      <c r="F315" s="1">
        <f>IF(Data!F315&gt;0,Data!F315,"")</f>
        <v/>
      </c>
      <c r="G315" s="1">
        <f>IF(Data!G315&gt;0,Data!G315,"")</f>
        <v/>
      </c>
      <c r="H315" s="1">
        <f>IF(Data!H315&gt;0,Data!H315,"")</f>
        <v/>
      </c>
      <c r="I315" s="1">
        <f>IF(Data!I315&gt;0,Data!I315,"")</f>
        <v/>
      </c>
      <c r="J315" s="1">
        <f>IF(Data!J315&gt;0,Data!J315,"")</f>
        <v/>
      </c>
      <c r="K315" s="1">
        <f>IF(Data!K315&gt;0,Data!K315,"")</f>
        <v/>
      </c>
      <c r="L315" s="1">
        <f>IF(Data!L315&gt;0,Data!L315,"")</f>
        <v/>
      </c>
      <c r="M315" s="1">
        <f>IF(Data!M315&gt;0,Data!M315,"")</f>
        <v/>
      </c>
      <c r="N315" s="1">
        <f>IF(Data!N315&gt;0,Data!N315,"")</f>
        <v/>
      </c>
      <c r="O315" s="1">
        <f>IF(Data!O315&gt;0,Data!O315,"")</f>
        <v/>
      </c>
      <c r="P315" s="1">
        <f>IF(Data!P315&gt;0,Data!P315,"")</f>
        <v/>
      </c>
      <c r="Q315" s="1">
        <f>IF(Data!Q315&gt;0,Data!Q315,"")</f>
        <v/>
      </c>
      <c r="R315" s="1">
        <f>IF(Data!R315&gt;0,Data!R315,"")</f>
        <v/>
      </c>
      <c r="S315" s="1">
        <f>IF(Data!S315&gt;0,Data!S315,"")</f>
        <v/>
      </c>
      <c r="V315" s="3">
        <f>IF(COUNT(D315,J315,K315,L315,M315,O315)&gt;0,AVERAGE(D315,J315,K315,L315,M315,O315),"")</f>
        <v/>
      </c>
      <c r="W315" s="3">
        <f>IF(COUNT(C315,F315,G315,N315,Q315)&gt;0,AVERAGE(C315,F315,G315,N315,Q315),"")</f>
        <v/>
      </c>
      <c r="X315" s="3">
        <f>IF(COUNT(B315,E315,H315,I315,P315,R315,S315)&gt;0,AVERAGE(B315,E315,H315,I315,P315,R315,S315),"")</f>
        <v/>
      </c>
      <c r="Y315" s="3" t="n"/>
      <c r="AJ315">
        <f>IFERROR(AVERAGEIF($A$4:$A$1004,AI315,$V$4:$V$1004),"")</f>
        <v/>
      </c>
      <c r="AK315">
        <f>IFERROR(AVERAGEIF($A$4:$A$1004,AI315,$W$4:$W$1004),"")</f>
        <v/>
      </c>
      <c r="AL315">
        <f>IFERROR(AVERAGEIF($A$4:$A$1004,AI315,$X$4:$X$1004),"")</f>
        <v/>
      </c>
    </row>
    <row r="316">
      <c r="A316" s="1">
        <f>IF(Data!A316&gt;0,Data!A316,"")</f>
        <v/>
      </c>
      <c r="B316" s="1">
        <f>IF(Data!B316&gt;0,Data!B316,"")</f>
        <v/>
      </c>
      <c r="C316" s="1">
        <f>IF(Data!C316&gt;0,Data!C316,"")</f>
        <v/>
      </c>
      <c r="D316" s="1">
        <f>IF(Data!D316&gt;0,Data!D316,"")</f>
        <v/>
      </c>
      <c r="E316" s="1">
        <f>IF(Data!E316&gt;0,Data!E316,"")</f>
        <v/>
      </c>
      <c r="F316" s="1">
        <f>IF(Data!F316&gt;0,Data!F316,"")</f>
        <v/>
      </c>
      <c r="G316" s="1">
        <f>IF(Data!G316&gt;0,Data!G316,"")</f>
        <v/>
      </c>
      <c r="H316" s="1">
        <f>IF(Data!H316&gt;0,Data!H316,"")</f>
        <v/>
      </c>
      <c r="I316" s="1">
        <f>IF(Data!I316&gt;0,Data!I316,"")</f>
        <v/>
      </c>
      <c r="J316" s="1">
        <f>IF(Data!J316&gt;0,Data!J316,"")</f>
        <v/>
      </c>
      <c r="K316" s="1">
        <f>IF(Data!K316&gt;0,Data!K316,"")</f>
        <v/>
      </c>
      <c r="L316" s="1">
        <f>IF(Data!L316&gt;0,Data!L316,"")</f>
        <v/>
      </c>
      <c r="M316" s="1">
        <f>IF(Data!M316&gt;0,Data!M316,"")</f>
        <v/>
      </c>
      <c r="N316" s="1">
        <f>IF(Data!N316&gt;0,Data!N316,"")</f>
        <v/>
      </c>
      <c r="O316" s="1">
        <f>IF(Data!O316&gt;0,Data!O316,"")</f>
        <v/>
      </c>
      <c r="P316" s="1">
        <f>IF(Data!P316&gt;0,Data!P316,"")</f>
        <v/>
      </c>
      <c r="Q316" s="1">
        <f>IF(Data!Q316&gt;0,Data!Q316,"")</f>
        <v/>
      </c>
      <c r="R316" s="1">
        <f>IF(Data!R316&gt;0,Data!R316,"")</f>
        <v/>
      </c>
      <c r="S316" s="1">
        <f>IF(Data!S316&gt;0,Data!S316,"")</f>
        <v/>
      </c>
      <c r="V316" s="3">
        <f>IF(COUNT(D316,J316,K316,L316,M316,O316)&gt;0,AVERAGE(D316,J316,K316,L316,M316,O316),"")</f>
        <v/>
      </c>
      <c r="W316" s="3">
        <f>IF(COUNT(C316,F316,G316,N316,Q316)&gt;0,AVERAGE(C316,F316,G316,N316,Q316),"")</f>
        <v/>
      </c>
      <c r="X316" s="3">
        <f>IF(COUNT(B316,E316,H316,I316,P316,R316,S316)&gt;0,AVERAGE(B316,E316,H316,I316,P316,R316,S316),"")</f>
        <v/>
      </c>
      <c r="Y316" s="3" t="n"/>
      <c r="AJ316">
        <f>IFERROR(AVERAGEIF($A$4:$A$1004,AI316,$V$4:$V$1004),"")</f>
        <v/>
      </c>
      <c r="AK316">
        <f>IFERROR(AVERAGEIF($A$4:$A$1004,AI316,$W$4:$W$1004),"")</f>
        <v/>
      </c>
      <c r="AL316">
        <f>IFERROR(AVERAGEIF($A$4:$A$1004,AI316,$X$4:$X$1004),"")</f>
        <v/>
      </c>
    </row>
    <row r="317">
      <c r="A317" s="1">
        <f>IF(Data!A317&gt;0,Data!A317,"")</f>
        <v/>
      </c>
      <c r="B317" s="1">
        <f>IF(Data!B317&gt;0,Data!B317,"")</f>
        <v/>
      </c>
      <c r="C317" s="1">
        <f>IF(Data!C317&gt;0,Data!C317,"")</f>
        <v/>
      </c>
      <c r="D317" s="1">
        <f>IF(Data!D317&gt;0,Data!D317,"")</f>
        <v/>
      </c>
      <c r="E317" s="1">
        <f>IF(Data!E317&gt;0,Data!E317,"")</f>
        <v/>
      </c>
      <c r="F317" s="1">
        <f>IF(Data!F317&gt;0,Data!F317,"")</f>
        <v/>
      </c>
      <c r="G317" s="1">
        <f>IF(Data!G317&gt;0,Data!G317,"")</f>
        <v/>
      </c>
      <c r="H317" s="1">
        <f>IF(Data!H317&gt;0,Data!H317,"")</f>
        <v/>
      </c>
      <c r="I317" s="1">
        <f>IF(Data!I317&gt;0,Data!I317,"")</f>
        <v/>
      </c>
      <c r="J317" s="1">
        <f>IF(Data!J317&gt;0,Data!J317,"")</f>
        <v/>
      </c>
      <c r="K317" s="1">
        <f>IF(Data!K317&gt;0,Data!K317,"")</f>
        <v/>
      </c>
      <c r="L317" s="1">
        <f>IF(Data!L317&gt;0,Data!L317,"")</f>
        <v/>
      </c>
      <c r="M317" s="1">
        <f>IF(Data!M317&gt;0,Data!M317,"")</f>
        <v/>
      </c>
      <c r="N317" s="1">
        <f>IF(Data!N317&gt;0,Data!N317,"")</f>
        <v/>
      </c>
      <c r="O317" s="1">
        <f>IF(Data!O317&gt;0,Data!O317,"")</f>
        <v/>
      </c>
      <c r="P317" s="1">
        <f>IF(Data!P317&gt;0,Data!P317,"")</f>
        <v/>
      </c>
      <c r="Q317" s="1">
        <f>IF(Data!Q317&gt;0,Data!Q317,"")</f>
        <v/>
      </c>
      <c r="R317" s="1">
        <f>IF(Data!R317&gt;0,Data!R317,"")</f>
        <v/>
      </c>
      <c r="S317" s="1">
        <f>IF(Data!S317&gt;0,Data!S317,"")</f>
        <v/>
      </c>
      <c r="V317" s="3">
        <f>IF(COUNT(D317,J317,K317,L317,M317,O317)&gt;0,AVERAGE(D317,J317,K317,L317,M317,O317),"")</f>
        <v/>
      </c>
      <c r="W317" s="3">
        <f>IF(COUNT(C317,F317,G317,N317,Q317)&gt;0,AVERAGE(C317,F317,G317,N317,Q317),"")</f>
        <v/>
      </c>
      <c r="X317" s="3">
        <f>IF(COUNT(B317,E317,H317,I317,P317,R317,S317)&gt;0,AVERAGE(B317,E317,H317,I317,P317,R317,S317),"")</f>
        <v/>
      </c>
      <c r="Y317" s="3" t="n"/>
      <c r="AJ317">
        <f>IFERROR(AVERAGEIF($A$4:$A$1004,AI317,$V$4:$V$1004),"")</f>
        <v/>
      </c>
      <c r="AK317">
        <f>IFERROR(AVERAGEIF($A$4:$A$1004,AI317,$W$4:$W$1004),"")</f>
        <v/>
      </c>
      <c r="AL317">
        <f>IFERROR(AVERAGEIF($A$4:$A$1004,AI317,$X$4:$X$1004),"")</f>
        <v/>
      </c>
    </row>
    <row r="318">
      <c r="A318" s="1">
        <f>IF(Data!A318&gt;0,Data!A318,"")</f>
        <v/>
      </c>
      <c r="B318" s="1">
        <f>IF(Data!B318&gt;0,Data!B318,"")</f>
        <v/>
      </c>
      <c r="C318" s="1">
        <f>IF(Data!C318&gt;0,Data!C318,"")</f>
        <v/>
      </c>
      <c r="D318" s="1">
        <f>IF(Data!D318&gt;0,Data!D318,"")</f>
        <v/>
      </c>
      <c r="E318" s="1">
        <f>IF(Data!E318&gt;0,Data!E318,"")</f>
        <v/>
      </c>
      <c r="F318" s="1">
        <f>IF(Data!F318&gt;0,Data!F318,"")</f>
        <v/>
      </c>
      <c r="G318" s="1">
        <f>IF(Data!G318&gt;0,Data!G318,"")</f>
        <v/>
      </c>
      <c r="H318" s="1">
        <f>IF(Data!H318&gt;0,Data!H318,"")</f>
        <v/>
      </c>
      <c r="I318" s="1">
        <f>IF(Data!I318&gt;0,Data!I318,"")</f>
        <v/>
      </c>
      <c r="J318" s="1">
        <f>IF(Data!J318&gt;0,Data!J318,"")</f>
        <v/>
      </c>
      <c r="K318" s="1">
        <f>IF(Data!K318&gt;0,Data!K318,"")</f>
        <v/>
      </c>
      <c r="L318" s="1">
        <f>IF(Data!L318&gt;0,Data!L318,"")</f>
        <v/>
      </c>
      <c r="M318" s="1">
        <f>IF(Data!M318&gt;0,Data!M318,"")</f>
        <v/>
      </c>
      <c r="N318" s="1">
        <f>IF(Data!N318&gt;0,Data!N318,"")</f>
        <v/>
      </c>
      <c r="O318" s="1">
        <f>IF(Data!O318&gt;0,Data!O318,"")</f>
        <v/>
      </c>
      <c r="P318" s="1">
        <f>IF(Data!P318&gt;0,Data!P318,"")</f>
        <v/>
      </c>
      <c r="Q318" s="1">
        <f>IF(Data!Q318&gt;0,Data!Q318,"")</f>
        <v/>
      </c>
      <c r="R318" s="1">
        <f>IF(Data!R318&gt;0,Data!R318,"")</f>
        <v/>
      </c>
      <c r="S318" s="1">
        <f>IF(Data!S318&gt;0,Data!S318,"")</f>
        <v/>
      </c>
      <c r="V318" s="3">
        <f>IF(COUNT(D318,J318,K318,L318,M318,O318)&gt;0,AVERAGE(D318,J318,K318,L318,M318,O318),"")</f>
        <v/>
      </c>
      <c r="W318" s="3">
        <f>IF(COUNT(C318,F318,G318,N318,Q318)&gt;0,AVERAGE(C318,F318,G318,N318,Q318),"")</f>
        <v/>
      </c>
      <c r="X318" s="3">
        <f>IF(COUNT(B318,E318,H318,I318,P318,R318,S318)&gt;0,AVERAGE(B318,E318,H318,I318,P318,R318,S318),"")</f>
        <v/>
      </c>
      <c r="Y318" s="3" t="n"/>
      <c r="AJ318">
        <f>IFERROR(AVERAGEIF($A$4:$A$1004,AI318,$V$4:$V$1004),"")</f>
        <v/>
      </c>
      <c r="AK318">
        <f>IFERROR(AVERAGEIF($A$4:$A$1004,AI318,$W$4:$W$1004),"")</f>
        <v/>
      </c>
      <c r="AL318">
        <f>IFERROR(AVERAGEIF($A$4:$A$1004,AI318,$X$4:$X$1004),"")</f>
        <v/>
      </c>
    </row>
    <row r="319">
      <c r="A319" s="1">
        <f>IF(Data!A319&gt;0,Data!A319,"")</f>
        <v/>
      </c>
      <c r="B319" s="1">
        <f>IF(Data!B319&gt;0,Data!B319,"")</f>
        <v/>
      </c>
      <c r="C319" s="1">
        <f>IF(Data!C319&gt;0,Data!C319,"")</f>
        <v/>
      </c>
      <c r="D319" s="1">
        <f>IF(Data!D319&gt;0,Data!D319,"")</f>
        <v/>
      </c>
      <c r="E319" s="1">
        <f>IF(Data!E319&gt;0,Data!E319,"")</f>
        <v/>
      </c>
      <c r="F319" s="1">
        <f>IF(Data!F319&gt;0,Data!F319,"")</f>
        <v/>
      </c>
      <c r="G319" s="1">
        <f>IF(Data!G319&gt;0,Data!G319,"")</f>
        <v/>
      </c>
      <c r="H319" s="1">
        <f>IF(Data!H319&gt;0,Data!H319,"")</f>
        <v/>
      </c>
      <c r="I319" s="1">
        <f>IF(Data!I319&gt;0,Data!I319,"")</f>
        <v/>
      </c>
      <c r="J319" s="1">
        <f>IF(Data!J319&gt;0,Data!J319,"")</f>
        <v/>
      </c>
      <c r="K319" s="1">
        <f>IF(Data!K319&gt;0,Data!K319,"")</f>
        <v/>
      </c>
      <c r="L319" s="1">
        <f>IF(Data!L319&gt;0,Data!L319,"")</f>
        <v/>
      </c>
      <c r="M319" s="1">
        <f>IF(Data!M319&gt;0,Data!M319,"")</f>
        <v/>
      </c>
      <c r="N319" s="1">
        <f>IF(Data!N319&gt;0,Data!N319,"")</f>
        <v/>
      </c>
      <c r="O319" s="1">
        <f>IF(Data!O319&gt;0,Data!O319,"")</f>
        <v/>
      </c>
      <c r="P319" s="1">
        <f>IF(Data!P319&gt;0,Data!P319,"")</f>
        <v/>
      </c>
      <c r="Q319" s="1">
        <f>IF(Data!Q319&gt;0,Data!Q319,"")</f>
        <v/>
      </c>
      <c r="R319" s="1">
        <f>IF(Data!R319&gt;0,Data!R319,"")</f>
        <v/>
      </c>
      <c r="S319" s="1">
        <f>IF(Data!S319&gt;0,Data!S319,"")</f>
        <v/>
      </c>
      <c r="V319" s="3">
        <f>IF(COUNT(D319,J319,K319,L319,M319,O319)&gt;0,AVERAGE(D319,J319,K319,L319,M319,O319),"")</f>
        <v/>
      </c>
      <c r="W319" s="3">
        <f>IF(COUNT(C319,F319,G319,N319,Q319)&gt;0,AVERAGE(C319,F319,G319,N319,Q319),"")</f>
        <v/>
      </c>
      <c r="X319" s="3">
        <f>IF(COUNT(B319,E319,H319,I319,P319,R319,S319)&gt;0,AVERAGE(B319,E319,H319,I319,P319,R319,S319),"")</f>
        <v/>
      </c>
      <c r="Y319" s="3" t="n"/>
      <c r="AJ319">
        <f>IFERROR(AVERAGEIF($A$4:$A$1004,AI319,$V$4:$V$1004),"")</f>
        <v/>
      </c>
      <c r="AK319">
        <f>IFERROR(AVERAGEIF($A$4:$A$1004,AI319,$W$4:$W$1004),"")</f>
        <v/>
      </c>
      <c r="AL319">
        <f>IFERROR(AVERAGEIF($A$4:$A$1004,AI319,$X$4:$X$1004),"")</f>
        <v/>
      </c>
    </row>
    <row r="320">
      <c r="A320" s="1">
        <f>IF(Data!A320&gt;0,Data!A320,"")</f>
        <v/>
      </c>
      <c r="B320" s="1">
        <f>IF(Data!B320&gt;0,Data!B320,"")</f>
        <v/>
      </c>
      <c r="C320" s="1">
        <f>IF(Data!C320&gt;0,Data!C320,"")</f>
        <v/>
      </c>
      <c r="D320" s="1">
        <f>IF(Data!D320&gt;0,Data!D320,"")</f>
        <v/>
      </c>
      <c r="E320" s="1">
        <f>IF(Data!E320&gt;0,Data!E320,"")</f>
        <v/>
      </c>
      <c r="F320" s="1">
        <f>IF(Data!F320&gt;0,Data!F320,"")</f>
        <v/>
      </c>
      <c r="G320" s="1">
        <f>IF(Data!G320&gt;0,Data!G320,"")</f>
        <v/>
      </c>
      <c r="H320" s="1">
        <f>IF(Data!H320&gt;0,Data!H320,"")</f>
        <v/>
      </c>
      <c r="I320" s="1">
        <f>IF(Data!I320&gt;0,Data!I320,"")</f>
        <v/>
      </c>
      <c r="J320" s="1">
        <f>IF(Data!J320&gt;0,Data!J320,"")</f>
        <v/>
      </c>
      <c r="K320" s="1">
        <f>IF(Data!K320&gt;0,Data!K320,"")</f>
        <v/>
      </c>
      <c r="L320" s="1">
        <f>IF(Data!L320&gt;0,Data!L320,"")</f>
        <v/>
      </c>
      <c r="M320" s="1">
        <f>IF(Data!M320&gt;0,Data!M320,"")</f>
        <v/>
      </c>
      <c r="N320" s="1">
        <f>IF(Data!N320&gt;0,Data!N320,"")</f>
        <v/>
      </c>
      <c r="O320" s="1">
        <f>IF(Data!O320&gt;0,Data!O320,"")</f>
        <v/>
      </c>
      <c r="P320" s="1">
        <f>IF(Data!P320&gt;0,Data!P320,"")</f>
        <v/>
      </c>
      <c r="Q320" s="1">
        <f>IF(Data!Q320&gt;0,Data!Q320,"")</f>
        <v/>
      </c>
      <c r="R320" s="1">
        <f>IF(Data!R320&gt;0,Data!R320,"")</f>
        <v/>
      </c>
      <c r="S320" s="1">
        <f>IF(Data!S320&gt;0,Data!S320,"")</f>
        <v/>
      </c>
      <c r="V320" s="3">
        <f>IF(COUNT(D320,J320,K320,L320,M320,O320)&gt;0,AVERAGE(D320,J320,K320,L320,M320,O320),"")</f>
        <v/>
      </c>
      <c r="W320" s="3">
        <f>IF(COUNT(C320,F320,G320,N320,Q320)&gt;0,AVERAGE(C320,F320,G320,N320,Q320),"")</f>
        <v/>
      </c>
      <c r="X320" s="3">
        <f>IF(COUNT(B320,E320,H320,I320,P320,R320,S320)&gt;0,AVERAGE(B320,E320,H320,I320,P320,R320,S320),"")</f>
        <v/>
      </c>
      <c r="Y320" s="3" t="n"/>
      <c r="AJ320">
        <f>IFERROR(AVERAGEIF($A$4:$A$1004,AI320,$V$4:$V$1004),"")</f>
        <v/>
      </c>
      <c r="AK320">
        <f>IFERROR(AVERAGEIF($A$4:$A$1004,AI320,$W$4:$W$1004),"")</f>
        <v/>
      </c>
      <c r="AL320">
        <f>IFERROR(AVERAGEIF($A$4:$A$1004,AI320,$X$4:$X$1004),"")</f>
        <v/>
      </c>
    </row>
    <row r="321">
      <c r="A321" s="1">
        <f>IF(Data!A321&gt;0,Data!A321,"")</f>
        <v/>
      </c>
      <c r="B321" s="1">
        <f>IF(Data!B321&gt;0,Data!B321,"")</f>
        <v/>
      </c>
      <c r="C321" s="1">
        <f>IF(Data!C321&gt;0,Data!C321,"")</f>
        <v/>
      </c>
      <c r="D321" s="1">
        <f>IF(Data!D321&gt;0,Data!D321,"")</f>
        <v/>
      </c>
      <c r="E321" s="1">
        <f>IF(Data!E321&gt;0,Data!E321,"")</f>
        <v/>
      </c>
      <c r="F321" s="1">
        <f>IF(Data!F321&gt;0,Data!F321,"")</f>
        <v/>
      </c>
      <c r="G321" s="1">
        <f>IF(Data!G321&gt;0,Data!G321,"")</f>
        <v/>
      </c>
      <c r="H321" s="1">
        <f>IF(Data!H321&gt;0,Data!H321,"")</f>
        <v/>
      </c>
      <c r="I321" s="1">
        <f>IF(Data!I321&gt;0,Data!I321,"")</f>
        <v/>
      </c>
      <c r="J321" s="1">
        <f>IF(Data!J321&gt;0,Data!J321,"")</f>
        <v/>
      </c>
      <c r="K321" s="1">
        <f>IF(Data!K321&gt;0,Data!K321,"")</f>
        <v/>
      </c>
      <c r="L321" s="1">
        <f>IF(Data!L321&gt;0,Data!L321,"")</f>
        <v/>
      </c>
      <c r="M321" s="1">
        <f>IF(Data!M321&gt;0,Data!M321,"")</f>
        <v/>
      </c>
      <c r="N321" s="1">
        <f>IF(Data!N321&gt;0,Data!N321,"")</f>
        <v/>
      </c>
      <c r="O321" s="1">
        <f>IF(Data!O321&gt;0,Data!O321,"")</f>
        <v/>
      </c>
      <c r="P321" s="1">
        <f>IF(Data!P321&gt;0,Data!P321,"")</f>
        <v/>
      </c>
      <c r="Q321" s="1">
        <f>IF(Data!Q321&gt;0,Data!Q321,"")</f>
        <v/>
      </c>
      <c r="R321" s="1">
        <f>IF(Data!R321&gt;0,Data!R321,"")</f>
        <v/>
      </c>
      <c r="S321" s="1">
        <f>IF(Data!S321&gt;0,Data!S321,"")</f>
        <v/>
      </c>
      <c r="V321" s="3">
        <f>IF(COUNT(D321,J321,K321,L321,M321,O321)&gt;0,AVERAGE(D321,J321,K321,L321,M321,O321),"")</f>
        <v/>
      </c>
      <c r="W321" s="3">
        <f>IF(COUNT(C321,F321,G321,N321,Q321)&gt;0,AVERAGE(C321,F321,G321,N321,Q321),"")</f>
        <v/>
      </c>
      <c r="X321" s="3">
        <f>IF(COUNT(B321,E321,H321,I321,P321,R321,S321)&gt;0,AVERAGE(B321,E321,H321,I321,P321,R321,S321),"")</f>
        <v/>
      </c>
      <c r="Y321" s="3" t="n"/>
      <c r="AJ321">
        <f>IFERROR(AVERAGEIF($A$4:$A$1004,AI321,$V$4:$V$1004),"")</f>
        <v/>
      </c>
      <c r="AK321">
        <f>IFERROR(AVERAGEIF($A$4:$A$1004,AI321,$W$4:$W$1004),"")</f>
        <v/>
      </c>
      <c r="AL321">
        <f>IFERROR(AVERAGEIF($A$4:$A$1004,AI321,$X$4:$X$1004),"")</f>
        <v/>
      </c>
    </row>
    <row r="322">
      <c r="A322" s="1">
        <f>IF(Data!A322&gt;0,Data!A322,"")</f>
        <v/>
      </c>
      <c r="B322" s="1">
        <f>IF(Data!B322&gt;0,Data!B322,"")</f>
        <v/>
      </c>
      <c r="C322" s="1">
        <f>IF(Data!C322&gt;0,Data!C322,"")</f>
        <v/>
      </c>
      <c r="D322" s="1">
        <f>IF(Data!D322&gt;0,Data!D322,"")</f>
        <v/>
      </c>
      <c r="E322" s="1">
        <f>IF(Data!E322&gt;0,Data!E322,"")</f>
        <v/>
      </c>
      <c r="F322" s="1">
        <f>IF(Data!F322&gt;0,Data!F322,"")</f>
        <v/>
      </c>
      <c r="G322" s="1">
        <f>IF(Data!G322&gt;0,Data!G322,"")</f>
        <v/>
      </c>
      <c r="H322" s="1">
        <f>IF(Data!H322&gt;0,Data!H322,"")</f>
        <v/>
      </c>
      <c r="I322" s="1">
        <f>IF(Data!I322&gt;0,Data!I322,"")</f>
        <v/>
      </c>
      <c r="J322" s="1">
        <f>IF(Data!J322&gt;0,Data!J322,"")</f>
        <v/>
      </c>
      <c r="K322" s="1">
        <f>IF(Data!K322&gt;0,Data!K322,"")</f>
        <v/>
      </c>
      <c r="L322" s="1">
        <f>IF(Data!L322&gt;0,Data!L322,"")</f>
        <v/>
      </c>
      <c r="M322" s="1">
        <f>IF(Data!M322&gt;0,Data!M322,"")</f>
        <v/>
      </c>
      <c r="N322" s="1">
        <f>IF(Data!N322&gt;0,Data!N322,"")</f>
        <v/>
      </c>
      <c r="O322" s="1">
        <f>IF(Data!O322&gt;0,Data!O322,"")</f>
        <v/>
      </c>
      <c r="P322" s="1">
        <f>IF(Data!P322&gt;0,Data!P322,"")</f>
        <v/>
      </c>
      <c r="Q322" s="1">
        <f>IF(Data!Q322&gt;0,Data!Q322,"")</f>
        <v/>
      </c>
      <c r="R322" s="1">
        <f>IF(Data!R322&gt;0,Data!R322,"")</f>
        <v/>
      </c>
      <c r="S322" s="1">
        <f>IF(Data!S322&gt;0,Data!S322,"")</f>
        <v/>
      </c>
      <c r="V322" s="3">
        <f>IF(COUNT(D322,J322,K322,L322,M322,O322)&gt;0,AVERAGE(D322,J322,K322,L322,M322,O322),"")</f>
        <v/>
      </c>
      <c r="W322" s="3">
        <f>IF(COUNT(C322,F322,G322,N322,Q322)&gt;0,AVERAGE(C322,F322,G322,N322,Q322),"")</f>
        <v/>
      </c>
      <c r="X322" s="3">
        <f>IF(COUNT(B322,E322,H322,I322,P322,R322,S322)&gt;0,AVERAGE(B322,E322,H322,I322,P322,R322,S322),"")</f>
        <v/>
      </c>
      <c r="Y322" s="3" t="n"/>
      <c r="AJ322">
        <f>IFERROR(AVERAGEIF($A$4:$A$1004,AI322,$V$4:$V$1004),"")</f>
        <v/>
      </c>
      <c r="AK322">
        <f>IFERROR(AVERAGEIF($A$4:$A$1004,AI322,$W$4:$W$1004),"")</f>
        <v/>
      </c>
      <c r="AL322">
        <f>IFERROR(AVERAGEIF($A$4:$A$1004,AI322,$X$4:$X$1004),"")</f>
        <v/>
      </c>
    </row>
    <row r="323">
      <c r="A323" s="1">
        <f>IF(Data!A323&gt;0,Data!A323,"")</f>
        <v/>
      </c>
      <c r="B323" s="1">
        <f>IF(Data!B323&gt;0,Data!B323,"")</f>
        <v/>
      </c>
      <c r="C323" s="1">
        <f>IF(Data!C323&gt;0,Data!C323,"")</f>
        <v/>
      </c>
      <c r="D323" s="1">
        <f>IF(Data!D323&gt;0,Data!D323,"")</f>
        <v/>
      </c>
      <c r="E323" s="1">
        <f>IF(Data!E323&gt;0,Data!E323,"")</f>
        <v/>
      </c>
      <c r="F323" s="1">
        <f>IF(Data!F323&gt;0,Data!F323,"")</f>
        <v/>
      </c>
      <c r="G323" s="1">
        <f>IF(Data!G323&gt;0,Data!G323,"")</f>
        <v/>
      </c>
      <c r="H323" s="1">
        <f>IF(Data!H323&gt;0,Data!H323,"")</f>
        <v/>
      </c>
      <c r="I323" s="1">
        <f>IF(Data!I323&gt;0,Data!I323,"")</f>
        <v/>
      </c>
      <c r="J323" s="1">
        <f>IF(Data!J323&gt;0,Data!J323,"")</f>
        <v/>
      </c>
      <c r="K323" s="1">
        <f>IF(Data!K323&gt;0,Data!K323,"")</f>
        <v/>
      </c>
      <c r="L323" s="1">
        <f>IF(Data!L323&gt;0,Data!L323,"")</f>
        <v/>
      </c>
      <c r="M323" s="1">
        <f>IF(Data!M323&gt;0,Data!M323,"")</f>
        <v/>
      </c>
      <c r="N323" s="1">
        <f>IF(Data!N323&gt;0,Data!N323,"")</f>
        <v/>
      </c>
      <c r="O323" s="1">
        <f>IF(Data!O323&gt;0,Data!O323,"")</f>
        <v/>
      </c>
      <c r="P323" s="1">
        <f>IF(Data!P323&gt;0,Data!P323,"")</f>
        <v/>
      </c>
      <c r="Q323" s="1">
        <f>IF(Data!Q323&gt;0,Data!Q323,"")</f>
        <v/>
      </c>
      <c r="R323" s="1">
        <f>IF(Data!R323&gt;0,Data!R323,"")</f>
        <v/>
      </c>
      <c r="S323" s="1">
        <f>IF(Data!S323&gt;0,Data!S323,"")</f>
        <v/>
      </c>
      <c r="V323" s="3">
        <f>IF(COUNT(D323,J323,K323,L323,M323,O323)&gt;0,AVERAGE(D323,J323,K323,L323,M323,O323),"")</f>
        <v/>
      </c>
      <c r="W323" s="3">
        <f>IF(COUNT(C323,F323,G323,N323,Q323)&gt;0,AVERAGE(C323,F323,G323,N323,Q323),"")</f>
        <v/>
      </c>
      <c r="X323" s="3">
        <f>IF(COUNT(B323,E323,H323,I323,P323,R323,S323)&gt;0,AVERAGE(B323,E323,H323,I323,P323,R323,S323),"")</f>
        <v/>
      </c>
      <c r="Y323" s="3" t="n"/>
      <c r="AJ323">
        <f>IFERROR(AVERAGEIF($A$4:$A$1004,AI323,$V$4:$V$1004),"")</f>
        <v/>
      </c>
      <c r="AK323">
        <f>IFERROR(AVERAGEIF($A$4:$A$1004,AI323,$W$4:$W$1004),"")</f>
        <v/>
      </c>
      <c r="AL323">
        <f>IFERROR(AVERAGEIF($A$4:$A$1004,AI323,$X$4:$X$1004),"")</f>
        <v/>
      </c>
    </row>
    <row r="324">
      <c r="A324" s="1">
        <f>IF(Data!A324&gt;0,Data!A324,"")</f>
        <v/>
      </c>
      <c r="B324" s="1">
        <f>IF(Data!B324&gt;0,Data!B324,"")</f>
        <v/>
      </c>
      <c r="C324" s="1">
        <f>IF(Data!C324&gt;0,Data!C324,"")</f>
        <v/>
      </c>
      <c r="D324" s="1">
        <f>IF(Data!D324&gt;0,Data!D324,"")</f>
        <v/>
      </c>
      <c r="E324" s="1">
        <f>IF(Data!E324&gt;0,Data!E324,"")</f>
        <v/>
      </c>
      <c r="F324" s="1">
        <f>IF(Data!F324&gt;0,Data!F324,"")</f>
        <v/>
      </c>
      <c r="G324" s="1">
        <f>IF(Data!G324&gt;0,Data!G324,"")</f>
        <v/>
      </c>
      <c r="H324" s="1">
        <f>IF(Data!H324&gt;0,Data!H324,"")</f>
        <v/>
      </c>
      <c r="I324" s="1">
        <f>IF(Data!I324&gt;0,Data!I324,"")</f>
        <v/>
      </c>
      <c r="J324" s="1">
        <f>IF(Data!J324&gt;0,Data!J324,"")</f>
        <v/>
      </c>
      <c r="K324" s="1">
        <f>IF(Data!K324&gt;0,Data!K324,"")</f>
        <v/>
      </c>
      <c r="L324" s="1">
        <f>IF(Data!L324&gt;0,Data!L324,"")</f>
        <v/>
      </c>
      <c r="M324" s="1">
        <f>IF(Data!M324&gt;0,Data!M324,"")</f>
        <v/>
      </c>
      <c r="N324" s="1">
        <f>IF(Data!N324&gt;0,Data!N324,"")</f>
        <v/>
      </c>
      <c r="O324" s="1">
        <f>IF(Data!O324&gt;0,Data!O324,"")</f>
        <v/>
      </c>
      <c r="P324" s="1">
        <f>IF(Data!P324&gt;0,Data!P324,"")</f>
        <v/>
      </c>
      <c r="Q324" s="1">
        <f>IF(Data!Q324&gt;0,Data!Q324,"")</f>
        <v/>
      </c>
      <c r="R324" s="1">
        <f>IF(Data!R324&gt;0,Data!R324,"")</f>
        <v/>
      </c>
      <c r="S324" s="1">
        <f>IF(Data!S324&gt;0,Data!S324,"")</f>
        <v/>
      </c>
      <c r="V324" s="3">
        <f>IF(COUNT(D324,J324,K324,L324,M324,O324)&gt;0,AVERAGE(D324,J324,K324,L324,M324,O324),"")</f>
        <v/>
      </c>
      <c r="W324" s="3">
        <f>IF(COUNT(C324,F324,G324,N324,Q324)&gt;0,AVERAGE(C324,F324,G324,N324,Q324),"")</f>
        <v/>
      </c>
      <c r="X324" s="3">
        <f>IF(COUNT(B324,E324,H324,I324,P324,R324,S324)&gt;0,AVERAGE(B324,E324,H324,I324,P324,R324,S324),"")</f>
        <v/>
      </c>
      <c r="Y324" s="3" t="n"/>
      <c r="AJ324">
        <f>IFERROR(AVERAGEIF($A$4:$A$1004,AI324,$V$4:$V$1004),"")</f>
        <v/>
      </c>
      <c r="AK324">
        <f>IFERROR(AVERAGEIF($A$4:$A$1004,AI324,$W$4:$W$1004),"")</f>
        <v/>
      </c>
      <c r="AL324">
        <f>IFERROR(AVERAGEIF($A$4:$A$1004,AI324,$X$4:$X$1004),"")</f>
        <v/>
      </c>
    </row>
    <row r="325">
      <c r="A325" s="1">
        <f>IF(Data!A325&gt;0,Data!A325,"")</f>
        <v/>
      </c>
      <c r="B325" s="1">
        <f>IF(Data!B325&gt;0,Data!B325,"")</f>
        <v/>
      </c>
      <c r="C325" s="1">
        <f>IF(Data!C325&gt;0,Data!C325,"")</f>
        <v/>
      </c>
      <c r="D325" s="1">
        <f>IF(Data!D325&gt;0,Data!D325,"")</f>
        <v/>
      </c>
      <c r="E325" s="1">
        <f>IF(Data!E325&gt;0,Data!E325,"")</f>
        <v/>
      </c>
      <c r="F325" s="1">
        <f>IF(Data!F325&gt;0,Data!F325,"")</f>
        <v/>
      </c>
      <c r="G325" s="1">
        <f>IF(Data!G325&gt;0,Data!G325,"")</f>
        <v/>
      </c>
      <c r="H325" s="1">
        <f>IF(Data!H325&gt;0,Data!H325,"")</f>
        <v/>
      </c>
      <c r="I325" s="1">
        <f>IF(Data!I325&gt;0,Data!I325,"")</f>
        <v/>
      </c>
      <c r="J325" s="1">
        <f>IF(Data!J325&gt;0,Data!J325,"")</f>
        <v/>
      </c>
      <c r="K325" s="1">
        <f>IF(Data!K325&gt;0,Data!K325,"")</f>
        <v/>
      </c>
      <c r="L325" s="1">
        <f>IF(Data!L325&gt;0,Data!L325,"")</f>
        <v/>
      </c>
      <c r="M325" s="1">
        <f>IF(Data!M325&gt;0,Data!M325,"")</f>
        <v/>
      </c>
      <c r="N325" s="1">
        <f>IF(Data!N325&gt;0,Data!N325,"")</f>
        <v/>
      </c>
      <c r="O325" s="1">
        <f>IF(Data!O325&gt;0,Data!O325,"")</f>
        <v/>
      </c>
      <c r="P325" s="1">
        <f>IF(Data!P325&gt;0,Data!P325,"")</f>
        <v/>
      </c>
      <c r="Q325" s="1">
        <f>IF(Data!Q325&gt;0,Data!Q325,"")</f>
        <v/>
      </c>
      <c r="R325" s="1">
        <f>IF(Data!R325&gt;0,Data!R325,"")</f>
        <v/>
      </c>
      <c r="S325" s="1">
        <f>IF(Data!S325&gt;0,Data!S325,"")</f>
        <v/>
      </c>
      <c r="V325" s="3">
        <f>IF(COUNT(D325,J325,K325,L325,M325,O325)&gt;0,AVERAGE(D325,J325,K325,L325,M325,O325),"")</f>
        <v/>
      </c>
      <c r="W325" s="3">
        <f>IF(COUNT(C325,F325,G325,N325,Q325)&gt;0,AVERAGE(C325,F325,G325,N325,Q325),"")</f>
        <v/>
      </c>
      <c r="X325" s="3">
        <f>IF(COUNT(B325,E325,H325,I325,P325,R325,S325)&gt;0,AVERAGE(B325,E325,H325,I325,P325,R325,S325),"")</f>
        <v/>
      </c>
      <c r="Y325" s="3" t="n"/>
      <c r="AJ325">
        <f>IFERROR(AVERAGEIF($A$4:$A$1004,AI325,$V$4:$V$1004),"")</f>
        <v/>
      </c>
      <c r="AK325">
        <f>IFERROR(AVERAGEIF($A$4:$A$1004,AI325,$W$4:$W$1004),"")</f>
        <v/>
      </c>
      <c r="AL325">
        <f>IFERROR(AVERAGEIF($A$4:$A$1004,AI325,$X$4:$X$1004),"")</f>
        <v/>
      </c>
    </row>
    <row r="326">
      <c r="A326" s="1">
        <f>IF(Data!A326&gt;0,Data!A326,"")</f>
        <v/>
      </c>
      <c r="B326" s="1">
        <f>IF(Data!B326&gt;0,Data!B326,"")</f>
        <v/>
      </c>
      <c r="C326" s="1">
        <f>IF(Data!C326&gt;0,Data!C326,"")</f>
        <v/>
      </c>
      <c r="D326" s="1">
        <f>IF(Data!D326&gt;0,Data!D326,"")</f>
        <v/>
      </c>
      <c r="E326" s="1">
        <f>IF(Data!E326&gt;0,Data!E326,"")</f>
        <v/>
      </c>
      <c r="F326" s="1">
        <f>IF(Data!F326&gt;0,Data!F326,"")</f>
        <v/>
      </c>
      <c r="G326" s="1">
        <f>IF(Data!G326&gt;0,Data!G326,"")</f>
        <v/>
      </c>
      <c r="H326" s="1">
        <f>IF(Data!H326&gt;0,Data!H326,"")</f>
        <v/>
      </c>
      <c r="I326" s="1">
        <f>IF(Data!I326&gt;0,Data!I326,"")</f>
        <v/>
      </c>
      <c r="J326" s="1">
        <f>IF(Data!J326&gt;0,Data!J326,"")</f>
        <v/>
      </c>
      <c r="K326" s="1">
        <f>IF(Data!K326&gt;0,Data!K326,"")</f>
        <v/>
      </c>
      <c r="L326" s="1">
        <f>IF(Data!L326&gt;0,Data!L326,"")</f>
        <v/>
      </c>
      <c r="M326" s="1">
        <f>IF(Data!M326&gt;0,Data!M326,"")</f>
        <v/>
      </c>
      <c r="N326" s="1">
        <f>IF(Data!N326&gt;0,Data!N326,"")</f>
        <v/>
      </c>
      <c r="O326" s="1">
        <f>IF(Data!O326&gt;0,Data!O326,"")</f>
        <v/>
      </c>
      <c r="P326" s="1">
        <f>IF(Data!P326&gt;0,Data!P326,"")</f>
        <v/>
      </c>
      <c r="Q326" s="1">
        <f>IF(Data!Q326&gt;0,Data!Q326,"")</f>
        <v/>
      </c>
      <c r="R326" s="1">
        <f>IF(Data!R326&gt;0,Data!R326,"")</f>
        <v/>
      </c>
      <c r="S326" s="1">
        <f>IF(Data!S326&gt;0,Data!S326,"")</f>
        <v/>
      </c>
      <c r="V326" s="3">
        <f>IF(COUNT(D326,J326,K326,L326,M326,O326)&gt;0,AVERAGE(D326,J326,K326,L326,M326,O326),"")</f>
        <v/>
      </c>
      <c r="W326" s="3">
        <f>IF(COUNT(C326,F326,G326,N326,Q326)&gt;0,AVERAGE(C326,F326,G326,N326,Q326),"")</f>
        <v/>
      </c>
      <c r="X326" s="3">
        <f>IF(COUNT(B326,E326,H326,I326,P326,R326,S326)&gt;0,AVERAGE(B326,E326,H326,I326,P326,R326,S326),"")</f>
        <v/>
      </c>
      <c r="Y326" s="3" t="n"/>
      <c r="AJ326">
        <f>IFERROR(AVERAGEIF($A$4:$A$1004,AI326,$V$4:$V$1004),"")</f>
        <v/>
      </c>
      <c r="AK326">
        <f>IFERROR(AVERAGEIF($A$4:$A$1004,AI326,$W$4:$W$1004),"")</f>
        <v/>
      </c>
      <c r="AL326">
        <f>IFERROR(AVERAGEIF($A$4:$A$1004,AI326,$X$4:$X$1004),"")</f>
        <v/>
      </c>
    </row>
    <row r="327">
      <c r="A327" s="1">
        <f>IF(Data!A327&gt;0,Data!A327,"")</f>
        <v/>
      </c>
      <c r="B327" s="1">
        <f>IF(Data!B327&gt;0,Data!B327,"")</f>
        <v/>
      </c>
      <c r="C327" s="1">
        <f>IF(Data!C327&gt;0,Data!C327,"")</f>
        <v/>
      </c>
      <c r="D327" s="1">
        <f>IF(Data!D327&gt;0,Data!D327,"")</f>
        <v/>
      </c>
      <c r="E327" s="1">
        <f>IF(Data!E327&gt;0,Data!E327,"")</f>
        <v/>
      </c>
      <c r="F327" s="1">
        <f>IF(Data!F327&gt;0,Data!F327,"")</f>
        <v/>
      </c>
      <c r="G327" s="1">
        <f>IF(Data!G327&gt;0,Data!G327,"")</f>
        <v/>
      </c>
      <c r="H327" s="1">
        <f>IF(Data!H327&gt;0,Data!H327,"")</f>
        <v/>
      </c>
      <c r="I327" s="1">
        <f>IF(Data!I327&gt;0,Data!I327,"")</f>
        <v/>
      </c>
      <c r="J327" s="1">
        <f>IF(Data!J327&gt;0,Data!J327,"")</f>
        <v/>
      </c>
      <c r="K327" s="1">
        <f>IF(Data!K327&gt;0,Data!K327,"")</f>
        <v/>
      </c>
      <c r="L327" s="1">
        <f>IF(Data!L327&gt;0,Data!L327,"")</f>
        <v/>
      </c>
      <c r="M327" s="1">
        <f>IF(Data!M327&gt;0,Data!M327,"")</f>
        <v/>
      </c>
      <c r="N327" s="1">
        <f>IF(Data!N327&gt;0,Data!N327,"")</f>
        <v/>
      </c>
      <c r="O327" s="1">
        <f>IF(Data!O327&gt;0,Data!O327,"")</f>
        <v/>
      </c>
      <c r="P327" s="1">
        <f>IF(Data!P327&gt;0,Data!P327,"")</f>
        <v/>
      </c>
      <c r="Q327" s="1">
        <f>IF(Data!Q327&gt;0,Data!Q327,"")</f>
        <v/>
      </c>
      <c r="R327" s="1">
        <f>IF(Data!R327&gt;0,Data!R327,"")</f>
        <v/>
      </c>
      <c r="S327" s="1">
        <f>IF(Data!S327&gt;0,Data!S327,"")</f>
        <v/>
      </c>
      <c r="V327" s="3">
        <f>IF(COUNT(D327,J327,K327,L327,M327,O327)&gt;0,AVERAGE(D327,J327,K327,L327,M327,O327),"")</f>
        <v/>
      </c>
      <c r="W327" s="3">
        <f>IF(COUNT(C327,F327,G327,N327,Q327)&gt;0,AVERAGE(C327,F327,G327,N327,Q327),"")</f>
        <v/>
      </c>
      <c r="X327" s="3">
        <f>IF(COUNT(B327,E327,H327,I327,P327,R327,S327)&gt;0,AVERAGE(B327,E327,H327,I327,P327,R327,S327),"")</f>
        <v/>
      </c>
      <c r="Y327" s="3" t="n"/>
      <c r="AJ327">
        <f>IFERROR(AVERAGEIF($A$4:$A$1004,AI327,$V$4:$V$1004),"")</f>
        <v/>
      </c>
      <c r="AK327">
        <f>IFERROR(AVERAGEIF($A$4:$A$1004,AI327,$W$4:$W$1004),"")</f>
        <v/>
      </c>
      <c r="AL327">
        <f>IFERROR(AVERAGEIF($A$4:$A$1004,AI327,$X$4:$X$1004),"")</f>
        <v/>
      </c>
    </row>
    <row r="328">
      <c r="A328" s="1">
        <f>IF(Data!A328&gt;0,Data!A328,"")</f>
        <v/>
      </c>
      <c r="B328" s="1">
        <f>IF(Data!B328&gt;0,Data!B328,"")</f>
        <v/>
      </c>
      <c r="C328" s="1">
        <f>IF(Data!C328&gt;0,Data!C328,"")</f>
        <v/>
      </c>
      <c r="D328" s="1">
        <f>IF(Data!D328&gt;0,Data!D328,"")</f>
        <v/>
      </c>
      <c r="E328" s="1">
        <f>IF(Data!E328&gt;0,Data!E328,"")</f>
        <v/>
      </c>
      <c r="F328" s="1">
        <f>IF(Data!F328&gt;0,Data!F328,"")</f>
        <v/>
      </c>
      <c r="G328" s="1">
        <f>IF(Data!G328&gt;0,Data!G328,"")</f>
        <v/>
      </c>
      <c r="H328" s="1">
        <f>IF(Data!H328&gt;0,Data!H328,"")</f>
        <v/>
      </c>
      <c r="I328" s="1">
        <f>IF(Data!I328&gt;0,Data!I328,"")</f>
        <v/>
      </c>
      <c r="J328" s="1">
        <f>IF(Data!J328&gt;0,Data!J328,"")</f>
        <v/>
      </c>
      <c r="K328" s="1">
        <f>IF(Data!K328&gt;0,Data!K328,"")</f>
        <v/>
      </c>
      <c r="L328" s="1">
        <f>IF(Data!L328&gt;0,Data!L328,"")</f>
        <v/>
      </c>
      <c r="M328" s="1">
        <f>IF(Data!M328&gt;0,Data!M328,"")</f>
        <v/>
      </c>
      <c r="N328" s="1">
        <f>IF(Data!N328&gt;0,Data!N328,"")</f>
        <v/>
      </c>
      <c r="O328" s="1">
        <f>IF(Data!O328&gt;0,Data!O328,"")</f>
        <v/>
      </c>
      <c r="P328" s="1">
        <f>IF(Data!P328&gt;0,Data!P328,"")</f>
        <v/>
      </c>
      <c r="Q328" s="1">
        <f>IF(Data!Q328&gt;0,Data!Q328,"")</f>
        <v/>
      </c>
      <c r="R328" s="1">
        <f>IF(Data!R328&gt;0,Data!R328,"")</f>
        <v/>
      </c>
      <c r="S328" s="1">
        <f>IF(Data!S328&gt;0,Data!S328,"")</f>
        <v/>
      </c>
      <c r="V328" s="3">
        <f>IF(COUNT(D328,J328,K328,L328,M328,O328)&gt;0,AVERAGE(D328,J328,K328,L328,M328,O328),"")</f>
        <v/>
      </c>
      <c r="W328" s="3">
        <f>IF(COUNT(C328,F328,G328,N328,Q328)&gt;0,AVERAGE(C328,F328,G328,N328,Q328),"")</f>
        <v/>
      </c>
      <c r="X328" s="3">
        <f>IF(COUNT(B328,E328,H328,I328,P328,R328,S328)&gt;0,AVERAGE(B328,E328,H328,I328,P328,R328,S328),"")</f>
        <v/>
      </c>
      <c r="Y328" s="3" t="n"/>
      <c r="AJ328">
        <f>IFERROR(AVERAGEIF($A$4:$A$1004,AI328,$V$4:$V$1004),"")</f>
        <v/>
      </c>
      <c r="AK328">
        <f>IFERROR(AVERAGEIF($A$4:$A$1004,AI328,$W$4:$W$1004),"")</f>
        <v/>
      </c>
      <c r="AL328">
        <f>IFERROR(AVERAGEIF($A$4:$A$1004,AI328,$X$4:$X$1004),"")</f>
        <v/>
      </c>
    </row>
    <row r="329">
      <c r="A329" s="1">
        <f>IF(Data!A329&gt;0,Data!A329,"")</f>
        <v/>
      </c>
      <c r="B329" s="1">
        <f>IF(Data!B329&gt;0,Data!B329,"")</f>
        <v/>
      </c>
      <c r="C329" s="1">
        <f>IF(Data!C329&gt;0,Data!C329,"")</f>
        <v/>
      </c>
      <c r="D329" s="1">
        <f>IF(Data!D329&gt;0,Data!D329,"")</f>
        <v/>
      </c>
      <c r="E329" s="1">
        <f>IF(Data!E329&gt;0,Data!E329,"")</f>
        <v/>
      </c>
      <c r="F329" s="1">
        <f>IF(Data!F329&gt;0,Data!F329,"")</f>
        <v/>
      </c>
      <c r="G329" s="1">
        <f>IF(Data!G329&gt;0,Data!G329,"")</f>
        <v/>
      </c>
      <c r="H329" s="1">
        <f>IF(Data!H329&gt;0,Data!H329,"")</f>
        <v/>
      </c>
      <c r="I329" s="1">
        <f>IF(Data!I329&gt;0,Data!I329,"")</f>
        <v/>
      </c>
      <c r="J329" s="1">
        <f>IF(Data!J329&gt;0,Data!J329,"")</f>
        <v/>
      </c>
      <c r="K329" s="1">
        <f>IF(Data!K329&gt;0,Data!K329,"")</f>
        <v/>
      </c>
      <c r="L329" s="1">
        <f>IF(Data!L329&gt;0,Data!L329,"")</f>
        <v/>
      </c>
      <c r="M329" s="1">
        <f>IF(Data!M329&gt;0,Data!M329,"")</f>
        <v/>
      </c>
      <c r="N329" s="1">
        <f>IF(Data!N329&gt;0,Data!N329,"")</f>
        <v/>
      </c>
      <c r="O329" s="1">
        <f>IF(Data!O329&gt;0,Data!O329,"")</f>
        <v/>
      </c>
      <c r="P329" s="1">
        <f>IF(Data!P329&gt;0,Data!P329,"")</f>
        <v/>
      </c>
      <c r="Q329" s="1">
        <f>IF(Data!Q329&gt;0,Data!Q329,"")</f>
        <v/>
      </c>
      <c r="R329" s="1">
        <f>IF(Data!R329&gt;0,Data!R329,"")</f>
        <v/>
      </c>
      <c r="S329" s="1">
        <f>IF(Data!S329&gt;0,Data!S329,"")</f>
        <v/>
      </c>
      <c r="V329" s="3">
        <f>IF(COUNT(D329,J329,K329,L329,M329,O329)&gt;0,AVERAGE(D329,J329,K329,L329,M329,O329),"")</f>
        <v/>
      </c>
      <c r="W329" s="3">
        <f>IF(COUNT(C329,F329,G329,N329,Q329)&gt;0,AVERAGE(C329,F329,G329,N329,Q329),"")</f>
        <v/>
      </c>
      <c r="X329" s="3">
        <f>IF(COUNT(B329,E329,H329,I329,P329,R329,S329)&gt;0,AVERAGE(B329,E329,H329,I329,P329,R329,S329),"")</f>
        <v/>
      </c>
      <c r="Y329" s="3" t="n"/>
      <c r="AJ329">
        <f>IFERROR(AVERAGEIF($A$4:$A$1004,AI329,$V$4:$V$1004),"")</f>
        <v/>
      </c>
      <c r="AK329">
        <f>IFERROR(AVERAGEIF($A$4:$A$1004,AI329,$W$4:$W$1004),"")</f>
        <v/>
      </c>
      <c r="AL329">
        <f>IFERROR(AVERAGEIF($A$4:$A$1004,AI329,$X$4:$X$1004),"")</f>
        <v/>
      </c>
    </row>
    <row r="330">
      <c r="A330" s="1">
        <f>IF(Data!A330&gt;0,Data!A330,"")</f>
        <v/>
      </c>
      <c r="B330" s="1">
        <f>IF(Data!B330&gt;0,Data!B330,"")</f>
        <v/>
      </c>
      <c r="C330" s="1">
        <f>IF(Data!C330&gt;0,Data!C330,"")</f>
        <v/>
      </c>
      <c r="D330" s="1">
        <f>IF(Data!D330&gt;0,Data!D330,"")</f>
        <v/>
      </c>
      <c r="E330" s="1">
        <f>IF(Data!E330&gt;0,Data!E330,"")</f>
        <v/>
      </c>
      <c r="F330" s="1">
        <f>IF(Data!F330&gt;0,Data!F330,"")</f>
        <v/>
      </c>
      <c r="G330" s="1">
        <f>IF(Data!G330&gt;0,Data!G330,"")</f>
        <v/>
      </c>
      <c r="H330" s="1">
        <f>IF(Data!H330&gt;0,Data!H330,"")</f>
        <v/>
      </c>
      <c r="I330" s="1">
        <f>IF(Data!I330&gt;0,Data!I330,"")</f>
        <v/>
      </c>
      <c r="J330" s="1">
        <f>IF(Data!J330&gt;0,Data!J330,"")</f>
        <v/>
      </c>
      <c r="K330" s="1">
        <f>IF(Data!K330&gt;0,Data!K330,"")</f>
        <v/>
      </c>
      <c r="L330" s="1">
        <f>IF(Data!L330&gt;0,Data!L330,"")</f>
        <v/>
      </c>
      <c r="M330" s="1">
        <f>IF(Data!M330&gt;0,Data!M330,"")</f>
        <v/>
      </c>
      <c r="N330" s="1">
        <f>IF(Data!N330&gt;0,Data!N330,"")</f>
        <v/>
      </c>
      <c r="O330" s="1">
        <f>IF(Data!O330&gt;0,Data!O330,"")</f>
        <v/>
      </c>
      <c r="P330" s="1">
        <f>IF(Data!P330&gt;0,Data!P330,"")</f>
        <v/>
      </c>
      <c r="Q330" s="1">
        <f>IF(Data!Q330&gt;0,Data!Q330,"")</f>
        <v/>
      </c>
      <c r="R330" s="1">
        <f>IF(Data!R330&gt;0,Data!R330,"")</f>
        <v/>
      </c>
      <c r="S330" s="1">
        <f>IF(Data!S330&gt;0,Data!S330,"")</f>
        <v/>
      </c>
      <c r="V330" s="3">
        <f>IF(COUNT(D330,J330,K330,L330,M330,O330)&gt;0,AVERAGE(D330,J330,K330,L330,M330,O330),"")</f>
        <v/>
      </c>
      <c r="W330" s="3">
        <f>IF(COUNT(C330,F330,G330,N330,Q330)&gt;0,AVERAGE(C330,F330,G330,N330,Q330),"")</f>
        <v/>
      </c>
      <c r="X330" s="3">
        <f>IF(COUNT(B330,E330,H330,I330,P330,R330,S330)&gt;0,AVERAGE(B330,E330,H330,I330,P330,R330,S330),"")</f>
        <v/>
      </c>
      <c r="Y330" s="3" t="n"/>
      <c r="AJ330">
        <f>IFERROR(AVERAGEIF($A$4:$A$1004,AI330,$V$4:$V$1004),"")</f>
        <v/>
      </c>
      <c r="AK330">
        <f>IFERROR(AVERAGEIF($A$4:$A$1004,AI330,$W$4:$W$1004),"")</f>
        <v/>
      </c>
      <c r="AL330">
        <f>IFERROR(AVERAGEIF($A$4:$A$1004,AI330,$X$4:$X$1004),"")</f>
        <v/>
      </c>
    </row>
    <row r="331">
      <c r="A331" s="1">
        <f>IF(Data!A331&gt;0,Data!A331,"")</f>
        <v/>
      </c>
      <c r="B331" s="1">
        <f>IF(Data!B331&gt;0,Data!B331,"")</f>
        <v/>
      </c>
      <c r="C331" s="1">
        <f>IF(Data!C331&gt;0,Data!C331,"")</f>
        <v/>
      </c>
      <c r="D331" s="1">
        <f>IF(Data!D331&gt;0,Data!D331,"")</f>
        <v/>
      </c>
      <c r="E331" s="1">
        <f>IF(Data!E331&gt;0,Data!E331,"")</f>
        <v/>
      </c>
      <c r="F331" s="1">
        <f>IF(Data!F331&gt;0,Data!F331,"")</f>
        <v/>
      </c>
      <c r="G331" s="1">
        <f>IF(Data!G331&gt;0,Data!G331,"")</f>
        <v/>
      </c>
      <c r="H331" s="1">
        <f>IF(Data!H331&gt;0,Data!H331,"")</f>
        <v/>
      </c>
      <c r="I331" s="1">
        <f>IF(Data!I331&gt;0,Data!I331,"")</f>
        <v/>
      </c>
      <c r="J331" s="1">
        <f>IF(Data!J331&gt;0,Data!J331,"")</f>
        <v/>
      </c>
      <c r="K331" s="1">
        <f>IF(Data!K331&gt;0,Data!K331,"")</f>
        <v/>
      </c>
      <c r="L331" s="1">
        <f>IF(Data!L331&gt;0,Data!L331,"")</f>
        <v/>
      </c>
      <c r="M331" s="1">
        <f>IF(Data!M331&gt;0,Data!M331,"")</f>
        <v/>
      </c>
      <c r="N331" s="1">
        <f>IF(Data!N331&gt;0,Data!N331,"")</f>
        <v/>
      </c>
      <c r="O331" s="1">
        <f>IF(Data!O331&gt;0,Data!O331,"")</f>
        <v/>
      </c>
      <c r="P331" s="1">
        <f>IF(Data!P331&gt;0,Data!P331,"")</f>
        <v/>
      </c>
      <c r="Q331" s="1">
        <f>IF(Data!Q331&gt;0,Data!Q331,"")</f>
        <v/>
      </c>
      <c r="R331" s="1">
        <f>IF(Data!R331&gt;0,Data!R331,"")</f>
        <v/>
      </c>
      <c r="S331" s="1">
        <f>IF(Data!S331&gt;0,Data!S331,"")</f>
        <v/>
      </c>
      <c r="V331" s="3">
        <f>IF(COUNT(D331,J331,K331,L331,M331,O331)&gt;0,AVERAGE(D331,J331,K331,L331,M331,O331),"")</f>
        <v/>
      </c>
      <c r="W331" s="3">
        <f>IF(COUNT(C331,F331,G331,N331,Q331)&gt;0,AVERAGE(C331,F331,G331,N331,Q331),"")</f>
        <v/>
      </c>
      <c r="X331" s="3">
        <f>IF(COUNT(B331,E331,H331,I331,P331,R331,S331)&gt;0,AVERAGE(B331,E331,H331,I331,P331,R331,S331),"")</f>
        <v/>
      </c>
      <c r="Y331" s="3" t="n"/>
      <c r="AJ331">
        <f>IFERROR(AVERAGEIF($A$4:$A$1004,AI331,$V$4:$V$1004),"")</f>
        <v/>
      </c>
      <c r="AK331">
        <f>IFERROR(AVERAGEIF($A$4:$A$1004,AI331,$W$4:$W$1004),"")</f>
        <v/>
      </c>
      <c r="AL331">
        <f>IFERROR(AVERAGEIF($A$4:$A$1004,AI331,$X$4:$X$1004),"")</f>
        <v/>
      </c>
    </row>
    <row r="332">
      <c r="A332" s="1">
        <f>IF(Data!A332&gt;0,Data!A332,"")</f>
        <v/>
      </c>
      <c r="B332" s="1">
        <f>IF(Data!B332&gt;0,Data!B332,"")</f>
        <v/>
      </c>
      <c r="C332" s="1">
        <f>IF(Data!C332&gt;0,Data!C332,"")</f>
        <v/>
      </c>
      <c r="D332" s="1">
        <f>IF(Data!D332&gt;0,Data!D332,"")</f>
        <v/>
      </c>
      <c r="E332" s="1">
        <f>IF(Data!E332&gt;0,Data!E332,"")</f>
        <v/>
      </c>
      <c r="F332" s="1">
        <f>IF(Data!F332&gt;0,Data!F332,"")</f>
        <v/>
      </c>
      <c r="G332" s="1">
        <f>IF(Data!G332&gt;0,Data!G332,"")</f>
        <v/>
      </c>
      <c r="H332" s="1">
        <f>IF(Data!H332&gt;0,Data!H332,"")</f>
        <v/>
      </c>
      <c r="I332" s="1">
        <f>IF(Data!I332&gt;0,Data!I332,"")</f>
        <v/>
      </c>
      <c r="J332" s="1">
        <f>IF(Data!J332&gt;0,Data!J332,"")</f>
        <v/>
      </c>
      <c r="K332" s="1">
        <f>IF(Data!K332&gt;0,Data!K332,"")</f>
        <v/>
      </c>
      <c r="L332" s="1">
        <f>IF(Data!L332&gt;0,Data!L332,"")</f>
        <v/>
      </c>
      <c r="M332" s="1">
        <f>IF(Data!M332&gt;0,Data!M332,"")</f>
        <v/>
      </c>
      <c r="N332" s="1">
        <f>IF(Data!N332&gt;0,Data!N332,"")</f>
        <v/>
      </c>
      <c r="O332" s="1">
        <f>IF(Data!O332&gt;0,Data!O332,"")</f>
        <v/>
      </c>
      <c r="P332" s="1">
        <f>IF(Data!P332&gt;0,Data!P332,"")</f>
        <v/>
      </c>
      <c r="Q332" s="1">
        <f>IF(Data!Q332&gt;0,Data!Q332,"")</f>
        <v/>
      </c>
      <c r="R332" s="1">
        <f>IF(Data!R332&gt;0,Data!R332,"")</f>
        <v/>
      </c>
      <c r="S332" s="1">
        <f>IF(Data!S332&gt;0,Data!S332,"")</f>
        <v/>
      </c>
      <c r="V332" s="3">
        <f>IF(COUNT(D332,J332,K332,L332,M332,O332)&gt;0,AVERAGE(D332,J332,K332,L332,M332,O332),"")</f>
        <v/>
      </c>
      <c r="W332" s="3">
        <f>IF(COUNT(C332,F332,G332,N332,Q332)&gt;0,AVERAGE(C332,F332,G332,N332,Q332),"")</f>
        <v/>
      </c>
      <c r="X332" s="3">
        <f>IF(COUNT(B332,E332,H332,I332,P332,R332,S332)&gt;0,AVERAGE(B332,E332,H332,I332,P332,R332,S332),"")</f>
        <v/>
      </c>
      <c r="Y332" s="3" t="n"/>
      <c r="AJ332">
        <f>IFERROR(AVERAGEIF($A$4:$A$1004,AI332,$V$4:$V$1004),"")</f>
        <v/>
      </c>
      <c r="AK332">
        <f>IFERROR(AVERAGEIF($A$4:$A$1004,AI332,$W$4:$W$1004),"")</f>
        <v/>
      </c>
      <c r="AL332">
        <f>IFERROR(AVERAGEIF($A$4:$A$1004,AI332,$X$4:$X$1004),"")</f>
        <v/>
      </c>
    </row>
    <row r="333">
      <c r="A333" s="1">
        <f>IF(Data!A333&gt;0,Data!A333,"")</f>
        <v/>
      </c>
      <c r="B333" s="1">
        <f>IF(Data!B333&gt;0,Data!B333,"")</f>
        <v/>
      </c>
      <c r="C333" s="1">
        <f>IF(Data!C333&gt;0,Data!C333,"")</f>
        <v/>
      </c>
      <c r="D333" s="1">
        <f>IF(Data!D333&gt;0,Data!D333,"")</f>
        <v/>
      </c>
      <c r="E333" s="1">
        <f>IF(Data!E333&gt;0,Data!E333,"")</f>
        <v/>
      </c>
      <c r="F333" s="1">
        <f>IF(Data!F333&gt;0,Data!F333,"")</f>
        <v/>
      </c>
      <c r="G333" s="1">
        <f>IF(Data!G333&gt;0,Data!G333,"")</f>
        <v/>
      </c>
      <c r="H333" s="1">
        <f>IF(Data!H333&gt;0,Data!H333,"")</f>
        <v/>
      </c>
      <c r="I333" s="1">
        <f>IF(Data!I333&gt;0,Data!I333,"")</f>
        <v/>
      </c>
      <c r="J333" s="1">
        <f>IF(Data!J333&gt;0,Data!J333,"")</f>
        <v/>
      </c>
      <c r="K333" s="1">
        <f>IF(Data!K333&gt;0,Data!K333,"")</f>
        <v/>
      </c>
      <c r="L333" s="1">
        <f>IF(Data!L333&gt;0,Data!L333,"")</f>
        <v/>
      </c>
      <c r="M333" s="1">
        <f>IF(Data!M333&gt;0,Data!M333,"")</f>
        <v/>
      </c>
      <c r="N333" s="1">
        <f>IF(Data!N333&gt;0,Data!N333,"")</f>
        <v/>
      </c>
      <c r="O333" s="1">
        <f>IF(Data!O333&gt;0,Data!O333,"")</f>
        <v/>
      </c>
      <c r="P333" s="1">
        <f>IF(Data!P333&gt;0,Data!P333,"")</f>
        <v/>
      </c>
      <c r="Q333" s="1">
        <f>IF(Data!Q333&gt;0,Data!Q333,"")</f>
        <v/>
      </c>
      <c r="R333" s="1">
        <f>IF(Data!R333&gt;0,Data!R333,"")</f>
        <v/>
      </c>
      <c r="S333" s="1">
        <f>IF(Data!S333&gt;0,Data!S333,"")</f>
        <v/>
      </c>
      <c r="V333" s="3">
        <f>IF(COUNT(D333,J333,K333,L333,M333,O333)&gt;0,AVERAGE(D333,J333,K333,L333,M333,O333),"")</f>
        <v/>
      </c>
      <c r="W333" s="3">
        <f>IF(COUNT(C333,F333,G333,N333,Q333)&gt;0,AVERAGE(C333,F333,G333,N333,Q333),"")</f>
        <v/>
      </c>
      <c r="X333" s="3">
        <f>IF(COUNT(B333,E333,H333,I333,P333,R333,S333)&gt;0,AVERAGE(B333,E333,H333,I333,P333,R333,S333),"")</f>
        <v/>
      </c>
      <c r="Y333" s="3" t="n"/>
      <c r="AJ333">
        <f>IFERROR(AVERAGEIF($A$4:$A$1004,AI333,$V$4:$V$1004),"")</f>
        <v/>
      </c>
      <c r="AK333">
        <f>IFERROR(AVERAGEIF($A$4:$A$1004,AI333,$W$4:$W$1004),"")</f>
        <v/>
      </c>
      <c r="AL333">
        <f>IFERROR(AVERAGEIF($A$4:$A$1004,AI333,$X$4:$X$1004),"")</f>
        <v/>
      </c>
    </row>
    <row r="334">
      <c r="A334" s="1">
        <f>IF(Data!A334&gt;0,Data!A334,"")</f>
        <v/>
      </c>
      <c r="B334" s="1">
        <f>IF(Data!B334&gt;0,Data!B334,"")</f>
        <v/>
      </c>
      <c r="C334" s="1">
        <f>IF(Data!C334&gt;0,Data!C334,"")</f>
        <v/>
      </c>
      <c r="D334" s="1">
        <f>IF(Data!D334&gt;0,Data!D334,"")</f>
        <v/>
      </c>
      <c r="E334" s="1">
        <f>IF(Data!E334&gt;0,Data!E334,"")</f>
        <v/>
      </c>
      <c r="F334" s="1">
        <f>IF(Data!F334&gt;0,Data!F334,"")</f>
        <v/>
      </c>
      <c r="G334" s="1">
        <f>IF(Data!G334&gt;0,Data!G334,"")</f>
        <v/>
      </c>
      <c r="H334" s="1">
        <f>IF(Data!H334&gt;0,Data!H334,"")</f>
        <v/>
      </c>
      <c r="I334" s="1">
        <f>IF(Data!I334&gt;0,Data!I334,"")</f>
        <v/>
      </c>
      <c r="J334" s="1">
        <f>IF(Data!J334&gt;0,Data!J334,"")</f>
        <v/>
      </c>
      <c r="K334" s="1">
        <f>IF(Data!K334&gt;0,Data!K334,"")</f>
        <v/>
      </c>
      <c r="L334" s="1">
        <f>IF(Data!L334&gt;0,Data!L334,"")</f>
        <v/>
      </c>
      <c r="M334" s="1">
        <f>IF(Data!M334&gt;0,Data!M334,"")</f>
        <v/>
      </c>
      <c r="N334" s="1">
        <f>IF(Data!N334&gt;0,Data!N334,"")</f>
        <v/>
      </c>
      <c r="O334" s="1">
        <f>IF(Data!O334&gt;0,Data!O334,"")</f>
        <v/>
      </c>
      <c r="P334" s="1">
        <f>IF(Data!P334&gt;0,Data!P334,"")</f>
        <v/>
      </c>
      <c r="Q334" s="1">
        <f>IF(Data!Q334&gt;0,Data!Q334,"")</f>
        <v/>
      </c>
      <c r="R334" s="1">
        <f>IF(Data!R334&gt;0,Data!R334,"")</f>
        <v/>
      </c>
      <c r="S334" s="1">
        <f>IF(Data!S334&gt;0,Data!S334,"")</f>
        <v/>
      </c>
      <c r="V334" s="3">
        <f>IF(COUNT(D334,J334,K334,L334,M334,O334)&gt;0,AVERAGE(D334,J334,K334,L334,M334,O334),"")</f>
        <v/>
      </c>
      <c r="W334" s="3">
        <f>IF(COUNT(C334,F334,G334,N334,Q334)&gt;0,AVERAGE(C334,F334,G334,N334,Q334),"")</f>
        <v/>
      </c>
      <c r="X334" s="3">
        <f>IF(COUNT(B334,E334,H334,I334,P334,R334,S334)&gt;0,AVERAGE(B334,E334,H334,I334,P334,R334,S334),"")</f>
        <v/>
      </c>
      <c r="Y334" s="3" t="n"/>
      <c r="AJ334">
        <f>IFERROR(AVERAGEIF($A$4:$A$1004,AI334,$V$4:$V$1004),"")</f>
        <v/>
      </c>
      <c r="AK334">
        <f>IFERROR(AVERAGEIF($A$4:$A$1004,AI334,$W$4:$W$1004),"")</f>
        <v/>
      </c>
      <c r="AL334">
        <f>IFERROR(AVERAGEIF($A$4:$A$1004,AI334,$X$4:$X$1004),"")</f>
        <v/>
      </c>
    </row>
    <row r="335">
      <c r="A335" s="1">
        <f>IF(Data!A335&gt;0,Data!A335,"")</f>
        <v/>
      </c>
      <c r="B335" s="1">
        <f>IF(Data!B335&gt;0,Data!B335,"")</f>
        <v/>
      </c>
      <c r="C335" s="1">
        <f>IF(Data!C335&gt;0,Data!C335,"")</f>
        <v/>
      </c>
      <c r="D335" s="1">
        <f>IF(Data!D335&gt;0,Data!D335,"")</f>
        <v/>
      </c>
      <c r="E335" s="1">
        <f>IF(Data!E335&gt;0,Data!E335,"")</f>
        <v/>
      </c>
      <c r="F335" s="1">
        <f>IF(Data!F335&gt;0,Data!F335,"")</f>
        <v/>
      </c>
      <c r="G335" s="1">
        <f>IF(Data!G335&gt;0,Data!G335,"")</f>
        <v/>
      </c>
      <c r="H335" s="1">
        <f>IF(Data!H335&gt;0,Data!H335,"")</f>
        <v/>
      </c>
      <c r="I335" s="1">
        <f>IF(Data!I335&gt;0,Data!I335,"")</f>
        <v/>
      </c>
      <c r="J335" s="1">
        <f>IF(Data!J335&gt;0,Data!J335,"")</f>
        <v/>
      </c>
      <c r="K335" s="1">
        <f>IF(Data!K335&gt;0,Data!K335,"")</f>
        <v/>
      </c>
      <c r="L335" s="1">
        <f>IF(Data!L335&gt;0,Data!L335,"")</f>
        <v/>
      </c>
      <c r="M335" s="1">
        <f>IF(Data!M335&gt;0,Data!M335,"")</f>
        <v/>
      </c>
      <c r="N335" s="1">
        <f>IF(Data!N335&gt;0,Data!N335,"")</f>
        <v/>
      </c>
      <c r="O335" s="1">
        <f>IF(Data!O335&gt;0,Data!O335,"")</f>
        <v/>
      </c>
      <c r="P335" s="1">
        <f>IF(Data!P335&gt;0,Data!P335,"")</f>
        <v/>
      </c>
      <c r="Q335" s="1">
        <f>IF(Data!Q335&gt;0,Data!Q335,"")</f>
        <v/>
      </c>
      <c r="R335" s="1">
        <f>IF(Data!R335&gt;0,Data!R335,"")</f>
        <v/>
      </c>
      <c r="S335" s="1">
        <f>IF(Data!S335&gt;0,Data!S335,"")</f>
        <v/>
      </c>
      <c r="V335" s="3">
        <f>IF(COUNT(D335,J335,K335,L335,M335,O335)&gt;0,AVERAGE(D335,J335,K335,L335,M335,O335),"")</f>
        <v/>
      </c>
      <c r="W335" s="3">
        <f>IF(COUNT(C335,F335,G335,N335,Q335)&gt;0,AVERAGE(C335,F335,G335,N335,Q335),"")</f>
        <v/>
      </c>
      <c r="X335" s="3">
        <f>IF(COUNT(B335,E335,H335,I335,P335,R335,S335)&gt;0,AVERAGE(B335,E335,H335,I335,P335,R335,S335),"")</f>
        <v/>
      </c>
      <c r="Y335" s="3" t="n"/>
      <c r="AJ335">
        <f>IFERROR(AVERAGEIF($A$4:$A$1004,AI335,$V$4:$V$1004),"")</f>
        <v/>
      </c>
      <c r="AK335">
        <f>IFERROR(AVERAGEIF($A$4:$A$1004,AI335,$W$4:$W$1004),"")</f>
        <v/>
      </c>
      <c r="AL335">
        <f>IFERROR(AVERAGEIF($A$4:$A$1004,AI335,$X$4:$X$1004),"")</f>
        <v/>
      </c>
    </row>
    <row r="336">
      <c r="A336" s="1">
        <f>IF(Data!A336&gt;0,Data!A336,"")</f>
        <v/>
      </c>
      <c r="B336" s="1">
        <f>IF(Data!B336&gt;0,Data!B336,"")</f>
        <v/>
      </c>
      <c r="C336" s="1">
        <f>IF(Data!C336&gt;0,Data!C336,"")</f>
        <v/>
      </c>
      <c r="D336" s="1">
        <f>IF(Data!D336&gt;0,Data!D336,"")</f>
        <v/>
      </c>
      <c r="E336" s="1">
        <f>IF(Data!E336&gt;0,Data!E336,"")</f>
        <v/>
      </c>
      <c r="F336" s="1">
        <f>IF(Data!F336&gt;0,Data!F336,"")</f>
        <v/>
      </c>
      <c r="G336" s="1">
        <f>IF(Data!G336&gt;0,Data!G336,"")</f>
        <v/>
      </c>
      <c r="H336" s="1">
        <f>IF(Data!H336&gt;0,Data!H336,"")</f>
        <v/>
      </c>
      <c r="I336" s="1">
        <f>IF(Data!I336&gt;0,Data!I336,"")</f>
        <v/>
      </c>
      <c r="J336" s="1">
        <f>IF(Data!J336&gt;0,Data!J336,"")</f>
        <v/>
      </c>
      <c r="K336" s="1">
        <f>IF(Data!K336&gt;0,Data!K336,"")</f>
        <v/>
      </c>
      <c r="L336" s="1">
        <f>IF(Data!L336&gt;0,Data!L336,"")</f>
        <v/>
      </c>
      <c r="M336" s="1">
        <f>IF(Data!M336&gt;0,Data!M336,"")</f>
        <v/>
      </c>
      <c r="N336" s="1">
        <f>IF(Data!N336&gt;0,Data!N336,"")</f>
        <v/>
      </c>
      <c r="O336" s="1">
        <f>IF(Data!O336&gt;0,Data!O336,"")</f>
        <v/>
      </c>
      <c r="P336" s="1">
        <f>IF(Data!P336&gt;0,Data!P336,"")</f>
        <v/>
      </c>
      <c r="Q336" s="1">
        <f>IF(Data!Q336&gt;0,Data!Q336,"")</f>
        <v/>
      </c>
      <c r="R336" s="1">
        <f>IF(Data!R336&gt;0,Data!R336,"")</f>
        <v/>
      </c>
      <c r="S336" s="1">
        <f>IF(Data!S336&gt;0,Data!S336,"")</f>
        <v/>
      </c>
      <c r="V336" s="3">
        <f>IF(COUNT(D336,J336,K336,L336,M336,O336)&gt;0,AVERAGE(D336,J336,K336,L336,M336,O336),"")</f>
        <v/>
      </c>
      <c r="W336" s="3">
        <f>IF(COUNT(C336,F336,G336,N336,Q336)&gt;0,AVERAGE(C336,F336,G336,N336,Q336),"")</f>
        <v/>
      </c>
      <c r="X336" s="3">
        <f>IF(COUNT(B336,E336,H336,I336,P336,R336,S336)&gt;0,AVERAGE(B336,E336,H336,I336,P336,R336,S336),"")</f>
        <v/>
      </c>
      <c r="Y336" s="3" t="n"/>
      <c r="AJ336">
        <f>IFERROR(AVERAGEIF($A$4:$A$1004,AI336,$V$4:$V$1004),"")</f>
        <v/>
      </c>
      <c r="AK336">
        <f>IFERROR(AVERAGEIF($A$4:$A$1004,AI336,$W$4:$W$1004),"")</f>
        <v/>
      </c>
      <c r="AL336">
        <f>IFERROR(AVERAGEIF($A$4:$A$1004,AI336,$X$4:$X$1004),"")</f>
        <v/>
      </c>
    </row>
    <row r="337">
      <c r="A337" s="1">
        <f>IF(Data!A337&gt;0,Data!A337,"")</f>
        <v/>
      </c>
      <c r="B337" s="1">
        <f>IF(Data!B337&gt;0,Data!B337,"")</f>
        <v/>
      </c>
      <c r="C337" s="1">
        <f>IF(Data!C337&gt;0,Data!C337,"")</f>
        <v/>
      </c>
      <c r="D337" s="1">
        <f>IF(Data!D337&gt;0,Data!D337,"")</f>
        <v/>
      </c>
      <c r="E337" s="1">
        <f>IF(Data!E337&gt;0,Data!E337,"")</f>
        <v/>
      </c>
      <c r="F337" s="1">
        <f>IF(Data!F337&gt;0,Data!F337,"")</f>
        <v/>
      </c>
      <c r="G337" s="1">
        <f>IF(Data!G337&gt;0,Data!G337,"")</f>
        <v/>
      </c>
      <c r="H337" s="1">
        <f>IF(Data!H337&gt;0,Data!H337,"")</f>
        <v/>
      </c>
      <c r="I337" s="1">
        <f>IF(Data!I337&gt;0,Data!I337,"")</f>
        <v/>
      </c>
      <c r="J337" s="1">
        <f>IF(Data!J337&gt;0,Data!J337,"")</f>
        <v/>
      </c>
      <c r="K337" s="1">
        <f>IF(Data!K337&gt;0,Data!K337,"")</f>
        <v/>
      </c>
      <c r="L337" s="1">
        <f>IF(Data!L337&gt;0,Data!L337,"")</f>
        <v/>
      </c>
      <c r="M337" s="1">
        <f>IF(Data!M337&gt;0,Data!M337,"")</f>
        <v/>
      </c>
      <c r="N337" s="1">
        <f>IF(Data!N337&gt;0,Data!N337,"")</f>
        <v/>
      </c>
      <c r="O337" s="1">
        <f>IF(Data!O337&gt;0,Data!O337,"")</f>
        <v/>
      </c>
      <c r="P337" s="1">
        <f>IF(Data!P337&gt;0,Data!P337,"")</f>
        <v/>
      </c>
      <c r="Q337" s="1">
        <f>IF(Data!Q337&gt;0,Data!Q337,"")</f>
        <v/>
      </c>
      <c r="R337" s="1">
        <f>IF(Data!R337&gt;0,Data!R337,"")</f>
        <v/>
      </c>
      <c r="S337" s="1">
        <f>IF(Data!S337&gt;0,Data!S337,"")</f>
        <v/>
      </c>
      <c r="V337" s="3">
        <f>IF(COUNT(D337,J337,K337,L337,M337,O337)&gt;0,AVERAGE(D337,J337,K337,L337,M337,O337),"")</f>
        <v/>
      </c>
      <c r="W337" s="3">
        <f>IF(COUNT(C337,F337,G337,N337,Q337)&gt;0,AVERAGE(C337,F337,G337,N337,Q337),"")</f>
        <v/>
      </c>
      <c r="X337" s="3">
        <f>IF(COUNT(B337,E337,H337,I337,P337,R337,S337)&gt;0,AVERAGE(B337,E337,H337,I337,P337,R337,S337),"")</f>
        <v/>
      </c>
      <c r="Y337" s="3" t="n"/>
      <c r="AJ337">
        <f>IFERROR(AVERAGEIF($A$4:$A$1004,AI337,$V$4:$V$1004),"")</f>
        <v/>
      </c>
      <c r="AK337">
        <f>IFERROR(AVERAGEIF($A$4:$A$1004,AI337,$W$4:$W$1004),"")</f>
        <v/>
      </c>
      <c r="AL337">
        <f>IFERROR(AVERAGEIF($A$4:$A$1004,AI337,$X$4:$X$1004),"")</f>
        <v/>
      </c>
    </row>
    <row r="338">
      <c r="A338" s="1">
        <f>IF(Data!A338&gt;0,Data!A338,"")</f>
        <v/>
      </c>
      <c r="B338" s="1">
        <f>IF(Data!B338&gt;0,Data!B338,"")</f>
        <v/>
      </c>
      <c r="C338" s="1">
        <f>IF(Data!C338&gt;0,Data!C338,"")</f>
        <v/>
      </c>
      <c r="D338" s="1">
        <f>IF(Data!D338&gt;0,Data!D338,"")</f>
        <v/>
      </c>
      <c r="E338" s="1">
        <f>IF(Data!E338&gt;0,Data!E338,"")</f>
        <v/>
      </c>
      <c r="F338" s="1">
        <f>IF(Data!F338&gt;0,Data!F338,"")</f>
        <v/>
      </c>
      <c r="G338" s="1">
        <f>IF(Data!G338&gt;0,Data!G338,"")</f>
        <v/>
      </c>
      <c r="H338" s="1">
        <f>IF(Data!H338&gt;0,Data!H338,"")</f>
        <v/>
      </c>
      <c r="I338" s="1">
        <f>IF(Data!I338&gt;0,Data!I338,"")</f>
        <v/>
      </c>
      <c r="J338" s="1">
        <f>IF(Data!J338&gt;0,Data!J338,"")</f>
        <v/>
      </c>
      <c r="K338" s="1">
        <f>IF(Data!K338&gt;0,Data!K338,"")</f>
        <v/>
      </c>
      <c r="L338" s="1">
        <f>IF(Data!L338&gt;0,Data!L338,"")</f>
        <v/>
      </c>
      <c r="M338" s="1">
        <f>IF(Data!M338&gt;0,Data!M338,"")</f>
        <v/>
      </c>
      <c r="N338" s="1">
        <f>IF(Data!N338&gt;0,Data!N338,"")</f>
        <v/>
      </c>
      <c r="O338" s="1">
        <f>IF(Data!O338&gt;0,Data!O338,"")</f>
        <v/>
      </c>
      <c r="P338" s="1">
        <f>IF(Data!P338&gt;0,Data!P338,"")</f>
        <v/>
      </c>
      <c r="Q338" s="1">
        <f>IF(Data!Q338&gt;0,Data!Q338,"")</f>
        <v/>
      </c>
      <c r="R338" s="1">
        <f>IF(Data!R338&gt;0,Data!R338,"")</f>
        <v/>
      </c>
      <c r="S338" s="1">
        <f>IF(Data!S338&gt;0,Data!S338,"")</f>
        <v/>
      </c>
      <c r="V338" s="3">
        <f>IF(COUNT(D338,J338,K338,L338,M338,O338)&gt;0,AVERAGE(D338,J338,K338,L338,M338,O338),"")</f>
        <v/>
      </c>
      <c r="W338" s="3">
        <f>IF(COUNT(C338,F338,G338,N338,Q338)&gt;0,AVERAGE(C338,F338,G338,N338,Q338),"")</f>
        <v/>
      </c>
      <c r="X338" s="3">
        <f>IF(COUNT(B338,E338,H338,I338,P338,R338,S338)&gt;0,AVERAGE(B338,E338,H338,I338,P338,R338,S338),"")</f>
        <v/>
      </c>
      <c r="Y338" s="3" t="n"/>
      <c r="AJ338">
        <f>IFERROR(AVERAGEIF($A$4:$A$1004,AI338,$V$4:$V$1004),"")</f>
        <v/>
      </c>
      <c r="AK338">
        <f>IFERROR(AVERAGEIF($A$4:$A$1004,AI338,$W$4:$W$1004),"")</f>
        <v/>
      </c>
      <c r="AL338">
        <f>IFERROR(AVERAGEIF($A$4:$A$1004,AI338,$X$4:$X$1004),"")</f>
        <v/>
      </c>
    </row>
    <row r="339">
      <c r="A339" s="1">
        <f>IF(Data!A339&gt;0,Data!A339,"")</f>
        <v/>
      </c>
      <c r="B339" s="1">
        <f>IF(Data!B339&gt;0,Data!B339,"")</f>
        <v/>
      </c>
      <c r="C339" s="1">
        <f>IF(Data!C339&gt;0,Data!C339,"")</f>
        <v/>
      </c>
      <c r="D339" s="1">
        <f>IF(Data!D339&gt;0,Data!D339,"")</f>
        <v/>
      </c>
      <c r="E339" s="1">
        <f>IF(Data!E339&gt;0,Data!E339,"")</f>
        <v/>
      </c>
      <c r="F339" s="1">
        <f>IF(Data!F339&gt;0,Data!F339,"")</f>
        <v/>
      </c>
      <c r="G339" s="1">
        <f>IF(Data!G339&gt;0,Data!G339,"")</f>
        <v/>
      </c>
      <c r="H339" s="1">
        <f>IF(Data!H339&gt;0,Data!H339,"")</f>
        <v/>
      </c>
      <c r="I339" s="1">
        <f>IF(Data!I339&gt;0,Data!I339,"")</f>
        <v/>
      </c>
      <c r="J339" s="1">
        <f>IF(Data!J339&gt;0,Data!J339,"")</f>
        <v/>
      </c>
      <c r="K339" s="1">
        <f>IF(Data!K339&gt;0,Data!K339,"")</f>
        <v/>
      </c>
      <c r="L339" s="1">
        <f>IF(Data!L339&gt;0,Data!L339,"")</f>
        <v/>
      </c>
      <c r="M339" s="1">
        <f>IF(Data!M339&gt;0,Data!M339,"")</f>
        <v/>
      </c>
      <c r="N339" s="1">
        <f>IF(Data!N339&gt;0,Data!N339,"")</f>
        <v/>
      </c>
      <c r="O339" s="1">
        <f>IF(Data!O339&gt;0,Data!O339,"")</f>
        <v/>
      </c>
      <c r="P339" s="1">
        <f>IF(Data!P339&gt;0,Data!P339,"")</f>
        <v/>
      </c>
      <c r="Q339" s="1">
        <f>IF(Data!Q339&gt;0,Data!Q339,"")</f>
        <v/>
      </c>
      <c r="R339" s="1">
        <f>IF(Data!R339&gt;0,Data!R339,"")</f>
        <v/>
      </c>
      <c r="S339" s="1">
        <f>IF(Data!S339&gt;0,Data!S339,"")</f>
        <v/>
      </c>
      <c r="V339" s="3">
        <f>IF(COUNT(D339,J339,K339,L339,M339,O339)&gt;0,AVERAGE(D339,J339,K339,L339,M339,O339),"")</f>
        <v/>
      </c>
      <c r="W339" s="3">
        <f>IF(COUNT(C339,F339,G339,N339,Q339)&gt;0,AVERAGE(C339,F339,G339,N339,Q339),"")</f>
        <v/>
      </c>
      <c r="X339" s="3">
        <f>IF(COUNT(B339,E339,H339,I339,P339,R339,S339)&gt;0,AVERAGE(B339,E339,H339,I339,P339,R339,S339),"")</f>
        <v/>
      </c>
      <c r="Y339" s="3" t="n"/>
      <c r="AJ339">
        <f>IFERROR(AVERAGEIF($A$4:$A$1004,AI339,$V$4:$V$1004),"")</f>
        <v/>
      </c>
      <c r="AK339">
        <f>IFERROR(AVERAGEIF($A$4:$A$1004,AI339,$W$4:$W$1004),"")</f>
        <v/>
      </c>
      <c r="AL339">
        <f>IFERROR(AVERAGEIF($A$4:$A$1004,AI339,$X$4:$X$1004),"")</f>
        <v/>
      </c>
    </row>
    <row r="340">
      <c r="A340" s="1">
        <f>IF(Data!A340&gt;0,Data!A340,"")</f>
        <v/>
      </c>
      <c r="B340" s="1">
        <f>IF(Data!B340&gt;0,Data!B340,"")</f>
        <v/>
      </c>
      <c r="C340" s="1">
        <f>IF(Data!C340&gt;0,Data!C340,"")</f>
        <v/>
      </c>
      <c r="D340" s="1">
        <f>IF(Data!D340&gt;0,Data!D340,"")</f>
        <v/>
      </c>
      <c r="E340" s="1">
        <f>IF(Data!E340&gt;0,Data!E340,"")</f>
        <v/>
      </c>
      <c r="F340" s="1">
        <f>IF(Data!F340&gt;0,Data!F340,"")</f>
        <v/>
      </c>
      <c r="G340" s="1">
        <f>IF(Data!G340&gt;0,Data!G340,"")</f>
        <v/>
      </c>
      <c r="H340" s="1">
        <f>IF(Data!H340&gt;0,Data!H340,"")</f>
        <v/>
      </c>
      <c r="I340" s="1">
        <f>IF(Data!I340&gt;0,Data!I340,"")</f>
        <v/>
      </c>
      <c r="J340" s="1">
        <f>IF(Data!J340&gt;0,Data!J340,"")</f>
        <v/>
      </c>
      <c r="K340" s="1">
        <f>IF(Data!K340&gt;0,Data!K340,"")</f>
        <v/>
      </c>
      <c r="L340" s="1">
        <f>IF(Data!L340&gt;0,Data!L340,"")</f>
        <v/>
      </c>
      <c r="M340" s="1">
        <f>IF(Data!M340&gt;0,Data!M340,"")</f>
        <v/>
      </c>
      <c r="N340" s="1">
        <f>IF(Data!N340&gt;0,Data!N340,"")</f>
        <v/>
      </c>
      <c r="O340" s="1">
        <f>IF(Data!O340&gt;0,Data!O340,"")</f>
        <v/>
      </c>
      <c r="P340" s="1">
        <f>IF(Data!P340&gt;0,Data!P340,"")</f>
        <v/>
      </c>
      <c r="Q340" s="1">
        <f>IF(Data!Q340&gt;0,Data!Q340,"")</f>
        <v/>
      </c>
      <c r="R340" s="1">
        <f>IF(Data!R340&gt;0,Data!R340,"")</f>
        <v/>
      </c>
      <c r="S340" s="1">
        <f>IF(Data!S340&gt;0,Data!S340,"")</f>
        <v/>
      </c>
      <c r="V340" s="3">
        <f>IF(COUNT(D340,J340,K340,L340,M340,O340)&gt;0,AVERAGE(D340,J340,K340,L340,M340,O340),"")</f>
        <v/>
      </c>
      <c r="W340" s="3">
        <f>IF(COUNT(C340,F340,G340,N340,Q340)&gt;0,AVERAGE(C340,F340,G340,N340,Q340),"")</f>
        <v/>
      </c>
      <c r="X340" s="3">
        <f>IF(COUNT(B340,E340,H340,I340,P340,R340,S340)&gt;0,AVERAGE(B340,E340,H340,I340,P340,R340,S340),"")</f>
        <v/>
      </c>
      <c r="Y340" s="3" t="n"/>
      <c r="AJ340">
        <f>IFERROR(AVERAGEIF($A$4:$A$1004,AI340,$V$4:$V$1004),"")</f>
        <v/>
      </c>
      <c r="AK340">
        <f>IFERROR(AVERAGEIF($A$4:$A$1004,AI340,$W$4:$W$1004),"")</f>
        <v/>
      </c>
      <c r="AL340">
        <f>IFERROR(AVERAGEIF($A$4:$A$1004,AI340,$X$4:$X$1004),"")</f>
        <v/>
      </c>
    </row>
    <row r="341">
      <c r="A341" s="1">
        <f>IF(Data!A341&gt;0,Data!A341,"")</f>
        <v/>
      </c>
      <c r="B341" s="1">
        <f>IF(Data!B341&gt;0,Data!B341,"")</f>
        <v/>
      </c>
      <c r="C341" s="1">
        <f>IF(Data!C341&gt;0,Data!C341,"")</f>
        <v/>
      </c>
      <c r="D341" s="1">
        <f>IF(Data!D341&gt;0,Data!D341,"")</f>
        <v/>
      </c>
      <c r="E341" s="1">
        <f>IF(Data!E341&gt;0,Data!E341,"")</f>
        <v/>
      </c>
      <c r="F341" s="1">
        <f>IF(Data!F341&gt;0,Data!F341,"")</f>
        <v/>
      </c>
      <c r="G341" s="1">
        <f>IF(Data!G341&gt;0,Data!G341,"")</f>
        <v/>
      </c>
      <c r="H341" s="1">
        <f>IF(Data!H341&gt;0,Data!H341,"")</f>
        <v/>
      </c>
      <c r="I341" s="1">
        <f>IF(Data!I341&gt;0,Data!I341,"")</f>
        <v/>
      </c>
      <c r="J341" s="1">
        <f>IF(Data!J341&gt;0,Data!J341,"")</f>
        <v/>
      </c>
      <c r="K341" s="1">
        <f>IF(Data!K341&gt;0,Data!K341,"")</f>
        <v/>
      </c>
      <c r="L341" s="1">
        <f>IF(Data!L341&gt;0,Data!L341,"")</f>
        <v/>
      </c>
      <c r="M341" s="1">
        <f>IF(Data!M341&gt;0,Data!M341,"")</f>
        <v/>
      </c>
      <c r="N341" s="1">
        <f>IF(Data!N341&gt;0,Data!N341,"")</f>
        <v/>
      </c>
      <c r="O341" s="1">
        <f>IF(Data!O341&gt;0,Data!O341,"")</f>
        <v/>
      </c>
      <c r="P341" s="1">
        <f>IF(Data!P341&gt;0,Data!P341,"")</f>
        <v/>
      </c>
      <c r="Q341" s="1">
        <f>IF(Data!Q341&gt;0,Data!Q341,"")</f>
        <v/>
      </c>
      <c r="R341" s="1">
        <f>IF(Data!R341&gt;0,Data!R341,"")</f>
        <v/>
      </c>
      <c r="S341" s="1">
        <f>IF(Data!S341&gt;0,Data!S341,"")</f>
        <v/>
      </c>
      <c r="V341" s="3">
        <f>IF(COUNT(D341,J341,K341,L341,M341,O341)&gt;0,AVERAGE(D341,J341,K341,L341,M341,O341),"")</f>
        <v/>
      </c>
      <c r="W341" s="3">
        <f>IF(COUNT(C341,F341,G341,N341,Q341)&gt;0,AVERAGE(C341,F341,G341,N341,Q341),"")</f>
        <v/>
      </c>
      <c r="X341" s="3">
        <f>IF(COUNT(B341,E341,H341,I341,P341,R341,S341)&gt;0,AVERAGE(B341,E341,H341,I341,P341,R341,S341),"")</f>
        <v/>
      </c>
      <c r="Y341" s="3" t="n"/>
      <c r="AJ341">
        <f>IFERROR(AVERAGEIF($A$4:$A$1004,AI341,$V$4:$V$1004),"")</f>
        <v/>
      </c>
      <c r="AK341">
        <f>IFERROR(AVERAGEIF($A$4:$A$1004,AI341,$W$4:$W$1004),"")</f>
        <v/>
      </c>
      <c r="AL341">
        <f>IFERROR(AVERAGEIF($A$4:$A$1004,AI341,$X$4:$X$1004),"")</f>
        <v/>
      </c>
    </row>
    <row r="342">
      <c r="A342" s="1">
        <f>IF(Data!A342&gt;0,Data!A342,"")</f>
        <v/>
      </c>
      <c r="B342" s="1">
        <f>IF(Data!B342&gt;0,Data!B342,"")</f>
        <v/>
      </c>
      <c r="C342" s="1">
        <f>IF(Data!C342&gt;0,Data!C342,"")</f>
        <v/>
      </c>
      <c r="D342" s="1">
        <f>IF(Data!D342&gt;0,Data!D342,"")</f>
        <v/>
      </c>
      <c r="E342" s="1">
        <f>IF(Data!E342&gt;0,Data!E342,"")</f>
        <v/>
      </c>
      <c r="F342" s="1">
        <f>IF(Data!F342&gt;0,Data!F342,"")</f>
        <v/>
      </c>
      <c r="G342" s="1">
        <f>IF(Data!G342&gt;0,Data!G342,"")</f>
        <v/>
      </c>
      <c r="H342" s="1">
        <f>IF(Data!H342&gt;0,Data!H342,"")</f>
        <v/>
      </c>
      <c r="I342" s="1">
        <f>IF(Data!I342&gt;0,Data!I342,"")</f>
        <v/>
      </c>
      <c r="J342" s="1">
        <f>IF(Data!J342&gt;0,Data!J342,"")</f>
        <v/>
      </c>
      <c r="K342" s="1">
        <f>IF(Data!K342&gt;0,Data!K342,"")</f>
        <v/>
      </c>
      <c r="L342" s="1">
        <f>IF(Data!L342&gt;0,Data!L342,"")</f>
        <v/>
      </c>
      <c r="M342" s="1">
        <f>IF(Data!M342&gt;0,Data!M342,"")</f>
        <v/>
      </c>
      <c r="N342" s="1">
        <f>IF(Data!N342&gt;0,Data!N342,"")</f>
        <v/>
      </c>
      <c r="O342" s="1">
        <f>IF(Data!O342&gt;0,Data!O342,"")</f>
        <v/>
      </c>
      <c r="P342" s="1">
        <f>IF(Data!P342&gt;0,Data!P342,"")</f>
        <v/>
      </c>
      <c r="Q342" s="1">
        <f>IF(Data!Q342&gt;0,Data!Q342,"")</f>
        <v/>
      </c>
      <c r="R342" s="1">
        <f>IF(Data!R342&gt;0,Data!R342,"")</f>
        <v/>
      </c>
      <c r="S342" s="1">
        <f>IF(Data!S342&gt;0,Data!S342,"")</f>
        <v/>
      </c>
      <c r="V342" s="3">
        <f>IF(COUNT(D342,J342,K342,L342,M342,O342)&gt;0,AVERAGE(D342,J342,K342,L342,M342,O342),"")</f>
        <v/>
      </c>
      <c r="W342" s="3">
        <f>IF(COUNT(C342,F342,G342,N342,Q342)&gt;0,AVERAGE(C342,F342,G342,N342,Q342),"")</f>
        <v/>
      </c>
      <c r="X342" s="3">
        <f>IF(COUNT(B342,E342,H342,I342,P342,R342,S342)&gt;0,AVERAGE(B342,E342,H342,I342,P342,R342,S342),"")</f>
        <v/>
      </c>
      <c r="Y342" s="3" t="n"/>
      <c r="AJ342">
        <f>IFERROR(AVERAGEIF($A$4:$A$1004,AI342,$V$4:$V$1004),"")</f>
        <v/>
      </c>
      <c r="AK342">
        <f>IFERROR(AVERAGEIF($A$4:$A$1004,AI342,$W$4:$W$1004),"")</f>
        <v/>
      </c>
      <c r="AL342">
        <f>IFERROR(AVERAGEIF($A$4:$A$1004,AI342,$X$4:$X$1004),"")</f>
        <v/>
      </c>
    </row>
    <row r="343">
      <c r="A343" s="1">
        <f>IF(Data!A343&gt;0,Data!A343,"")</f>
        <v/>
      </c>
      <c r="B343" s="1">
        <f>IF(Data!B343&gt;0,Data!B343,"")</f>
        <v/>
      </c>
      <c r="C343" s="1">
        <f>IF(Data!C343&gt;0,Data!C343,"")</f>
        <v/>
      </c>
      <c r="D343" s="1">
        <f>IF(Data!D343&gt;0,Data!D343,"")</f>
        <v/>
      </c>
      <c r="E343" s="1">
        <f>IF(Data!E343&gt;0,Data!E343,"")</f>
        <v/>
      </c>
      <c r="F343" s="1">
        <f>IF(Data!F343&gt;0,Data!F343,"")</f>
        <v/>
      </c>
      <c r="G343" s="1">
        <f>IF(Data!G343&gt;0,Data!G343,"")</f>
        <v/>
      </c>
      <c r="H343" s="1">
        <f>IF(Data!H343&gt;0,Data!H343,"")</f>
        <v/>
      </c>
      <c r="I343" s="1">
        <f>IF(Data!I343&gt;0,Data!I343,"")</f>
        <v/>
      </c>
      <c r="J343" s="1">
        <f>IF(Data!J343&gt;0,Data!J343,"")</f>
        <v/>
      </c>
      <c r="K343" s="1">
        <f>IF(Data!K343&gt;0,Data!K343,"")</f>
        <v/>
      </c>
      <c r="L343" s="1">
        <f>IF(Data!L343&gt;0,Data!L343,"")</f>
        <v/>
      </c>
      <c r="M343" s="1">
        <f>IF(Data!M343&gt;0,Data!M343,"")</f>
        <v/>
      </c>
      <c r="N343" s="1">
        <f>IF(Data!N343&gt;0,Data!N343,"")</f>
        <v/>
      </c>
      <c r="O343" s="1">
        <f>IF(Data!O343&gt;0,Data!O343,"")</f>
        <v/>
      </c>
      <c r="P343" s="1">
        <f>IF(Data!P343&gt;0,Data!P343,"")</f>
        <v/>
      </c>
      <c r="Q343" s="1">
        <f>IF(Data!Q343&gt;0,Data!Q343,"")</f>
        <v/>
      </c>
      <c r="R343" s="1">
        <f>IF(Data!R343&gt;0,Data!R343,"")</f>
        <v/>
      </c>
      <c r="S343" s="1">
        <f>IF(Data!S343&gt;0,Data!S343,"")</f>
        <v/>
      </c>
      <c r="V343" s="3">
        <f>IF(COUNT(D343,J343,K343,L343,M343,O343)&gt;0,AVERAGE(D343,J343,K343,L343,M343,O343),"")</f>
        <v/>
      </c>
      <c r="W343" s="3">
        <f>IF(COUNT(C343,F343,G343,N343,Q343)&gt;0,AVERAGE(C343,F343,G343,N343,Q343),"")</f>
        <v/>
      </c>
      <c r="X343" s="3">
        <f>IF(COUNT(B343,E343,H343,I343,P343,R343,S343)&gt;0,AVERAGE(B343,E343,H343,I343,P343,R343,S343),"")</f>
        <v/>
      </c>
      <c r="Y343" s="3" t="n"/>
      <c r="AJ343">
        <f>IFERROR(AVERAGEIF($A$4:$A$1004,AI343,$V$4:$V$1004),"")</f>
        <v/>
      </c>
      <c r="AK343">
        <f>IFERROR(AVERAGEIF($A$4:$A$1004,AI343,$W$4:$W$1004),"")</f>
        <v/>
      </c>
      <c r="AL343">
        <f>IFERROR(AVERAGEIF($A$4:$A$1004,AI343,$X$4:$X$1004),"")</f>
        <v/>
      </c>
    </row>
    <row r="344">
      <c r="A344" s="1">
        <f>IF(Data!A344&gt;0,Data!A344,"")</f>
        <v/>
      </c>
      <c r="B344" s="1">
        <f>IF(Data!B344&gt;0,Data!B344,"")</f>
        <v/>
      </c>
      <c r="C344" s="1">
        <f>IF(Data!C344&gt;0,Data!C344,"")</f>
        <v/>
      </c>
      <c r="D344" s="1">
        <f>IF(Data!D344&gt;0,Data!D344,"")</f>
        <v/>
      </c>
      <c r="E344" s="1">
        <f>IF(Data!E344&gt;0,Data!E344,"")</f>
        <v/>
      </c>
      <c r="F344" s="1">
        <f>IF(Data!F344&gt;0,Data!F344,"")</f>
        <v/>
      </c>
      <c r="G344" s="1">
        <f>IF(Data!G344&gt;0,Data!G344,"")</f>
        <v/>
      </c>
      <c r="H344" s="1">
        <f>IF(Data!H344&gt;0,Data!H344,"")</f>
        <v/>
      </c>
      <c r="I344" s="1">
        <f>IF(Data!I344&gt;0,Data!I344,"")</f>
        <v/>
      </c>
      <c r="J344" s="1">
        <f>IF(Data!J344&gt;0,Data!J344,"")</f>
        <v/>
      </c>
      <c r="K344" s="1">
        <f>IF(Data!K344&gt;0,Data!K344,"")</f>
        <v/>
      </c>
      <c r="L344" s="1">
        <f>IF(Data!L344&gt;0,Data!L344,"")</f>
        <v/>
      </c>
      <c r="M344" s="1">
        <f>IF(Data!M344&gt;0,Data!M344,"")</f>
        <v/>
      </c>
      <c r="N344" s="1">
        <f>IF(Data!N344&gt;0,Data!N344,"")</f>
        <v/>
      </c>
      <c r="O344" s="1">
        <f>IF(Data!O344&gt;0,Data!O344,"")</f>
        <v/>
      </c>
      <c r="P344" s="1">
        <f>IF(Data!P344&gt;0,Data!P344,"")</f>
        <v/>
      </c>
      <c r="Q344" s="1">
        <f>IF(Data!Q344&gt;0,Data!Q344,"")</f>
        <v/>
      </c>
      <c r="R344" s="1">
        <f>IF(Data!R344&gt;0,Data!R344,"")</f>
        <v/>
      </c>
      <c r="S344" s="1">
        <f>IF(Data!S344&gt;0,Data!S344,"")</f>
        <v/>
      </c>
      <c r="V344" s="3">
        <f>IF(COUNT(D344,J344,K344,L344,M344,O344)&gt;0,AVERAGE(D344,J344,K344,L344,M344,O344),"")</f>
        <v/>
      </c>
      <c r="W344" s="3">
        <f>IF(COUNT(C344,F344,G344,N344,Q344)&gt;0,AVERAGE(C344,F344,G344,N344,Q344),"")</f>
        <v/>
      </c>
      <c r="X344" s="3">
        <f>IF(COUNT(B344,E344,H344,I344,P344,R344,S344)&gt;0,AVERAGE(B344,E344,H344,I344,P344,R344,S344),"")</f>
        <v/>
      </c>
      <c r="Y344" s="3" t="n"/>
      <c r="AJ344">
        <f>IFERROR(AVERAGEIF($A$4:$A$1004,AI344,$V$4:$V$1004),"")</f>
        <v/>
      </c>
      <c r="AK344">
        <f>IFERROR(AVERAGEIF($A$4:$A$1004,AI344,$W$4:$W$1004),"")</f>
        <v/>
      </c>
      <c r="AL344">
        <f>IFERROR(AVERAGEIF($A$4:$A$1004,AI344,$X$4:$X$1004),"")</f>
        <v/>
      </c>
    </row>
    <row r="345">
      <c r="A345" s="1">
        <f>IF(Data!A345&gt;0,Data!A345,"")</f>
        <v/>
      </c>
      <c r="B345" s="1">
        <f>IF(Data!B345&gt;0,Data!B345,"")</f>
        <v/>
      </c>
      <c r="C345" s="1">
        <f>IF(Data!C345&gt;0,Data!C345,"")</f>
        <v/>
      </c>
      <c r="D345" s="1">
        <f>IF(Data!D345&gt;0,Data!D345,"")</f>
        <v/>
      </c>
      <c r="E345" s="1">
        <f>IF(Data!E345&gt;0,Data!E345,"")</f>
        <v/>
      </c>
      <c r="F345" s="1">
        <f>IF(Data!F345&gt;0,Data!F345,"")</f>
        <v/>
      </c>
      <c r="G345" s="1">
        <f>IF(Data!G345&gt;0,Data!G345,"")</f>
        <v/>
      </c>
      <c r="H345" s="1">
        <f>IF(Data!H345&gt;0,Data!H345,"")</f>
        <v/>
      </c>
      <c r="I345" s="1">
        <f>IF(Data!I345&gt;0,Data!I345,"")</f>
        <v/>
      </c>
      <c r="J345" s="1">
        <f>IF(Data!J345&gt;0,Data!J345,"")</f>
        <v/>
      </c>
      <c r="K345" s="1">
        <f>IF(Data!K345&gt;0,Data!K345,"")</f>
        <v/>
      </c>
      <c r="L345" s="1">
        <f>IF(Data!L345&gt;0,Data!L345,"")</f>
        <v/>
      </c>
      <c r="M345" s="1">
        <f>IF(Data!M345&gt;0,Data!M345,"")</f>
        <v/>
      </c>
      <c r="N345" s="1">
        <f>IF(Data!N345&gt;0,Data!N345,"")</f>
        <v/>
      </c>
      <c r="O345" s="1">
        <f>IF(Data!O345&gt;0,Data!O345,"")</f>
        <v/>
      </c>
      <c r="P345" s="1">
        <f>IF(Data!P345&gt;0,Data!P345,"")</f>
        <v/>
      </c>
      <c r="Q345" s="1">
        <f>IF(Data!Q345&gt;0,Data!Q345,"")</f>
        <v/>
      </c>
      <c r="R345" s="1">
        <f>IF(Data!R345&gt;0,Data!R345,"")</f>
        <v/>
      </c>
      <c r="S345" s="1">
        <f>IF(Data!S345&gt;0,Data!S345,"")</f>
        <v/>
      </c>
      <c r="V345" s="3">
        <f>IF(COUNT(D345,J345,K345,L345,M345,O345)&gt;0,AVERAGE(D345,J345,K345,L345,M345,O345),"")</f>
        <v/>
      </c>
      <c r="W345" s="3">
        <f>IF(COUNT(C345,F345,G345,N345,Q345)&gt;0,AVERAGE(C345,F345,G345,N345,Q345),"")</f>
        <v/>
      </c>
      <c r="X345" s="3">
        <f>IF(COUNT(B345,E345,H345,I345,P345,R345,S345)&gt;0,AVERAGE(B345,E345,H345,I345,P345,R345,S345),"")</f>
        <v/>
      </c>
      <c r="Y345" s="3" t="n"/>
      <c r="AJ345">
        <f>IFERROR(AVERAGEIF($A$4:$A$1004,AI345,$V$4:$V$1004),"")</f>
        <v/>
      </c>
      <c r="AK345">
        <f>IFERROR(AVERAGEIF($A$4:$A$1004,AI345,$W$4:$W$1004),"")</f>
        <v/>
      </c>
      <c r="AL345">
        <f>IFERROR(AVERAGEIF($A$4:$A$1004,AI345,$X$4:$X$1004),"")</f>
        <v/>
      </c>
    </row>
    <row r="346">
      <c r="A346" s="1">
        <f>IF(Data!A346&gt;0,Data!A346,"")</f>
        <v/>
      </c>
      <c r="B346" s="1">
        <f>IF(Data!B346&gt;0,Data!B346,"")</f>
        <v/>
      </c>
      <c r="C346" s="1">
        <f>IF(Data!C346&gt;0,Data!C346,"")</f>
        <v/>
      </c>
      <c r="D346" s="1">
        <f>IF(Data!D346&gt;0,Data!D346,"")</f>
        <v/>
      </c>
      <c r="E346" s="1">
        <f>IF(Data!E346&gt;0,Data!E346,"")</f>
        <v/>
      </c>
      <c r="F346" s="1">
        <f>IF(Data!F346&gt;0,Data!F346,"")</f>
        <v/>
      </c>
      <c r="G346" s="1">
        <f>IF(Data!G346&gt;0,Data!G346,"")</f>
        <v/>
      </c>
      <c r="H346" s="1">
        <f>IF(Data!H346&gt;0,Data!H346,"")</f>
        <v/>
      </c>
      <c r="I346" s="1">
        <f>IF(Data!I346&gt;0,Data!I346,"")</f>
        <v/>
      </c>
      <c r="J346" s="1">
        <f>IF(Data!J346&gt;0,Data!J346,"")</f>
        <v/>
      </c>
      <c r="K346" s="1">
        <f>IF(Data!K346&gt;0,Data!K346,"")</f>
        <v/>
      </c>
      <c r="L346" s="1">
        <f>IF(Data!L346&gt;0,Data!L346,"")</f>
        <v/>
      </c>
      <c r="M346" s="1">
        <f>IF(Data!M346&gt;0,Data!M346,"")</f>
        <v/>
      </c>
      <c r="N346" s="1">
        <f>IF(Data!N346&gt;0,Data!N346,"")</f>
        <v/>
      </c>
      <c r="O346" s="1">
        <f>IF(Data!O346&gt;0,Data!O346,"")</f>
        <v/>
      </c>
      <c r="P346" s="1">
        <f>IF(Data!P346&gt;0,Data!P346,"")</f>
        <v/>
      </c>
      <c r="Q346" s="1">
        <f>IF(Data!Q346&gt;0,Data!Q346,"")</f>
        <v/>
      </c>
      <c r="R346" s="1">
        <f>IF(Data!R346&gt;0,Data!R346,"")</f>
        <v/>
      </c>
      <c r="S346" s="1">
        <f>IF(Data!S346&gt;0,Data!S346,"")</f>
        <v/>
      </c>
      <c r="V346" s="3">
        <f>IF(COUNT(D346,J346,K346,L346,M346,O346)&gt;0,AVERAGE(D346,J346,K346,L346,M346,O346),"")</f>
        <v/>
      </c>
      <c r="W346" s="3">
        <f>IF(COUNT(C346,F346,G346,N346,Q346)&gt;0,AVERAGE(C346,F346,G346,N346,Q346),"")</f>
        <v/>
      </c>
      <c r="X346" s="3">
        <f>IF(COUNT(B346,E346,H346,I346,P346,R346,S346)&gt;0,AVERAGE(B346,E346,H346,I346,P346,R346,S346),"")</f>
        <v/>
      </c>
      <c r="Y346" s="3" t="n"/>
      <c r="AJ346">
        <f>IFERROR(AVERAGEIF($A$4:$A$1004,AI346,$V$4:$V$1004),"")</f>
        <v/>
      </c>
      <c r="AK346">
        <f>IFERROR(AVERAGEIF($A$4:$A$1004,AI346,$W$4:$W$1004),"")</f>
        <v/>
      </c>
      <c r="AL346">
        <f>IFERROR(AVERAGEIF($A$4:$A$1004,AI346,$X$4:$X$1004),"")</f>
        <v/>
      </c>
    </row>
    <row r="347">
      <c r="A347" s="1">
        <f>IF(Data!A347&gt;0,Data!A347,"")</f>
        <v/>
      </c>
      <c r="B347" s="1">
        <f>IF(Data!B347&gt;0,Data!B347,"")</f>
        <v/>
      </c>
      <c r="C347" s="1">
        <f>IF(Data!C347&gt;0,Data!C347,"")</f>
        <v/>
      </c>
      <c r="D347" s="1">
        <f>IF(Data!D347&gt;0,Data!D347,"")</f>
        <v/>
      </c>
      <c r="E347" s="1">
        <f>IF(Data!E347&gt;0,Data!E347,"")</f>
        <v/>
      </c>
      <c r="F347" s="1">
        <f>IF(Data!F347&gt;0,Data!F347,"")</f>
        <v/>
      </c>
      <c r="G347" s="1">
        <f>IF(Data!G347&gt;0,Data!G347,"")</f>
        <v/>
      </c>
      <c r="H347" s="1">
        <f>IF(Data!H347&gt;0,Data!H347,"")</f>
        <v/>
      </c>
      <c r="I347" s="1">
        <f>IF(Data!I347&gt;0,Data!I347,"")</f>
        <v/>
      </c>
      <c r="J347" s="1">
        <f>IF(Data!J347&gt;0,Data!J347,"")</f>
        <v/>
      </c>
      <c r="K347" s="1">
        <f>IF(Data!K347&gt;0,Data!K347,"")</f>
        <v/>
      </c>
      <c r="L347" s="1">
        <f>IF(Data!L347&gt;0,Data!L347,"")</f>
        <v/>
      </c>
      <c r="M347" s="1">
        <f>IF(Data!M347&gt;0,Data!M347,"")</f>
        <v/>
      </c>
      <c r="N347" s="1">
        <f>IF(Data!N347&gt;0,Data!N347,"")</f>
        <v/>
      </c>
      <c r="O347" s="1">
        <f>IF(Data!O347&gt;0,Data!O347,"")</f>
        <v/>
      </c>
      <c r="P347" s="1">
        <f>IF(Data!P347&gt;0,Data!P347,"")</f>
        <v/>
      </c>
      <c r="Q347" s="1">
        <f>IF(Data!Q347&gt;0,Data!Q347,"")</f>
        <v/>
      </c>
      <c r="R347" s="1">
        <f>IF(Data!R347&gt;0,Data!R347,"")</f>
        <v/>
      </c>
      <c r="S347" s="1">
        <f>IF(Data!S347&gt;0,Data!S347,"")</f>
        <v/>
      </c>
      <c r="V347" s="3">
        <f>IF(COUNT(D347,J347,K347,L347,M347,O347)&gt;0,AVERAGE(D347,J347,K347,L347,M347,O347),"")</f>
        <v/>
      </c>
      <c r="W347" s="3">
        <f>IF(COUNT(C347,F347,G347,N347,Q347)&gt;0,AVERAGE(C347,F347,G347,N347,Q347),"")</f>
        <v/>
      </c>
      <c r="X347" s="3">
        <f>IF(COUNT(B347,E347,H347,I347,P347,R347,S347)&gt;0,AVERAGE(B347,E347,H347,I347,P347,R347,S347),"")</f>
        <v/>
      </c>
      <c r="Y347" s="3" t="n"/>
      <c r="AJ347">
        <f>IFERROR(AVERAGEIF($A$4:$A$1004,AI347,$V$4:$V$1004),"")</f>
        <v/>
      </c>
      <c r="AK347">
        <f>IFERROR(AVERAGEIF($A$4:$A$1004,AI347,$W$4:$W$1004),"")</f>
        <v/>
      </c>
      <c r="AL347">
        <f>IFERROR(AVERAGEIF($A$4:$A$1004,AI347,$X$4:$X$1004),"")</f>
        <v/>
      </c>
    </row>
    <row r="348">
      <c r="A348" s="1">
        <f>IF(Data!A348&gt;0,Data!A348,"")</f>
        <v/>
      </c>
      <c r="B348" s="1">
        <f>IF(Data!B348&gt;0,Data!B348,"")</f>
        <v/>
      </c>
      <c r="C348" s="1">
        <f>IF(Data!C348&gt;0,Data!C348,"")</f>
        <v/>
      </c>
      <c r="D348" s="1">
        <f>IF(Data!D348&gt;0,Data!D348,"")</f>
        <v/>
      </c>
      <c r="E348" s="1">
        <f>IF(Data!E348&gt;0,Data!E348,"")</f>
        <v/>
      </c>
      <c r="F348" s="1">
        <f>IF(Data!F348&gt;0,Data!F348,"")</f>
        <v/>
      </c>
      <c r="G348" s="1">
        <f>IF(Data!G348&gt;0,Data!G348,"")</f>
        <v/>
      </c>
      <c r="H348" s="1">
        <f>IF(Data!H348&gt;0,Data!H348,"")</f>
        <v/>
      </c>
      <c r="I348" s="1">
        <f>IF(Data!I348&gt;0,Data!I348,"")</f>
        <v/>
      </c>
      <c r="J348" s="1">
        <f>IF(Data!J348&gt;0,Data!J348,"")</f>
        <v/>
      </c>
      <c r="K348" s="1">
        <f>IF(Data!K348&gt;0,Data!K348,"")</f>
        <v/>
      </c>
      <c r="L348" s="1">
        <f>IF(Data!L348&gt;0,Data!L348,"")</f>
        <v/>
      </c>
      <c r="M348" s="1">
        <f>IF(Data!M348&gt;0,Data!M348,"")</f>
        <v/>
      </c>
      <c r="N348" s="1">
        <f>IF(Data!N348&gt;0,Data!N348,"")</f>
        <v/>
      </c>
      <c r="O348" s="1">
        <f>IF(Data!O348&gt;0,Data!O348,"")</f>
        <v/>
      </c>
      <c r="P348" s="1">
        <f>IF(Data!P348&gt;0,Data!P348,"")</f>
        <v/>
      </c>
      <c r="Q348" s="1">
        <f>IF(Data!Q348&gt;0,Data!Q348,"")</f>
        <v/>
      </c>
      <c r="R348" s="1">
        <f>IF(Data!R348&gt;0,Data!R348,"")</f>
        <v/>
      </c>
      <c r="S348" s="1">
        <f>IF(Data!S348&gt;0,Data!S348,"")</f>
        <v/>
      </c>
      <c r="V348" s="3">
        <f>IF(COUNT(D348,J348,K348,L348,M348,O348)&gt;0,AVERAGE(D348,J348,K348,L348,M348,O348),"")</f>
        <v/>
      </c>
      <c r="W348" s="3">
        <f>IF(COUNT(C348,F348,G348,N348,Q348)&gt;0,AVERAGE(C348,F348,G348,N348,Q348),"")</f>
        <v/>
      </c>
      <c r="X348" s="3">
        <f>IF(COUNT(B348,E348,H348,I348,P348,R348,S348)&gt;0,AVERAGE(B348,E348,H348,I348,P348,R348,S348),"")</f>
        <v/>
      </c>
      <c r="Y348" s="3" t="n"/>
      <c r="AJ348">
        <f>IFERROR(AVERAGEIF($A$4:$A$1004,AI348,$V$4:$V$1004),"")</f>
        <v/>
      </c>
      <c r="AK348">
        <f>IFERROR(AVERAGEIF($A$4:$A$1004,AI348,$W$4:$W$1004),"")</f>
        <v/>
      </c>
      <c r="AL348">
        <f>IFERROR(AVERAGEIF($A$4:$A$1004,AI348,$X$4:$X$1004),"")</f>
        <v/>
      </c>
    </row>
    <row r="349">
      <c r="A349" s="1">
        <f>IF(Data!A349&gt;0,Data!A349,"")</f>
        <v/>
      </c>
      <c r="B349" s="1">
        <f>IF(Data!B349&gt;0,Data!B349,"")</f>
        <v/>
      </c>
      <c r="C349" s="1">
        <f>IF(Data!C349&gt;0,Data!C349,"")</f>
        <v/>
      </c>
      <c r="D349" s="1">
        <f>IF(Data!D349&gt;0,Data!D349,"")</f>
        <v/>
      </c>
      <c r="E349" s="1">
        <f>IF(Data!E349&gt;0,Data!E349,"")</f>
        <v/>
      </c>
      <c r="F349" s="1">
        <f>IF(Data!F349&gt;0,Data!F349,"")</f>
        <v/>
      </c>
      <c r="G349" s="1">
        <f>IF(Data!G349&gt;0,Data!G349,"")</f>
        <v/>
      </c>
      <c r="H349" s="1">
        <f>IF(Data!H349&gt;0,Data!H349,"")</f>
        <v/>
      </c>
      <c r="I349" s="1">
        <f>IF(Data!I349&gt;0,Data!I349,"")</f>
        <v/>
      </c>
      <c r="J349" s="1">
        <f>IF(Data!J349&gt;0,Data!J349,"")</f>
        <v/>
      </c>
      <c r="K349" s="1">
        <f>IF(Data!K349&gt;0,Data!K349,"")</f>
        <v/>
      </c>
      <c r="L349" s="1">
        <f>IF(Data!L349&gt;0,Data!L349,"")</f>
        <v/>
      </c>
      <c r="M349" s="1">
        <f>IF(Data!M349&gt;0,Data!M349,"")</f>
        <v/>
      </c>
      <c r="N349" s="1">
        <f>IF(Data!N349&gt;0,Data!N349,"")</f>
        <v/>
      </c>
      <c r="O349" s="1">
        <f>IF(Data!O349&gt;0,Data!O349,"")</f>
        <v/>
      </c>
      <c r="P349" s="1">
        <f>IF(Data!P349&gt;0,Data!P349,"")</f>
        <v/>
      </c>
      <c r="Q349" s="1">
        <f>IF(Data!Q349&gt;0,Data!Q349,"")</f>
        <v/>
      </c>
      <c r="R349" s="1">
        <f>IF(Data!R349&gt;0,Data!R349,"")</f>
        <v/>
      </c>
      <c r="S349" s="1">
        <f>IF(Data!S349&gt;0,Data!S349,"")</f>
        <v/>
      </c>
      <c r="V349" s="3">
        <f>IF(COUNT(D349,J349,K349,L349,M349,O349)&gt;0,AVERAGE(D349,J349,K349,L349,M349,O349),"")</f>
        <v/>
      </c>
      <c r="W349" s="3">
        <f>IF(COUNT(C349,F349,G349,N349,Q349)&gt;0,AVERAGE(C349,F349,G349,N349,Q349),"")</f>
        <v/>
      </c>
      <c r="X349" s="3">
        <f>IF(COUNT(B349,E349,H349,I349,P349,R349,S349)&gt;0,AVERAGE(B349,E349,H349,I349,P349,R349,S349),"")</f>
        <v/>
      </c>
      <c r="Y349" s="3" t="n"/>
      <c r="AJ349">
        <f>IFERROR(AVERAGEIF($A$4:$A$1004,AI349,$V$4:$V$1004),"")</f>
        <v/>
      </c>
      <c r="AK349">
        <f>IFERROR(AVERAGEIF($A$4:$A$1004,AI349,$W$4:$W$1004),"")</f>
        <v/>
      </c>
      <c r="AL349">
        <f>IFERROR(AVERAGEIF($A$4:$A$1004,AI349,$X$4:$X$1004),"")</f>
        <v/>
      </c>
    </row>
    <row r="350">
      <c r="A350" s="1">
        <f>IF(Data!A350&gt;0,Data!A350,"")</f>
        <v/>
      </c>
      <c r="B350" s="1">
        <f>IF(Data!B350&gt;0,Data!B350,"")</f>
        <v/>
      </c>
      <c r="C350" s="1">
        <f>IF(Data!C350&gt;0,Data!C350,"")</f>
        <v/>
      </c>
      <c r="D350" s="1">
        <f>IF(Data!D350&gt;0,Data!D350,"")</f>
        <v/>
      </c>
      <c r="E350" s="1">
        <f>IF(Data!E350&gt;0,Data!E350,"")</f>
        <v/>
      </c>
      <c r="F350" s="1">
        <f>IF(Data!F350&gt;0,Data!F350,"")</f>
        <v/>
      </c>
      <c r="G350" s="1">
        <f>IF(Data!G350&gt;0,Data!G350,"")</f>
        <v/>
      </c>
      <c r="H350" s="1">
        <f>IF(Data!H350&gt;0,Data!H350,"")</f>
        <v/>
      </c>
      <c r="I350" s="1">
        <f>IF(Data!I350&gt;0,Data!I350,"")</f>
        <v/>
      </c>
      <c r="J350" s="1">
        <f>IF(Data!J350&gt;0,Data!J350,"")</f>
        <v/>
      </c>
      <c r="K350" s="1">
        <f>IF(Data!K350&gt;0,Data!K350,"")</f>
        <v/>
      </c>
      <c r="L350" s="1">
        <f>IF(Data!L350&gt;0,Data!L350,"")</f>
        <v/>
      </c>
      <c r="M350" s="1">
        <f>IF(Data!M350&gt;0,Data!M350,"")</f>
        <v/>
      </c>
      <c r="N350" s="1">
        <f>IF(Data!N350&gt;0,Data!N350,"")</f>
        <v/>
      </c>
      <c r="O350" s="1">
        <f>IF(Data!O350&gt;0,Data!O350,"")</f>
        <v/>
      </c>
      <c r="P350" s="1">
        <f>IF(Data!P350&gt;0,Data!P350,"")</f>
        <v/>
      </c>
      <c r="Q350" s="1">
        <f>IF(Data!Q350&gt;0,Data!Q350,"")</f>
        <v/>
      </c>
      <c r="R350" s="1">
        <f>IF(Data!R350&gt;0,Data!R350,"")</f>
        <v/>
      </c>
      <c r="S350" s="1">
        <f>IF(Data!S350&gt;0,Data!S350,"")</f>
        <v/>
      </c>
      <c r="V350" s="3">
        <f>IF(COUNT(D350,J350,K350,L350,M350,O350)&gt;0,AVERAGE(D350,J350,K350,L350,M350,O350),"")</f>
        <v/>
      </c>
      <c r="W350" s="3">
        <f>IF(COUNT(C350,F350,G350,N350,Q350)&gt;0,AVERAGE(C350,F350,G350,N350,Q350),"")</f>
        <v/>
      </c>
      <c r="X350" s="3">
        <f>IF(COUNT(B350,E350,H350,I350,P350,R350,S350)&gt;0,AVERAGE(B350,E350,H350,I350,P350,R350,S350),"")</f>
        <v/>
      </c>
      <c r="Y350" s="3" t="n"/>
      <c r="AJ350">
        <f>IFERROR(AVERAGEIF($A$4:$A$1004,AI350,$V$4:$V$1004),"")</f>
        <v/>
      </c>
      <c r="AK350">
        <f>IFERROR(AVERAGEIF($A$4:$A$1004,AI350,$W$4:$W$1004),"")</f>
        <v/>
      </c>
      <c r="AL350">
        <f>IFERROR(AVERAGEIF($A$4:$A$1004,AI350,$X$4:$X$1004),"")</f>
        <v/>
      </c>
    </row>
    <row r="351">
      <c r="A351" s="1">
        <f>IF(Data!A351&gt;0,Data!A351,"")</f>
        <v/>
      </c>
      <c r="B351" s="1">
        <f>IF(Data!B351&gt;0,Data!B351,"")</f>
        <v/>
      </c>
      <c r="C351" s="1">
        <f>IF(Data!C351&gt;0,Data!C351,"")</f>
        <v/>
      </c>
      <c r="D351" s="1">
        <f>IF(Data!D351&gt;0,Data!D351,"")</f>
        <v/>
      </c>
      <c r="E351" s="1">
        <f>IF(Data!E351&gt;0,Data!E351,"")</f>
        <v/>
      </c>
      <c r="F351" s="1">
        <f>IF(Data!F351&gt;0,Data!F351,"")</f>
        <v/>
      </c>
      <c r="G351" s="1">
        <f>IF(Data!G351&gt;0,Data!G351,"")</f>
        <v/>
      </c>
      <c r="H351" s="1">
        <f>IF(Data!H351&gt;0,Data!H351,"")</f>
        <v/>
      </c>
      <c r="I351" s="1">
        <f>IF(Data!I351&gt;0,Data!I351,"")</f>
        <v/>
      </c>
      <c r="J351" s="1">
        <f>IF(Data!J351&gt;0,Data!J351,"")</f>
        <v/>
      </c>
      <c r="K351" s="1">
        <f>IF(Data!K351&gt;0,Data!K351,"")</f>
        <v/>
      </c>
      <c r="L351" s="1">
        <f>IF(Data!L351&gt;0,Data!L351,"")</f>
        <v/>
      </c>
      <c r="M351" s="1">
        <f>IF(Data!M351&gt;0,Data!M351,"")</f>
        <v/>
      </c>
      <c r="N351" s="1">
        <f>IF(Data!N351&gt;0,Data!N351,"")</f>
        <v/>
      </c>
      <c r="O351" s="1">
        <f>IF(Data!O351&gt;0,Data!O351,"")</f>
        <v/>
      </c>
      <c r="P351" s="1">
        <f>IF(Data!P351&gt;0,Data!P351,"")</f>
        <v/>
      </c>
      <c r="Q351" s="1">
        <f>IF(Data!Q351&gt;0,Data!Q351,"")</f>
        <v/>
      </c>
      <c r="R351" s="1">
        <f>IF(Data!R351&gt;0,Data!R351,"")</f>
        <v/>
      </c>
      <c r="S351" s="1">
        <f>IF(Data!S351&gt;0,Data!S351,"")</f>
        <v/>
      </c>
      <c r="V351" s="3">
        <f>IF(COUNT(D351,J351,K351,L351,M351,O351)&gt;0,AVERAGE(D351,J351,K351,L351,M351,O351),"")</f>
        <v/>
      </c>
      <c r="W351" s="3">
        <f>IF(COUNT(C351,F351,G351,N351,Q351)&gt;0,AVERAGE(C351,F351,G351,N351,Q351),"")</f>
        <v/>
      </c>
      <c r="X351" s="3">
        <f>IF(COUNT(B351,E351,H351,I351,P351,R351,S351)&gt;0,AVERAGE(B351,E351,H351,I351,P351,R351,S351),"")</f>
        <v/>
      </c>
      <c r="Y351" s="3" t="n"/>
      <c r="AJ351">
        <f>IFERROR(AVERAGEIF($A$4:$A$1004,AI351,$V$4:$V$1004),"")</f>
        <v/>
      </c>
      <c r="AK351">
        <f>IFERROR(AVERAGEIF($A$4:$A$1004,AI351,$W$4:$W$1004),"")</f>
        <v/>
      </c>
      <c r="AL351">
        <f>IFERROR(AVERAGEIF($A$4:$A$1004,AI351,$X$4:$X$1004),"")</f>
        <v/>
      </c>
    </row>
    <row r="352">
      <c r="A352" s="1">
        <f>IF(Data!A352&gt;0,Data!A352,"")</f>
        <v/>
      </c>
      <c r="B352" s="1">
        <f>IF(Data!B352&gt;0,Data!B352,"")</f>
        <v/>
      </c>
      <c r="C352" s="1">
        <f>IF(Data!C352&gt;0,Data!C352,"")</f>
        <v/>
      </c>
      <c r="D352" s="1">
        <f>IF(Data!D352&gt;0,Data!D352,"")</f>
        <v/>
      </c>
      <c r="E352" s="1">
        <f>IF(Data!E352&gt;0,Data!E352,"")</f>
        <v/>
      </c>
      <c r="F352" s="1">
        <f>IF(Data!F352&gt;0,Data!F352,"")</f>
        <v/>
      </c>
      <c r="G352" s="1">
        <f>IF(Data!G352&gt;0,Data!G352,"")</f>
        <v/>
      </c>
      <c r="H352" s="1">
        <f>IF(Data!H352&gt;0,Data!H352,"")</f>
        <v/>
      </c>
      <c r="I352" s="1">
        <f>IF(Data!I352&gt;0,Data!I352,"")</f>
        <v/>
      </c>
      <c r="J352" s="1">
        <f>IF(Data!J352&gt;0,Data!J352,"")</f>
        <v/>
      </c>
      <c r="K352" s="1">
        <f>IF(Data!K352&gt;0,Data!K352,"")</f>
        <v/>
      </c>
      <c r="L352" s="1">
        <f>IF(Data!L352&gt;0,Data!L352,"")</f>
        <v/>
      </c>
      <c r="M352" s="1">
        <f>IF(Data!M352&gt;0,Data!M352,"")</f>
        <v/>
      </c>
      <c r="N352" s="1">
        <f>IF(Data!N352&gt;0,Data!N352,"")</f>
        <v/>
      </c>
      <c r="O352" s="1">
        <f>IF(Data!O352&gt;0,Data!O352,"")</f>
        <v/>
      </c>
      <c r="P352" s="1">
        <f>IF(Data!P352&gt;0,Data!P352,"")</f>
        <v/>
      </c>
      <c r="Q352" s="1">
        <f>IF(Data!Q352&gt;0,Data!Q352,"")</f>
        <v/>
      </c>
      <c r="R352" s="1">
        <f>IF(Data!R352&gt;0,Data!R352,"")</f>
        <v/>
      </c>
      <c r="S352" s="1">
        <f>IF(Data!S352&gt;0,Data!S352,"")</f>
        <v/>
      </c>
      <c r="V352" s="3">
        <f>IF(COUNT(D352,J352,K352,L352,M352,O352)&gt;0,AVERAGE(D352,J352,K352,L352,M352,O352),"")</f>
        <v/>
      </c>
      <c r="W352" s="3">
        <f>IF(COUNT(C352,F352,G352,N352,Q352)&gt;0,AVERAGE(C352,F352,G352,N352,Q352),"")</f>
        <v/>
      </c>
      <c r="X352" s="3">
        <f>IF(COUNT(B352,E352,H352,I352,P352,R352,S352)&gt;0,AVERAGE(B352,E352,H352,I352,P352,R352,S352),"")</f>
        <v/>
      </c>
      <c r="Y352" s="3" t="n"/>
      <c r="AJ352">
        <f>IFERROR(AVERAGEIF($A$4:$A$1004,AI352,$V$4:$V$1004),"")</f>
        <v/>
      </c>
      <c r="AK352">
        <f>IFERROR(AVERAGEIF($A$4:$A$1004,AI352,$W$4:$W$1004),"")</f>
        <v/>
      </c>
      <c r="AL352">
        <f>IFERROR(AVERAGEIF($A$4:$A$1004,AI352,$X$4:$X$1004),"")</f>
        <v/>
      </c>
    </row>
    <row r="353">
      <c r="A353" s="1">
        <f>IF(Data!A353&gt;0,Data!A353,"")</f>
        <v/>
      </c>
      <c r="B353" s="1">
        <f>IF(Data!B353&gt;0,Data!B353,"")</f>
        <v/>
      </c>
      <c r="C353" s="1">
        <f>IF(Data!C353&gt;0,Data!C353,"")</f>
        <v/>
      </c>
      <c r="D353" s="1">
        <f>IF(Data!D353&gt;0,Data!D353,"")</f>
        <v/>
      </c>
      <c r="E353" s="1">
        <f>IF(Data!E353&gt;0,Data!E353,"")</f>
        <v/>
      </c>
      <c r="F353" s="1">
        <f>IF(Data!F353&gt;0,Data!F353,"")</f>
        <v/>
      </c>
      <c r="G353" s="1">
        <f>IF(Data!G353&gt;0,Data!G353,"")</f>
        <v/>
      </c>
      <c r="H353" s="1">
        <f>IF(Data!H353&gt;0,Data!H353,"")</f>
        <v/>
      </c>
      <c r="I353" s="1">
        <f>IF(Data!I353&gt;0,Data!I353,"")</f>
        <v/>
      </c>
      <c r="J353" s="1">
        <f>IF(Data!J353&gt;0,Data!J353,"")</f>
        <v/>
      </c>
      <c r="K353" s="1">
        <f>IF(Data!K353&gt;0,Data!K353,"")</f>
        <v/>
      </c>
      <c r="L353" s="1">
        <f>IF(Data!L353&gt;0,Data!L353,"")</f>
        <v/>
      </c>
      <c r="M353" s="1">
        <f>IF(Data!M353&gt;0,Data!M353,"")</f>
        <v/>
      </c>
      <c r="N353" s="1">
        <f>IF(Data!N353&gt;0,Data!N353,"")</f>
        <v/>
      </c>
      <c r="O353" s="1">
        <f>IF(Data!O353&gt;0,Data!O353,"")</f>
        <v/>
      </c>
      <c r="P353" s="1">
        <f>IF(Data!P353&gt;0,Data!P353,"")</f>
        <v/>
      </c>
      <c r="Q353" s="1">
        <f>IF(Data!Q353&gt;0,Data!Q353,"")</f>
        <v/>
      </c>
      <c r="R353" s="1">
        <f>IF(Data!R353&gt;0,Data!R353,"")</f>
        <v/>
      </c>
      <c r="S353" s="1">
        <f>IF(Data!S353&gt;0,Data!S353,"")</f>
        <v/>
      </c>
      <c r="V353" s="3">
        <f>IF(COUNT(D353,J353,K353,L353,M353,O353)&gt;0,AVERAGE(D353,J353,K353,L353,M353,O353),"")</f>
        <v/>
      </c>
      <c r="W353" s="3">
        <f>IF(COUNT(C353,F353,G353,N353,Q353)&gt;0,AVERAGE(C353,F353,G353,N353,Q353),"")</f>
        <v/>
      </c>
      <c r="X353" s="3">
        <f>IF(COUNT(B353,E353,H353,I353,P353,R353,S353)&gt;0,AVERAGE(B353,E353,H353,I353,P353,R353,S353),"")</f>
        <v/>
      </c>
      <c r="Y353" s="3" t="n"/>
      <c r="AJ353">
        <f>IFERROR(AVERAGEIF($A$4:$A$1004,AI353,$V$4:$V$1004),"")</f>
        <v/>
      </c>
      <c r="AK353">
        <f>IFERROR(AVERAGEIF($A$4:$A$1004,AI353,$W$4:$W$1004),"")</f>
        <v/>
      </c>
      <c r="AL353">
        <f>IFERROR(AVERAGEIF($A$4:$A$1004,AI353,$X$4:$X$1004),"")</f>
        <v/>
      </c>
    </row>
    <row r="354">
      <c r="A354" s="1">
        <f>IF(Data!A354&gt;0,Data!A354,"")</f>
        <v/>
      </c>
      <c r="B354" s="1">
        <f>IF(Data!B354&gt;0,Data!B354,"")</f>
        <v/>
      </c>
      <c r="C354" s="1">
        <f>IF(Data!C354&gt;0,Data!C354,"")</f>
        <v/>
      </c>
      <c r="D354" s="1">
        <f>IF(Data!D354&gt;0,Data!D354,"")</f>
        <v/>
      </c>
      <c r="E354" s="1">
        <f>IF(Data!E354&gt;0,Data!E354,"")</f>
        <v/>
      </c>
      <c r="F354" s="1">
        <f>IF(Data!F354&gt;0,Data!F354,"")</f>
        <v/>
      </c>
      <c r="G354" s="1">
        <f>IF(Data!G354&gt;0,Data!G354,"")</f>
        <v/>
      </c>
      <c r="H354" s="1">
        <f>IF(Data!H354&gt;0,Data!H354,"")</f>
        <v/>
      </c>
      <c r="I354" s="1">
        <f>IF(Data!I354&gt;0,Data!I354,"")</f>
        <v/>
      </c>
      <c r="J354" s="1">
        <f>IF(Data!J354&gt;0,Data!J354,"")</f>
        <v/>
      </c>
      <c r="K354" s="1">
        <f>IF(Data!K354&gt;0,Data!K354,"")</f>
        <v/>
      </c>
      <c r="L354" s="1">
        <f>IF(Data!L354&gt;0,Data!L354,"")</f>
        <v/>
      </c>
      <c r="M354" s="1">
        <f>IF(Data!M354&gt;0,Data!M354,"")</f>
        <v/>
      </c>
      <c r="N354" s="1">
        <f>IF(Data!N354&gt;0,Data!N354,"")</f>
        <v/>
      </c>
      <c r="O354" s="1">
        <f>IF(Data!O354&gt;0,Data!O354,"")</f>
        <v/>
      </c>
      <c r="P354" s="1">
        <f>IF(Data!P354&gt;0,Data!P354,"")</f>
        <v/>
      </c>
      <c r="Q354" s="1">
        <f>IF(Data!Q354&gt;0,Data!Q354,"")</f>
        <v/>
      </c>
      <c r="R354" s="1">
        <f>IF(Data!R354&gt;0,Data!R354,"")</f>
        <v/>
      </c>
      <c r="S354" s="1">
        <f>IF(Data!S354&gt;0,Data!S354,"")</f>
        <v/>
      </c>
      <c r="V354" s="3">
        <f>IF(COUNT(D354,J354,K354,L354,M354,O354)&gt;0,AVERAGE(D354,J354,K354,L354,M354,O354),"")</f>
        <v/>
      </c>
      <c r="W354" s="3">
        <f>IF(COUNT(C354,F354,G354,N354,Q354)&gt;0,AVERAGE(C354,F354,G354,N354,Q354),"")</f>
        <v/>
      </c>
      <c r="X354" s="3">
        <f>IF(COUNT(B354,E354,H354,I354,P354,R354,S354)&gt;0,AVERAGE(B354,E354,H354,I354,P354,R354,S354),"")</f>
        <v/>
      </c>
      <c r="Y354" s="3" t="n"/>
      <c r="AJ354">
        <f>IFERROR(AVERAGEIF($A$4:$A$1004,AI354,$V$4:$V$1004),"")</f>
        <v/>
      </c>
      <c r="AK354">
        <f>IFERROR(AVERAGEIF($A$4:$A$1004,AI354,$W$4:$W$1004),"")</f>
        <v/>
      </c>
      <c r="AL354">
        <f>IFERROR(AVERAGEIF($A$4:$A$1004,AI354,$X$4:$X$1004),"")</f>
        <v/>
      </c>
    </row>
    <row r="355">
      <c r="A355" s="1">
        <f>IF(Data!A355&gt;0,Data!A355,"")</f>
        <v/>
      </c>
      <c r="B355" s="1">
        <f>IF(Data!B355&gt;0,Data!B355,"")</f>
        <v/>
      </c>
      <c r="C355" s="1">
        <f>IF(Data!C355&gt;0,Data!C355,"")</f>
        <v/>
      </c>
      <c r="D355" s="1">
        <f>IF(Data!D355&gt;0,Data!D355,"")</f>
        <v/>
      </c>
      <c r="E355" s="1">
        <f>IF(Data!E355&gt;0,Data!E355,"")</f>
        <v/>
      </c>
      <c r="F355" s="1">
        <f>IF(Data!F355&gt;0,Data!F355,"")</f>
        <v/>
      </c>
      <c r="G355" s="1">
        <f>IF(Data!G355&gt;0,Data!G355,"")</f>
        <v/>
      </c>
      <c r="H355" s="1">
        <f>IF(Data!H355&gt;0,Data!H355,"")</f>
        <v/>
      </c>
      <c r="I355" s="1">
        <f>IF(Data!I355&gt;0,Data!I355,"")</f>
        <v/>
      </c>
      <c r="J355" s="1">
        <f>IF(Data!J355&gt;0,Data!J355,"")</f>
        <v/>
      </c>
      <c r="K355" s="1">
        <f>IF(Data!K355&gt;0,Data!K355,"")</f>
        <v/>
      </c>
      <c r="L355" s="1">
        <f>IF(Data!L355&gt;0,Data!L355,"")</f>
        <v/>
      </c>
      <c r="M355" s="1">
        <f>IF(Data!M355&gt;0,Data!M355,"")</f>
        <v/>
      </c>
      <c r="N355" s="1">
        <f>IF(Data!N355&gt;0,Data!N355,"")</f>
        <v/>
      </c>
      <c r="O355" s="1">
        <f>IF(Data!O355&gt;0,Data!O355,"")</f>
        <v/>
      </c>
      <c r="P355" s="1">
        <f>IF(Data!P355&gt;0,Data!P355,"")</f>
        <v/>
      </c>
      <c r="Q355" s="1">
        <f>IF(Data!Q355&gt;0,Data!Q355,"")</f>
        <v/>
      </c>
      <c r="R355" s="1">
        <f>IF(Data!R355&gt;0,Data!R355,"")</f>
        <v/>
      </c>
      <c r="S355" s="1">
        <f>IF(Data!S355&gt;0,Data!S355,"")</f>
        <v/>
      </c>
      <c r="V355" s="3">
        <f>IF(COUNT(D355,J355,K355,L355,M355,O355)&gt;0,AVERAGE(D355,J355,K355,L355,M355,O355),"")</f>
        <v/>
      </c>
      <c r="W355" s="3">
        <f>IF(COUNT(C355,F355,G355,N355,Q355)&gt;0,AVERAGE(C355,F355,G355,N355,Q355),"")</f>
        <v/>
      </c>
      <c r="X355" s="3">
        <f>IF(COUNT(B355,E355,H355,I355,P355,R355,S355)&gt;0,AVERAGE(B355,E355,H355,I355,P355,R355,S355),"")</f>
        <v/>
      </c>
      <c r="Y355" s="3" t="n"/>
      <c r="AJ355">
        <f>IFERROR(AVERAGEIF($A$4:$A$1004,AI355,$V$4:$V$1004),"")</f>
        <v/>
      </c>
      <c r="AK355">
        <f>IFERROR(AVERAGEIF($A$4:$A$1004,AI355,$W$4:$W$1004),"")</f>
        <v/>
      </c>
      <c r="AL355">
        <f>IFERROR(AVERAGEIF($A$4:$A$1004,AI355,$X$4:$X$1004),"")</f>
        <v/>
      </c>
    </row>
    <row r="356">
      <c r="A356" s="1">
        <f>IF(Data!A356&gt;0,Data!A356,"")</f>
        <v/>
      </c>
      <c r="B356" s="1">
        <f>IF(Data!B356&gt;0,Data!B356,"")</f>
        <v/>
      </c>
      <c r="C356" s="1">
        <f>IF(Data!C356&gt;0,Data!C356,"")</f>
        <v/>
      </c>
      <c r="D356" s="1">
        <f>IF(Data!D356&gt;0,Data!D356,"")</f>
        <v/>
      </c>
      <c r="E356" s="1">
        <f>IF(Data!E356&gt;0,Data!E356,"")</f>
        <v/>
      </c>
      <c r="F356" s="1">
        <f>IF(Data!F356&gt;0,Data!F356,"")</f>
        <v/>
      </c>
      <c r="G356" s="1">
        <f>IF(Data!G356&gt;0,Data!G356,"")</f>
        <v/>
      </c>
      <c r="H356" s="1">
        <f>IF(Data!H356&gt;0,Data!H356,"")</f>
        <v/>
      </c>
      <c r="I356" s="1">
        <f>IF(Data!I356&gt;0,Data!I356,"")</f>
        <v/>
      </c>
      <c r="J356" s="1">
        <f>IF(Data!J356&gt;0,Data!J356,"")</f>
        <v/>
      </c>
      <c r="K356" s="1">
        <f>IF(Data!K356&gt;0,Data!K356,"")</f>
        <v/>
      </c>
      <c r="L356" s="1">
        <f>IF(Data!L356&gt;0,Data!L356,"")</f>
        <v/>
      </c>
      <c r="M356" s="1">
        <f>IF(Data!M356&gt;0,Data!M356,"")</f>
        <v/>
      </c>
      <c r="N356" s="1">
        <f>IF(Data!N356&gt;0,Data!N356,"")</f>
        <v/>
      </c>
      <c r="O356" s="1">
        <f>IF(Data!O356&gt;0,Data!O356,"")</f>
        <v/>
      </c>
      <c r="P356" s="1">
        <f>IF(Data!P356&gt;0,Data!P356,"")</f>
        <v/>
      </c>
      <c r="Q356" s="1">
        <f>IF(Data!Q356&gt;0,Data!Q356,"")</f>
        <v/>
      </c>
      <c r="R356" s="1">
        <f>IF(Data!R356&gt;0,Data!R356,"")</f>
        <v/>
      </c>
      <c r="S356" s="1">
        <f>IF(Data!S356&gt;0,Data!S356,"")</f>
        <v/>
      </c>
      <c r="V356" s="3">
        <f>IF(COUNT(D356,J356,K356,L356,M356,O356)&gt;0,AVERAGE(D356,J356,K356,L356,M356,O356),"")</f>
        <v/>
      </c>
      <c r="W356" s="3">
        <f>IF(COUNT(C356,F356,G356,N356,Q356)&gt;0,AVERAGE(C356,F356,G356,N356,Q356),"")</f>
        <v/>
      </c>
      <c r="X356" s="3">
        <f>IF(COUNT(B356,E356,H356,I356,P356,R356,S356)&gt;0,AVERAGE(B356,E356,H356,I356,P356,R356,S356),"")</f>
        <v/>
      </c>
      <c r="Y356" s="3" t="n"/>
      <c r="AJ356">
        <f>IFERROR(AVERAGEIF($A$4:$A$1004,AI356,$V$4:$V$1004),"")</f>
        <v/>
      </c>
      <c r="AK356">
        <f>IFERROR(AVERAGEIF($A$4:$A$1004,AI356,$W$4:$W$1004),"")</f>
        <v/>
      </c>
      <c r="AL356">
        <f>IFERROR(AVERAGEIF($A$4:$A$1004,AI356,$X$4:$X$1004),"")</f>
        <v/>
      </c>
    </row>
    <row r="357">
      <c r="A357" s="1">
        <f>IF(Data!A357&gt;0,Data!A357,"")</f>
        <v/>
      </c>
      <c r="B357" s="1">
        <f>IF(Data!B357&gt;0,Data!B357,"")</f>
        <v/>
      </c>
      <c r="C357" s="1">
        <f>IF(Data!C357&gt;0,Data!C357,"")</f>
        <v/>
      </c>
      <c r="D357" s="1">
        <f>IF(Data!D357&gt;0,Data!D357,"")</f>
        <v/>
      </c>
      <c r="E357" s="1">
        <f>IF(Data!E357&gt;0,Data!E357,"")</f>
        <v/>
      </c>
      <c r="F357" s="1">
        <f>IF(Data!F357&gt;0,Data!F357,"")</f>
        <v/>
      </c>
      <c r="G357" s="1">
        <f>IF(Data!G357&gt;0,Data!G357,"")</f>
        <v/>
      </c>
      <c r="H357" s="1">
        <f>IF(Data!H357&gt;0,Data!H357,"")</f>
        <v/>
      </c>
      <c r="I357" s="1">
        <f>IF(Data!I357&gt;0,Data!I357,"")</f>
        <v/>
      </c>
      <c r="J357" s="1">
        <f>IF(Data!J357&gt;0,Data!J357,"")</f>
        <v/>
      </c>
      <c r="K357" s="1">
        <f>IF(Data!K357&gt;0,Data!K357,"")</f>
        <v/>
      </c>
      <c r="L357" s="1">
        <f>IF(Data!L357&gt;0,Data!L357,"")</f>
        <v/>
      </c>
      <c r="M357" s="1">
        <f>IF(Data!M357&gt;0,Data!M357,"")</f>
        <v/>
      </c>
      <c r="N357" s="1">
        <f>IF(Data!N357&gt;0,Data!N357,"")</f>
        <v/>
      </c>
      <c r="O357" s="1">
        <f>IF(Data!O357&gt;0,Data!O357,"")</f>
        <v/>
      </c>
      <c r="P357" s="1">
        <f>IF(Data!P357&gt;0,Data!P357,"")</f>
        <v/>
      </c>
      <c r="Q357" s="1">
        <f>IF(Data!Q357&gt;0,Data!Q357,"")</f>
        <v/>
      </c>
      <c r="R357" s="1">
        <f>IF(Data!R357&gt;0,Data!R357,"")</f>
        <v/>
      </c>
      <c r="S357" s="1">
        <f>IF(Data!S357&gt;0,Data!S357,"")</f>
        <v/>
      </c>
      <c r="V357" s="3">
        <f>IF(COUNT(D357,J357,K357,L357,M357,O357)&gt;0,AVERAGE(D357,J357,K357,L357,M357,O357),"")</f>
        <v/>
      </c>
      <c r="W357" s="3">
        <f>IF(COUNT(C357,F357,G357,N357,Q357)&gt;0,AVERAGE(C357,F357,G357,N357,Q357),"")</f>
        <v/>
      </c>
      <c r="X357" s="3">
        <f>IF(COUNT(B357,E357,H357,I357,P357,R357,S357)&gt;0,AVERAGE(B357,E357,H357,I357,P357,R357,S357),"")</f>
        <v/>
      </c>
      <c r="Y357" s="3" t="n"/>
      <c r="AJ357">
        <f>IFERROR(AVERAGEIF($A$4:$A$1004,AI357,$V$4:$V$1004),"")</f>
        <v/>
      </c>
      <c r="AK357">
        <f>IFERROR(AVERAGEIF($A$4:$A$1004,AI357,$W$4:$W$1004),"")</f>
        <v/>
      </c>
      <c r="AL357">
        <f>IFERROR(AVERAGEIF($A$4:$A$1004,AI357,$X$4:$X$1004),"")</f>
        <v/>
      </c>
    </row>
    <row r="358">
      <c r="A358" s="1">
        <f>IF(Data!A358&gt;0,Data!A358,"")</f>
        <v/>
      </c>
      <c r="B358" s="1">
        <f>IF(Data!B358&gt;0,Data!B358,"")</f>
        <v/>
      </c>
      <c r="C358" s="1">
        <f>IF(Data!C358&gt;0,Data!C358,"")</f>
        <v/>
      </c>
      <c r="D358" s="1">
        <f>IF(Data!D358&gt;0,Data!D358,"")</f>
        <v/>
      </c>
      <c r="E358" s="1">
        <f>IF(Data!E358&gt;0,Data!E358,"")</f>
        <v/>
      </c>
      <c r="F358" s="1">
        <f>IF(Data!F358&gt;0,Data!F358,"")</f>
        <v/>
      </c>
      <c r="G358" s="1">
        <f>IF(Data!G358&gt;0,Data!G358,"")</f>
        <v/>
      </c>
      <c r="H358" s="1">
        <f>IF(Data!H358&gt;0,Data!H358,"")</f>
        <v/>
      </c>
      <c r="I358" s="1">
        <f>IF(Data!I358&gt;0,Data!I358,"")</f>
        <v/>
      </c>
      <c r="J358" s="1">
        <f>IF(Data!J358&gt;0,Data!J358,"")</f>
        <v/>
      </c>
      <c r="K358" s="1">
        <f>IF(Data!K358&gt;0,Data!K358,"")</f>
        <v/>
      </c>
      <c r="L358" s="1">
        <f>IF(Data!L358&gt;0,Data!L358,"")</f>
        <v/>
      </c>
      <c r="M358" s="1">
        <f>IF(Data!M358&gt;0,Data!M358,"")</f>
        <v/>
      </c>
      <c r="N358" s="1">
        <f>IF(Data!N358&gt;0,Data!N358,"")</f>
        <v/>
      </c>
      <c r="O358" s="1">
        <f>IF(Data!O358&gt;0,Data!O358,"")</f>
        <v/>
      </c>
      <c r="P358" s="1">
        <f>IF(Data!P358&gt;0,Data!P358,"")</f>
        <v/>
      </c>
      <c r="Q358" s="1">
        <f>IF(Data!Q358&gt;0,Data!Q358,"")</f>
        <v/>
      </c>
      <c r="R358" s="1">
        <f>IF(Data!R358&gt;0,Data!R358,"")</f>
        <v/>
      </c>
      <c r="S358" s="1">
        <f>IF(Data!S358&gt;0,Data!S358,"")</f>
        <v/>
      </c>
      <c r="V358" s="3">
        <f>IF(COUNT(D358,J358,K358,L358,M358,O358)&gt;0,AVERAGE(D358,J358,K358,L358,M358,O358),"")</f>
        <v/>
      </c>
      <c r="W358" s="3">
        <f>IF(COUNT(C358,F358,G358,N358,Q358)&gt;0,AVERAGE(C358,F358,G358,N358,Q358),"")</f>
        <v/>
      </c>
      <c r="X358" s="3">
        <f>IF(COUNT(B358,E358,H358,I358,P358,R358,S358)&gt;0,AVERAGE(B358,E358,H358,I358,P358,R358,S358),"")</f>
        <v/>
      </c>
      <c r="Y358" s="3" t="n"/>
      <c r="AJ358">
        <f>IFERROR(AVERAGEIF($A$4:$A$1004,AI358,$V$4:$V$1004),"")</f>
        <v/>
      </c>
      <c r="AK358">
        <f>IFERROR(AVERAGEIF($A$4:$A$1004,AI358,$W$4:$W$1004),"")</f>
        <v/>
      </c>
      <c r="AL358">
        <f>IFERROR(AVERAGEIF($A$4:$A$1004,AI358,$X$4:$X$1004),"")</f>
        <v/>
      </c>
    </row>
    <row r="359">
      <c r="A359" s="1">
        <f>IF(Data!A359&gt;0,Data!A359,"")</f>
        <v/>
      </c>
      <c r="B359" s="1">
        <f>IF(Data!B359&gt;0,Data!B359,"")</f>
        <v/>
      </c>
      <c r="C359" s="1">
        <f>IF(Data!C359&gt;0,Data!C359,"")</f>
        <v/>
      </c>
      <c r="D359" s="1">
        <f>IF(Data!D359&gt;0,Data!D359,"")</f>
        <v/>
      </c>
      <c r="E359" s="1">
        <f>IF(Data!E359&gt;0,Data!E359,"")</f>
        <v/>
      </c>
      <c r="F359" s="1">
        <f>IF(Data!F359&gt;0,Data!F359,"")</f>
        <v/>
      </c>
      <c r="G359" s="1">
        <f>IF(Data!G359&gt;0,Data!G359,"")</f>
        <v/>
      </c>
      <c r="H359" s="1">
        <f>IF(Data!H359&gt;0,Data!H359,"")</f>
        <v/>
      </c>
      <c r="I359" s="1">
        <f>IF(Data!I359&gt;0,Data!I359,"")</f>
        <v/>
      </c>
      <c r="J359" s="1">
        <f>IF(Data!J359&gt;0,Data!J359,"")</f>
        <v/>
      </c>
      <c r="K359" s="1">
        <f>IF(Data!K359&gt;0,Data!K359,"")</f>
        <v/>
      </c>
      <c r="L359" s="1">
        <f>IF(Data!L359&gt;0,Data!L359,"")</f>
        <v/>
      </c>
      <c r="M359" s="1">
        <f>IF(Data!M359&gt;0,Data!M359,"")</f>
        <v/>
      </c>
      <c r="N359" s="1">
        <f>IF(Data!N359&gt;0,Data!N359,"")</f>
        <v/>
      </c>
      <c r="O359" s="1">
        <f>IF(Data!O359&gt;0,Data!O359,"")</f>
        <v/>
      </c>
      <c r="P359" s="1">
        <f>IF(Data!P359&gt;0,Data!P359,"")</f>
        <v/>
      </c>
      <c r="Q359" s="1">
        <f>IF(Data!Q359&gt;0,Data!Q359,"")</f>
        <v/>
      </c>
      <c r="R359" s="1">
        <f>IF(Data!R359&gt;0,Data!R359,"")</f>
        <v/>
      </c>
      <c r="S359" s="1">
        <f>IF(Data!S359&gt;0,Data!S359,"")</f>
        <v/>
      </c>
      <c r="V359" s="3">
        <f>IF(COUNT(D359,J359,K359,L359,M359,O359)&gt;0,AVERAGE(D359,J359,K359,L359,M359,O359),"")</f>
        <v/>
      </c>
      <c r="W359" s="3">
        <f>IF(COUNT(C359,F359,G359,N359,Q359)&gt;0,AVERAGE(C359,F359,G359,N359,Q359),"")</f>
        <v/>
      </c>
      <c r="X359" s="3">
        <f>IF(COUNT(B359,E359,H359,I359,P359,R359,S359)&gt;0,AVERAGE(B359,E359,H359,I359,P359,R359,S359),"")</f>
        <v/>
      </c>
      <c r="Y359" s="3" t="n"/>
      <c r="AJ359">
        <f>IFERROR(AVERAGEIF($A$4:$A$1004,AI359,$V$4:$V$1004),"")</f>
        <v/>
      </c>
      <c r="AK359">
        <f>IFERROR(AVERAGEIF($A$4:$A$1004,AI359,$W$4:$W$1004),"")</f>
        <v/>
      </c>
      <c r="AL359">
        <f>IFERROR(AVERAGEIF($A$4:$A$1004,AI359,$X$4:$X$1004),"")</f>
        <v/>
      </c>
    </row>
    <row r="360">
      <c r="A360" s="1">
        <f>IF(Data!A360&gt;0,Data!A360,"")</f>
        <v/>
      </c>
      <c r="B360" s="1">
        <f>IF(Data!B360&gt;0,Data!B360,"")</f>
        <v/>
      </c>
      <c r="C360" s="1">
        <f>IF(Data!C360&gt;0,Data!C360,"")</f>
        <v/>
      </c>
      <c r="D360" s="1">
        <f>IF(Data!D360&gt;0,Data!D360,"")</f>
        <v/>
      </c>
      <c r="E360" s="1">
        <f>IF(Data!E360&gt;0,Data!E360,"")</f>
        <v/>
      </c>
      <c r="F360" s="1">
        <f>IF(Data!F360&gt;0,Data!F360,"")</f>
        <v/>
      </c>
      <c r="G360" s="1">
        <f>IF(Data!G360&gt;0,Data!G360,"")</f>
        <v/>
      </c>
      <c r="H360" s="1">
        <f>IF(Data!H360&gt;0,Data!H360,"")</f>
        <v/>
      </c>
      <c r="I360" s="1">
        <f>IF(Data!I360&gt;0,Data!I360,"")</f>
        <v/>
      </c>
      <c r="J360" s="1">
        <f>IF(Data!J360&gt;0,Data!J360,"")</f>
        <v/>
      </c>
      <c r="K360" s="1">
        <f>IF(Data!K360&gt;0,Data!K360,"")</f>
        <v/>
      </c>
      <c r="L360" s="1">
        <f>IF(Data!L360&gt;0,Data!L360,"")</f>
        <v/>
      </c>
      <c r="M360" s="1">
        <f>IF(Data!M360&gt;0,Data!M360,"")</f>
        <v/>
      </c>
      <c r="N360" s="1">
        <f>IF(Data!N360&gt;0,Data!N360,"")</f>
        <v/>
      </c>
      <c r="O360" s="1">
        <f>IF(Data!O360&gt;0,Data!O360,"")</f>
        <v/>
      </c>
      <c r="P360" s="1">
        <f>IF(Data!P360&gt;0,Data!P360,"")</f>
        <v/>
      </c>
      <c r="Q360" s="1">
        <f>IF(Data!Q360&gt;0,Data!Q360,"")</f>
        <v/>
      </c>
      <c r="R360" s="1">
        <f>IF(Data!R360&gt;0,Data!R360,"")</f>
        <v/>
      </c>
      <c r="S360" s="1">
        <f>IF(Data!S360&gt;0,Data!S360,"")</f>
        <v/>
      </c>
      <c r="V360" s="3">
        <f>IF(COUNT(D360,J360,K360,L360,M360,O360)&gt;0,AVERAGE(D360,J360,K360,L360,M360,O360),"")</f>
        <v/>
      </c>
      <c r="W360" s="3">
        <f>IF(COUNT(C360,F360,G360,N360,Q360)&gt;0,AVERAGE(C360,F360,G360,N360,Q360),"")</f>
        <v/>
      </c>
      <c r="X360" s="3">
        <f>IF(COUNT(B360,E360,H360,I360,P360,R360,S360)&gt;0,AVERAGE(B360,E360,H360,I360,P360,R360,S360),"")</f>
        <v/>
      </c>
      <c r="Y360" s="3" t="n"/>
      <c r="AJ360">
        <f>IFERROR(AVERAGEIF($A$4:$A$1004,AI360,$V$4:$V$1004),"")</f>
        <v/>
      </c>
      <c r="AK360">
        <f>IFERROR(AVERAGEIF($A$4:$A$1004,AI360,$W$4:$W$1004),"")</f>
        <v/>
      </c>
      <c r="AL360">
        <f>IFERROR(AVERAGEIF($A$4:$A$1004,AI360,$X$4:$X$1004),"")</f>
        <v/>
      </c>
    </row>
    <row r="361">
      <c r="A361" s="1">
        <f>IF(Data!A361&gt;0,Data!A361,"")</f>
        <v/>
      </c>
      <c r="B361" s="1">
        <f>IF(Data!B361&gt;0,Data!B361,"")</f>
        <v/>
      </c>
      <c r="C361" s="1">
        <f>IF(Data!C361&gt;0,Data!C361,"")</f>
        <v/>
      </c>
      <c r="D361" s="1">
        <f>IF(Data!D361&gt;0,Data!D361,"")</f>
        <v/>
      </c>
      <c r="E361" s="1">
        <f>IF(Data!E361&gt;0,Data!E361,"")</f>
        <v/>
      </c>
      <c r="F361" s="1">
        <f>IF(Data!F361&gt;0,Data!F361,"")</f>
        <v/>
      </c>
      <c r="G361" s="1">
        <f>IF(Data!G361&gt;0,Data!G361,"")</f>
        <v/>
      </c>
      <c r="H361" s="1">
        <f>IF(Data!H361&gt;0,Data!H361,"")</f>
        <v/>
      </c>
      <c r="I361" s="1">
        <f>IF(Data!I361&gt;0,Data!I361,"")</f>
        <v/>
      </c>
      <c r="J361" s="1">
        <f>IF(Data!J361&gt;0,Data!J361,"")</f>
        <v/>
      </c>
      <c r="K361" s="1">
        <f>IF(Data!K361&gt;0,Data!K361,"")</f>
        <v/>
      </c>
      <c r="L361" s="1">
        <f>IF(Data!L361&gt;0,Data!L361,"")</f>
        <v/>
      </c>
      <c r="M361" s="1">
        <f>IF(Data!M361&gt;0,Data!M361,"")</f>
        <v/>
      </c>
      <c r="N361" s="1">
        <f>IF(Data!N361&gt;0,Data!N361,"")</f>
        <v/>
      </c>
      <c r="O361" s="1">
        <f>IF(Data!O361&gt;0,Data!O361,"")</f>
        <v/>
      </c>
      <c r="P361" s="1">
        <f>IF(Data!P361&gt;0,Data!P361,"")</f>
        <v/>
      </c>
      <c r="Q361" s="1">
        <f>IF(Data!Q361&gt;0,Data!Q361,"")</f>
        <v/>
      </c>
      <c r="R361" s="1">
        <f>IF(Data!R361&gt;0,Data!R361,"")</f>
        <v/>
      </c>
      <c r="S361" s="1">
        <f>IF(Data!S361&gt;0,Data!S361,"")</f>
        <v/>
      </c>
      <c r="V361" s="3">
        <f>IF(COUNT(D361,J361,K361,L361,M361,O361)&gt;0,AVERAGE(D361,J361,K361,L361,M361,O361),"")</f>
        <v/>
      </c>
      <c r="W361" s="3">
        <f>IF(COUNT(C361,F361,G361,N361,Q361)&gt;0,AVERAGE(C361,F361,G361,N361,Q361),"")</f>
        <v/>
      </c>
      <c r="X361" s="3">
        <f>IF(COUNT(B361,E361,H361,I361,P361,R361,S361)&gt;0,AVERAGE(B361,E361,H361,I361,P361,R361,S361),"")</f>
        <v/>
      </c>
      <c r="Y361" s="3" t="n"/>
      <c r="AJ361">
        <f>IFERROR(AVERAGEIF($A$4:$A$1004,AI361,$V$4:$V$1004),"")</f>
        <v/>
      </c>
      <c r="AK361">
        <f>IFERROR(AVERAGEIF($A$4:$A$1004,AI361,$W$4:$W$1004),"")</f>
        <v/>
      </c>
      <c r="AL361">
        <f>IFERROR(AVERAGEIF($A$4:$A$1004,AI361,$X$4:$X$1004),"")</f>
        <v/>
      </c>
    </row>
    <row r="362">
      <c r="A362" s="1">
        <f>IF(Data!A362&gt;0,Data!A362,"")</f>
        <v/>
      </c>
      <c r="B362" s="1">
        <f>IF(Data!B362&gt;0,Data!B362,"")</f>
        <v/>
      </c>
      <c r="C362" s="1">
        <f>IF(Data!C362&gt;0,Data!C362,"")</f>
        <v/>
      </c>
      <c r="D362" s="1">
        <f>IF(Data!D362&gt;0,Data!D362,"")</f>
        <v/>
      </c>
      <c r="E362" s="1">
        <f>IF(Data!E362&gt;0,Data!E362,"")</f>
        <v/>
      </c>
      <c r="F362" s="1">
        <f>IF(Data!F362&gt;0,Data!F362,"")</f>
        <v/>
      </c>
      <c r="G362" s="1">
        <f>IF(Data!G362&gt;0,Data!G362,"")</f>
        <v/>
      </c>
      <c r="H362" s="1">
        <f>IF(Data!H362&gt;0,Data!H362,"")</f>
        <v/>
      </c>
      <c r="I362" s="1">
        <f>IF(Data!I362&gt;0,Data!I362,"")</f>
        <v/>
      </c>
      <c r="J362" s="1">
        <f>IF(Data!J362&gt;0,Data!J362,"")</f>
        <v/>
      </c>
      <c r="K362" s="1">
        <f>IF(Data!K362&gt;0,Data!K362,"")</f>
        <v/>
      </c>
      <c r="L362" s="1">
        <f>IF(Data!L362&gt;0,Data!L362,"")</f>
        <v/>
      </c>
      <c r="M362" s="1">
        <f>IF(Data!M362&gt;0,Data!M362,"")</f>
        <v/>
      </c>
      <c r="N362" s="1">
        <f>IF(Data!N362&gt;0,Data!N362,"")</f>
        <v/>
      </c>
      <c r="O362" s="1">
        <f>IF(Data!O362&gt;0,Data!O362,"")</f>
        <v/>
      </c>
      <c r="P362" s="1">
        <f>IF(Data!P362&gt;0,Data!P362,"")</f>
        <v/>
      </c>
      <c r="Q362" s="1">
        <f>IF(Data!Q362&gt;0,Data!Q362,"")</f>
        <v/>
      </c>
      <c r="R362" s="1">
        <f>IF(Data!R362&gt;0,Data!R362,"")</f>
        <v/>
      </c>
      <c r="S362" s="1">
        <f>IF(Data!S362&gt;0,Data!S362,"")</f>
        <v/>
      </c>
      <c r="V362" s="3">
        <f>IF(COUNT(D362,J362,K362,L362,M362,O362)&gt;0,AVERAGE(D362,J362,K362,L362,M362,O362),"")</f>
        <v/>
      </c>
      <c r="W362" s="3">
        <f>IF(COUNT(C362,F362,G362,N362,Q362)&gt;0,AVERAGE(C362,F362,G362,N362,Q362),"")</f>
        <v/>
      </c>
      <c r="X362" s="3">
        <f>IF(COUNT(B362,E362,H362,I362,P362,R362,S362)&gt;0,AVERAGE(B362,E362,H362,I362,P362,R362,S362),"")</f>
        <v/>
      </c>
      <c r="Y362" s="3" t="n"/>
      <c r="AJ362">
        <f>IFERROR(AVERAGEIF($A$4:$A$1004,AI362,$V$4:$V$1004),"")</f>
        <v/>
      </c>
      <c r="AK362">
        <f>IFERROR(AVERAGEIF($A$4:$A$1004,AI362,$W$4:$W$1004),"")</f>
        <v/>
      </c>
      <c r="AL362">
        <f>IFERROR(AVERAGEIF($A$4:$A$1004,AI362,$X$4:$X$1004),"")</f>
        <v/>
      </c>
    </row>
    <row r="363">
      <c r="A363" s="1">
        <f>IF(Data!A363&gt;0,Data!A363,"")</f>
        <v/>
      </c>
      <c r="B363" s="1">
        <f>IF(Data!B363&gt;0,Data!B363,"")</f>
        <v/>
      </c>
      <c r="C363" s="1">
        <f>IF(Data!C363&gt;0,Data!C363,"")</f>
        <v/>
      </c>
      <c r="D363" s="1">
        <f>IF(Data!D363&gt;0,Data!D363,"")</f>
        <v/>
      </c>
      <c r="E363" s="1">
        <f>IF(Data!E363&gt;0,Data!E363,"")</f>
        <v/>
      </c>
      <c r="F363" s="1">
        <f>IF(Data!F363&gt;0,Data!F363,"")</f>
        <v/>
      </c>
      <c r="G363" s="1">
        <f>IF(Data!G363&gt;0,Data!G363,"")</f>
        <v/>
      </c>
      <c r="H363" s="1">
        <f>IF(Data!H363&gt;0,Data!H363,"")</f>
        <v/>
      </c>
      <c r="I363" s="1">
        <f>IF(Data!I363&gt;0,Data!I363,"")</f>
        <v/>
      </c>
      <c r="J363" s="1">
        <f>IF(Data!J363&gt;0,Data!J363,"")</f>
        <v/>
      </c>
      <c r="K363" s="1">
        <f>IF(Data!K363&gt;0,Data!K363,"")</f>
        <v/>
      </c>
      <c r="L363" s="1">
        <f>IF(Data!L363&gt;0,Data!L363,"")</f>
        <v/>
      </c>
      <c r="M363" s="1">
        <f>IF(Data!M363&gt;0,Data!M363,"")</f>
        <v/>
      </c>
      <c r="N363" s="1">
        <f>IF(Data!N363&gt;0,Data!N363,"")</f>
        <v/>
      </c>
      <c r="O363" s="1">
        <f>IF(Data!O363&gt;0,Data!O363,"")</f>
        <v/>
      </c>
      <c r="P363" s="1">
        <f>IF(Data!P363&gt;0,Data!P363,"")</f>
        <v/>
      </c>
      <c r="Q363" s="1">
        <f>IF(Data!Q363&gt;0,Data!Q363,"")</f>
        <v/>
      </c>
      <c r="R363" s="1">
        <f>IF(Data!R363&gt;0,Data!R363,"")</f>
        <v/>
      </c>
      <c r="S363" s="1">
        <f>IF(Data!S363&gt;0,Data!S363,"")</f>
        <v/>
      </c>
      <c r="V363" s="3">
        <f>IF(COUNT(D363,J363,K363,L363,M363,O363)&gt;0,AVERAGE(D363,J363,K363,L363,M363,O363),"")</f>
        <v/>
      </c>
      <c r="W363" s="3">
        <f>IF(COUNT(C363,F363,G363,N363,Q363)&gt;0,AVERAGE(C363,F363,G363,N363,Q363),"")</f>
        <v/>
      </c>
      <c r="X363" s="3">
        <f>IF(COUNT(B363,E363,H363,I363,P363,R363,S363)&gt;0,AVERAGE(B363,E363,H363,I363,P363,R363,S363),"")</f>
        <v/>
      </c>
      <c r="Y363" s="3" t="n"/>
      <c r="AJ363">
        <f>IFERROR(AVERAGEIF($A$4:$A$1004,AI363,$V$4:$V$1004),"")</f>
        <v/>
      </c>
      <c r="AK363">
        <f>IFERROR(AVERAGEIF($A$4:$A$1004,AI363,$W$4:$W$1004),"")</f>
        <v/>
      </c>
      <c r="AL363">
        <f>IFERROR(AVERAGEIF($A$4:$A$1004,AI363,$X$4:$X$1004),"")</f>
        <v/>
      </c>
    </row>
    <row r="364">
      <c r="A364" s="1">
        <f>IF(Data!A364&gt;0,Data!A364,"")</f>
        <v/>
      </c>
      <c r="B364" s="1">
        <f>IF(Data!B364&gt;0,Data!B364,"")</f>
        <v/>
      </c>
      <c r="C364" s="1">
        <f>IF(Data!C364&gt;0,Data!C364,"")</f>
        <v/>
      </c>
      <c r="D364" s="1">
        <f>IF(Data!D364&gt;0,Data!D364,"")</f>
        <v/>
      </c>
      <c r="E364" s="1">
        <f>IF(Data!E364&gt;0,Data!E364,"")</f>
        <v/>
      </c>
      <c r="F364" s="1">
        <f>IF(Data!F364&gt;0,Data!F364,"")</f>
        <v/>
      </c>
      <c r="G364" s="1">
        <f>IF(Data!G364&gt;0,Data!G364,"")</f>
        <v/>
      </c>
      <c r="H364" s="1">
        <f>IF(Data!H364&gt;0,Data!H364,"")</f>
        <v/>
      </c>
      <c r="I364" s="1">
        <f>IF(Data!I364&gt;0,Data!I364,"")</f>
        <v/>
      </c>
      <c r="J364" s="1">
        <f>IF(Data!J364&gt;0,Data!J364,"")</f>
        <v/>
      </c>
      <c r="K364" s="1">
        <f>IF(Data!K364&gt;0,Data!K364,"")</f>
        <v/>
      </c>
      <c r="L364" s="1">
        <f>IF(Data!L364&gt;0,Data!L364,"")</f>
        <v/>
      </c>
      <c r="M364" s="1">
        <f>IF(Data!M364&gt;0,Data!M364,"")</f>
        <v/>
      </c>
      <c r="N364" s="1">
        <f>IF(Data!N364&gt;0,Data!N364,"")</f>
        <v/>
      </c>
      <c r="O364" s="1">
        <f>IF(Data!O364&gt;0,Data!O364,"")</f>
        <v/>
      </c>
      <c r="P364" s="1">
        <f>IF(Data!P364&gt;0,Data!P364,"")</f>
        <v/>
      </c>
      <c r="Q364" s="1">
        <f>IF(Data!Q364&gt;0,Data!Q364,"")</f>
        <v/>
      </c>
      <c r="R364" s="1">
        <f>IF(Data!R364&gt;0,Data!R364,"")</f>
        <v/>
      </c>
      <c r="S364" s="1">
        <f>IF(Data!S364&gt;0,Data!S364,"")</f>
        <v/>
      </c>
      <c r="V364" s="3">
        <f>IF(COUNT(D364,J364,K364,L364,M364,O364)&gt;0,AVERAGE(D364,J364,K364,L364,M364,O364),"")</f>
        <v/>
      </c>
      <c r="W364" s="3">
        <f>IF(COUNT(C364,F364,G364,N364,Q364)&gt;0,AVERAGE(C364,F364,G364,N364,Q364),"")</f>
        <v/>
      </c>
      <c r="X364" s="3">
        <f>IF(COUNT(B364,E364,H364,I364,P364,R364,S364)&gt;0,AVERAGE(B364,E364,H364,I364,P364,R364,S364),"")</f>
        <v/>
      </c>
      <c r="Y364" s="3" t="n"/>
      <c r="AJ364">
        <f>IFERROR(AVERAGEIF($A$4:$A$1004,AI364,$V$4:$V$1004),"")</f>
        <v/>
      </c>
      <c r="AK364">
        <f>IFERROR(AVERAGEIF($A$4:$A$1004,AI364,$W$4:$W$1004),"")</f>
        <v/>
      </c>
      <c r="AL364">
        <f>IFERROR(AVERAGEIF($A$4:$A$1004,AI364,$X$4:$X$1004),"")</f>
        <v/>
      </c>
    </row>
    <row r="365">
      <c r="A365" s="1">
        <f>IF(Data!A365&gt;0,Data!A365,"")</f>
        <v/>
      </c>
      <c r="B365" s="1">
        <f>IF(Data!B365&gt;0,Data!B365,"")</f>
        <v/>
      </c>
      <c r="C365" s="1">
        <f>IF(Data!C365&gt;0,Data!C365,"")</f>
        <v/>
      </c>
      <c r="D365" s="1">
        <f>IF(Data!D365&gt;0,Data!D365,"")</f>
        <v/>
      </c>
      <c r="E365" s="1">
        <f>IF(Data!E365&gt;0,Data!E365,"")</f>
        <v/>
      </c>
      <c r="F365" s="1">
        <f>IF(Data!F365&gt;0,Data!F365,"")</f>
        <v/>
      </c>
      <c r="G365" s="1">
        <f>IF(Data!G365&gt;0,Data!G365,"")</f>
        <v/>
      </c>
      <c r="H365" s="1">
        <f>IF(Data!H365&gt;0,Data!H365,"")</f>
        <v/>
      </c>
      <c r="I365" s="1">
        <f>IF(Data!I365&gt;0,Data!I365,"")</f>
        <v/>
      </c>
      <c r="J365" s="1">
        <f>IF(Data!J365&gt;0,Data!J365,"")</f>
        <v/>
      </c>
      <c r="K365" s="1">
        <f>IF(Data!K365&gt;0,Data!K365,"")</f>
        <v/>
      </c>
      <c r="L365" s="1">
        <f>IF(Data!L365&gt;0,Data!L365,"")</f>
        <v/>
      </c>
      <c r="M365" s="1">
        <f>IF(Data!M365&gt;0,Data!M365,"")</f>
        <v/>
      </c>
      <c r="N365" s="1">
        <f>IF(Data!N365&gt;0,Data!N365,"")</f>
        <v/>
      </c>
      <c r="O365" s="1">
        <f>IF(Data!O365&gt;0,Data!O365,"")</f>
        <v/>
      </c>
      <c r="P365" s="1">
        <f>IF(Data!P365&gt;0,Data!P365,"")</f>
        <v/>
      </c>
      <c r="Q365" s="1">
        <f>IF(Data!Q365&gt;0,Data!Q365,"")</f>
        <v/>
      </c>
      <c r="R365" s="1">
        <f>IF(Data!R365&gt;0,Data!R365,"")</f>
        <v/>
      </c>
      <c r="S365" s="1">
        <f>IF(Data!S365&gt;0,Data!S365,"")</f>
        <v/>
      </c>
      <c r="V365" s="3">
        <f>IF(COUNT(D365,J365,K365,L365,M365,O365)&gt;0,AVERAGE(D365,J365,K365,L365,M365,O365),"")</f>
        <v/>
      </c>
      <c r="W365" s="3">
        <f>IF(COUNT(C365,F365,G365,N365,Q365)&gt;0,AVERAGE(C365,F365,G365,N365,Q365),"")</f>
        <v/>
      </c>
      <c r="X365" s="3">
        <f>IF(COUNT(B365,E365,H365,I365,P365,R365,S365)&gt;0,AVERAGE(B365,E365,H365,I365,P365,R365,S365),"")</f>
        <v/>
      </c>
      <c r="Y365" s="3" t="n"/>
      <c r="AJ365">
        <f>IFERROR(AVERAGEIF($A$4:$A$1004,AI365,$V$4:$V$1004),"")</f>
        <v/>
      </c>
      <c r="AK365">
        <f>IFERROR(AVERAGEIF($A$4:$A$1004,AI365,$W$4:$W$1004),"")</f>
        <v/>
      </c>
      <c r="AL365">
        <f>IFERROR(AVERAGEIF($A$4:$A$1004,AI365,$X$4:$X$1004),"")</f>
        <v/>
      </c>
    </row>
    <row r="366">
      <c r="A366" s="1">
        <f>IF(Data!A366&gt;0,Data!A366,"")</f>
        <v/>
      </c>
      <c r="B366" s="1">
        <f>IF(Data!B366&gt;0,Data!B366,"")</f>
        <v/>
      </c>
      <c r="C366" s="1">
        <f>IF(Data!C366&gt;0,Data!C366,"")</f>
        <v/>
      </c>
      <c r="D366" s="1">
        <f>IF(Data!D366&gt;0,Data!D366,"")</f>
        <v/>
      </c>
      <c r="E366" s="1">
        <f>IF(Data!E366&gt;0,Data!E366,"")</f>
        <v/>
      </c>
      <c r="F366" s="1">
        <f>IF(Data!F366&gt;0,Data!F366,"")</f>
        <v/>
      </c>
      <c r="G366" s="1">
        <f>IF(Data!G366&gt;0,Data!G366,"")</f>
        <v/>
      </c>
      <c r="H366" s="1">
        <f>IF(Data!H366&gt;0,Data!H366,"")</f>
        <v/>
      </c>
      <c r="I366" s="1">
        <f>IF(Data!I366&gt;0,Data!I366,"")</f>
        <v/>
      </c>
      <c r="J366" s="1">
        <f>IF(Data!J366&gt;0,Data!J366,"")</f>
        <v/>
      </c>
      <c r="K366" s="1">
        <f>IF(Data!K366&gt;0,Data!K366,"")</f>
        <v/>
      </c>
      <c r="L366" s="1">
        <f>IF(Data!L366&gt;0,Data!L366,"")</f>
        <v/>
      </c>
      <c r="M366" s="1">
        <f>IF(Data!M366&gt;0,Data!M366,"")</f>
        <v/>
      </c>
      <c r="N366" s="1">
        <f>IF(Data!N366&gt;0,Data!N366,"")</f>
        <v/>
      </c>
      <c r="O366" s="1">
        <f>IF(Data!O366&gt;0,Data!O366,"")</f>
        <v/>
      </c>
      <c r="P366" s="1">
        <f>IF(Data!P366&gt;0,Data!P366,"")</f>
        <v/>
      </c>
      <c r="Q366" s="1">
        <f>IF(Data!Q366&gt;0,Data!Q366,"")</f>
        <v/>
      </c>
      <c r="R366" s="1">
        <f>IF(Data!R366&gt;0,Data!R366,"")</f>
        <v/>
      </c>
      <c r="S366" s="1">
        <f>IF(Data!S366&gt;0,Data!S366,"")</f>
        <v/>
      </c>
      <c r="V366" s="3">
        <f>IF(COUNT(D366,J366,K366,L366,M366,O366)&gt;0,AVERAGE(D366,J366,K366,L366,M366,O366),"")</f>
        <v/>
      </c>
      <c r="W366" s="3">
        <f>IF(COUNT(C366,F366,G366,N366,Q366)&gt;0,AVERAGE(C366,F366,G366,N366,Q366),"")</f>
        <v/>
      </c>
      <c r="X366" s="3">
        <f>IF(COUNT(B366,E366,H366,I366,P366,R366,S366)&gt;0,AVERAGE(B366,E366,H366,I366,P366,R366,S366),"")</f>
        <v/>
      </c>
      <c r="Y366" s="3" t="n"/>
      <c r="AJ366">
        <f>IFERROR(AVERAGEIF($A$4:$A$1004,AI366,$V$4:$V$1004),"")</f>
        <v/>
      </c>
      <c r="AK366">
        <f>IFERROR(AVERAGEIF($A$4:$A$1004,AI366,$W$4:$W$1004),"")</f>
        <v/>
      </c>
      <c r="AL366">
        <f>IFERROR(AVERAGEIF($A$4:$A$1004,AI366,$X$4:$X$1004),"")</f>
        <v/>
      </c>
    </row>
    <row r="367">
      <c r="A367" s="1">
        <f>IF(Data!A367&gt;0,Data!A367,"")</f>
        <v/>
      </c>
      <c r="B367" s="1">
        <f>IF(Data!B367&gt;0,Data!B367,"")</f>
        <v/>
      </c>
      <c r="C367" s="1">
        <f>IF(Data!C367&gt;0,Data!C367,"")</f>
        <v/>
      </c>
      <c r="D367" s="1">
        <f>IF(Data!D367&gt;0,Data!D367,"")</f>
        <v/>
      </c>
      <c r="E367" s="1">
        <f>IF(Data!E367&gt;0,Data!E367,"")</f>
        <v/>
      </c>
      <c r="F367" s="1">
        <f>IF(Data!F367&gt;0,Data!F367,"")</f>
        <v/>
      </c>
      <c r="G367" s="1">
        <f>IF(Data!G367&gt;0,Data!G367,"")</f>
        <v/>
      </c>
      <c r="H367" s="1">
        <f>IF(Data!H367&gt;0,Data!H367,"")</f>
        <v/>
      </c>
      <c r="I367" s="1">
        <f>IF(Data!I367&gt;0,Data!I367,"")</f>
        <v/>
      </c>
      <c r="J367" s="1">
        <f>IF(Data!J367&gt;0,Data!J367,"")</f>
        <v/>
      </c>
      <c r="K367" s="1">
        <f>IF(Data!K367&gt;0,Data!K367,"")</f>
        <v/>
      </c>
      <c r="L367" s="1">
        <f>IF(Data!L367&gt;0,Data!L367,"")</f>
        <v/>
      </c>
      <c r="M367" s="1">
        <f>IF(Data!M367&gt;0,Data!M367,"")</f>
        <v/>
      </c>
      <c r="N367" s="1">
        <f>IF(Data!N367&gt;0,Data!N367,"")</f>
        <v/>
      </c>
      <c r="O367" s="1">
        <f>IF(Data!O367&gt;0,Data!O367,"")</f>
        <v/>
      </c>
      <c r="P367" s="1">
        <f>IF(Data!P367&gt;0,Data!P367,"")</f>
        <v/>
      </c>
      <c r="Q367" s="1">
        <f>IF(Data!Q367&gt;0,Data!Q367,"")</f>
        <v/>
      </c>
      <c r="R367" s="1">
        <f>IF(Data!R367&gt;0,Data!R367,"")</f>
        <v/>
      </c>
      <c r="S367" s="1">
        <f>IF(Data!S367&gt;0,Data!S367,"")</f>
        <v/>
      </c>
      <c r="V367" s="3">
        <f>IF(COUNT(D367,J367,K367,L367,M367,O367)&gt;0,AVERAGE(D367,J367,K367,L367,M367,O367),"")</f>
        <v/>
      </c>
      <c r="W367" s="3">
        <f>IF(COUNT(C367,F367,G367,N367,Q367)&gt;0,AVERAGE(C367,F367,G367,N367,Q367),"")</f>
        <v/>
      </c>
      <c r="X367" s="3">
        <f>IF(COUNT(B367,E367,H367,I367,P367,R367,S367)&gt;0,AVERAGE(B367,E367,H367,I367,P367,R367,S367),"")</f>
        <v/>
      </c>
      <c r="Y367" s="3" t="n"/>
      <c r="AJ367">
        <f>IFERROR(AVERAGEIF($A$4:$A$1004,AI367,$V$4:$V$1004),"")</f>
        <v/>
      </c>
      <c r="AK367">
        <f>IFERROR(AVERAGEIF($A$4:$A$1004,AI367,$W$4:$W$1004),"")</f>
        <v/>
      </c>
      <c r="AL367">
        <f>IFERROR(AVERAGEIF($A$4:$A$1004,AI367,$X$4:$X$1004),"")</f>
        <v/>
      </c>
    </row>
    <row r="368">
      <c r="A368" s="1">
        <f>IF(Data!A368&gt;0,Data!A368,"")</f>
        <v/>
      </c>
      <c r="B368" s="1">
        <f>IF(Data!B368&gt;0,Data!B368,"")</f>
        <v/>
      </c>
      <c r="C368" s="1">
        <f>IF(Data!C368&gt;0,Data!C368,"")</f>
        <v/>
      </c>
      <c r="D368" s="1">
        <f>IF(Data!D368&gt;0,Data!D368,"")</f>
        <v/>
      </c>
      <c r="E368" s="1">
        <f>IF(Data!E368&gt;0,Data!E368,"")</f>
        <v/>
      </c>
      <c r="F368" s="1">
        <f>IF(Data!F368&gt;0,Data!F368,"")</f>
        <v/>
      </c>
      <c r="G368" s="1">
        <f>IF(Data!G368&gt;0,Data!G368,"")</f>
        <v/>
      </c>
      <c r="H368" s="1">
        <f>IF(Data!H368&gt;0,Data!H368,"")</f>
        <v/>
      </c>
      <c r="I368" s="1">
        <f>IF(Data!I368&gt;0,Data!I368,"")</f>
        <v/>
      </c>
      <c r="J368" s="1">
        <f>IF(Data!J368&gt;0,Data!J368,"")</f>
        <v/>
      </c>
      <c r="K368" s="1">
        <f>IF(Data!K368&gt;0,Data!K368,"")</f>
        <v/>
      </c>
      <c r="L368" s="1">
        <f>IF(Data!L368&gt;0,Data!L368,"")</f>
        <v/>
      </c>
      <c r="M368" s="1">
        <f>IF(Data!M368&gt;0,Data!M368,"")</f>
        <v/>
      </c>
      <c r="N368" s="1">
        <f>IF(Data!N368&gt;0,Data!N368,"")</f>
        <v/>
      </c>
      <c r="O368" s="1">
        <f>IF(Data!O368&gt;0,Data!O368,"")</f>
        <v/>
      </c>
      <c r="P368" s="1">
        <f>IF(Data!P368&gt;0,Data!P368,"")</f>
        <v/>
      </c>
      <c r="Q368" s="1">
        <f>IF(Data!Q368&gt;0,Data!Q368,"")</f>
        <v/>
      </c>
      <c r="R368" s="1">
        <f>IF(Data!R368&gt;0,Data!R368,"")</f>
        <v/>
      </c>
      <c r="S368" s="1">
        <f>IF(Data!S368&gt;0,Data!S368,"")</f>
        <v/>
      </c>
      <c r="V368" s="3">
        <f>IF(COUNT(D368,J368,K368,L368,M368,O368)&gt;0,AVERAGE(D368,J368,K368,L368,M368,O368),"")</f>
        <v/>
      </c>
      <c r="W368" s="3">
        <f>IF(COUNT(C368,F368,G368,N368,Q368)&gt;0,AVERAGE(C368,F368,G368,N368,Q368),"")</f>
        <v/>
      </c>
      <c r="X368" s="3">
        <f>IF(COUNT(B368,E368,H368,I368,P368,R368,S368)&gt;0,AVERAGE(B368,E368,H368,I368,P368,R368,S368),"")</f>
        <v/>
      </c>
      <c r="Y368" s="3" t="n"/>
      <c r="AJ368">
        <f>IFERROR(AVERAGEIF($A$4:$A$1004,AI368,$V$4:$V$1004),"")</f>
        <v/>
      </c>
      <c r="AK368">
        <f>IFERROR(AVERAGEIF($A$4:$A$1004,AI368,$W$4:$W$1004),"")</f>
        <v/>
      </c>
      <c r="AL368">
        <f>IFERROR(AVERAGEIF($A$4:$A$1004,AI368,$X$4:$X$1004),"")</f>
        <v/>
      </c>
    </row>
    <row r="369">
      <c r="A369" s="1">
        <f>IF(Data!A369&gt;0,Data!A369,"")</f>
        <v/>
      </c>
      <c r="B369" s="1">
        <f>IF(Data!B369&gt;0,Data!B369,"")</f>
        <v/>
      </c>
      <c r="C369" s="1">
        <f>IF(Data!C369&gt;0,Data!C369,"")</f>
        <v/>
      </c>
      <c r="D369" s="1">
        <f>IF(Data!D369&gt;0,Data!D369,"")</f>
        <v/>
      </c>
      <c r="E369" s="1">
        <f>IF(Data!E369&gt;0,Data!E369,"")</f>
        <v/>
      </c>
      <c r="F369" s="1">
        <f>IF(Data!F369&gt;0,Data!F369,"")</f>
        <v/>
      </c>
      <c r="G369" s="1">
        <f>IF(Data!G369&gt;0,Data!G369,"")</f>
        <v/>
      </c>
      <c r="H369" s="1">
        <f>IF(Data!H369&gt;0,Data!H369,"")</f>
        <v/>
      </c>
      <c r="I369" s="1">
        <f>IF(Data!I369&gt;0,Data!I369,"")</f>
        <v/>
      </c>
      <c r="J369" s="1">
        <f>IF(Data!J369&gt;0,Data!J369,"")</f>
        <v/>
      </c>
      <c r="K369" s="1">
        <f>IF(Data!K369&gt;0,Data!K369,"")</f>
        <v/>
      </c>
      <c r="L369" s="1">
        <f>IF(Data!L369&gt;0,Data!L369,"")</f>
        <v/>
      </c>
      <c r="M369" s="1">
        <f>IF(Data!M369&gt;0,Data!M369,"")</f>
        <v/>
      </c>
      <c r="N369" s="1">
        <f>IF(Data!N369&gt;0,Data!N369,"")</f>
        <v/>
      </c>
      <c r="O369" s="1">
        <f>IF(Data!O369&gt;0,Data!O369,"")</f>
        <v/>
      </c>
      <c r="P369" s="1">
        <f>IF(Data!P369&gt;0,Data!P369,"")</f>
        <v/>
      </c>
      <c r="Q369" s="1">
        <f>IF(Data!Q369&gt;0,Data!Q369,"")</f>
        <v/>
      </c>
      <c r="R369" s="1">
        <f>IF(Data!R369&gt;0,Data!R369,"")</f>
        <v/>
      </c>
      <c r="S369" s="1">
        <f>IF(Data!S369&gt;0,Data!S369,"")</f>
        <v/>
      </c>
      <c r="V369" s="3">
        <f>IF(COUNT(D369,J369,K369,L369,M369,O369)&gt;0,AVERAGE(D369,J369,K369,L369,M369,O369),"")</f>
        <v/>
      </c>
      <c r="W369" s="3">
        <f>IF(COUNT(C369,F369,G369,N369,Q369)&gt;0,AVERAGE(C369,F369,G369,N369,Q369),"")</f>
        <v/>
      </c>
      <c r="X369" s="3">
        <f>IF(COUNT(B369,E369,H369,I369,P369,R369,S369)&gt;0,AVERAGE(B369,E369,H369,I369,P369,R369,S369),"")</f>
        <v/>
      </c>
      <c r="Y369" s="3" t="n"/>
      <c r="AJ369">
        <f>IFERROR(AVERAGEIF($A$4:$A$1004,AI369,$V$4:$V$1004),"")</f>
        <v/>
      </c>
      <c r="AK369">
        <f>IFERROR(AVERAGEIF($A$4:$A$1004,AI369,$W$4:$W$1004),"")</f>
        <v/>
      </c>
      <c r="AL369">
        <f>IFERROR(AVERAGEIF($A$4:$A$1004,AI369,$X$4:$X$1004),"")</f>
        <v/>
      </c>
    </row>
    <row r="370">
      <c r="A370" s="1">
        <f>IF(Data!A370&gt;0,Data!A370,"")</f>
        <v/>
      </c>
      <c r="B370" s="1">
        <f>IF(Data!B370&gt;0,Data!B370,"")</f>
        <v/>
      </c>
      <c r="C370" s="1">
        <f>IF(Data!C370&gt;0,Data!C370,"")</f>
        <v/>
      </c>
      <c r="D370" s="1">
        <f>IF(Data!D370&gt;0,Data!D370,"")</f>
        <v/>
      </c>
      <c r="E370" s="1">
        <f>IF(Data!E370&gt;0,Data!E370,"")</f>
        <v/>
      </c>
      <c r="F370" s="1">
        <f>IF(Data!F370&gt;0,Data!F370,"")</f>
        <v/>
      </c>
      <c r="G370" s="1">
        <f>IF(Data!G370&gt;0,Data!G370,"")</f>
        <v/>
      </c>
      <c r="H370" s="1">
        <f>IF(Data!H370&gt;0,Data!H370,"")</f>
        <v/>
      </c>
      <c r="I370" s="1">
        <f>IF(Data!I370&gt;0,Data!I370,"")</f>
        <v/>
      </c>
      <c r="J370" s="1">
        <f>IF(Data!J370&gt;0,Data!J370,"")</f>
        <v/>
      </c>
      <c r="K370" s="1">
        <f>IF(Data!K370&gt;0,Data!K370,"")</f>
        <v/>
      </c>
      <c r="L370" s="1">
        <f>IF(Data!L370&gt;0,Data!L370,"")</f>
        <v/>
      </c>
      <c r="M370" s="1">
        <f>IF(Data!M370&gt;0,Data!M370,"")</f>
        <v/>
      </c>
      <c r="N370" s="1">
        <f>IF(Data!N370&gt;0,Data!N370,"")</f>
        <v/>
      </c>
      <c r="O370" s="1">
        <f>IF(Data!O370&gt;0,Data!O370,"")</f>
        <v/>
      </c>
      <c r="P370" s="1">
        <f>IF(Data!P370&gt;0,Data!P370,"")</f>
        <v/>
      </c>
      <c r="Q370" s="1">
        <f>IF(Data!Q370&gt;0,Data!Q370,"")</f>
        <v/>
      </c>
      <c r="R370" s="1">
        <f>IF(Data!R370&gt;0,Data!R370,"")</f>
        <v/>
      </c>
      <c r="S370" s="1">
        <f>IF(Data!S370&gt;0,Data!S370,"")</f>
        <v/>
      </c>
      <c r="V370" s="3">
        <f>IF(COUNT(D370,J370,K370,L370,M370,O370)&gt;0,AVERAGE(D370,J370,K370,L370,M370,O370),"")</f>
        <v/>
      </c>
      <c r="W370" s="3">
        <f>IF(COUNT(C370,F370,G370,N370,Q370)&gt;0,AVERAGE(C370,F370,G370,N370,Q370),"")</f>
        <v/>
      </c>
      <c r="X370" s="3">
        <f>IF(COUNT(B370,E370,H370,I370,P370,R370,S370)&gt;0,AVERAGE(B370,E370,H370,I370,P370,R370,S370),"")</f>
        <v/>
      </c>
      <c r="Y370" s="3" t="n"/>
      <c r="AJ370">
        <f>IFERROR(AVERAGEIF($A$4:$A$1004,AI370,$V$4:$V$1004),"")</f>
        <v/>
      </c>
      <c r="AK370">
        <f>IFERROR(AVERAGEIF($A$4:$A$1004,AI370,$W$4:$W$1004),"")</f>
        <v/>
      </c>
      <c r="AL370">
        <f>IFERROR(AVERAGEIF($A$4:$A$1004,AI370,$X$4:$X$1004),"")</f>
        <v/>
      </c>
    </row>
    <row r="371">
      <c r="A371" s="1">
        <f>IF(Data!A371&gt;0,Data!A371,"")</f>
        <v/>
      </c>
      <c r="B371" s="1">
        <f>IF(Data!B371&gt;0,Data!B371,"")</f>
        <v/>
      </c>
      <c r="C371" s="1">
        <f>IF(Data!C371&gt;0,Data!C371,"")</f>
        <v/>
      </c>
      <c r="D371" s="1">
        <f>IF(Data!D371&gt;0,Data!D371,"")</f>
        <v/>
      </c>
      <c r="E371" s="1">
        <f>IF(Data!E371&gt;0,Data!E371,"")</f>
        <v/>
      </c>
      <c r="F371" s="1">
        <f>IF(Data!F371&gt;0,Data!F371,"")</f>
        <v/>
      </c>
      <c r="G371" s="1">
        <f>IF(Data!G371&gt;0,Data!G371,"")</f>
        <v/>
      </c>
      <c r="H371" s="1">
        <f>IF(Data!H371&gt;0,Data!H371,"")</f>
        <v/>
      </c>
      <c r="I371" s="1">
        <f>IF(Data!I371&gt;0,Data!I371,"")</f>
        <v/>
      </c>
      <c r="J371" s="1">
        <f>IF(Data!J371&gt;0,Data!J371,"")</f>
        <v/>
      </c>
      <c r="K371" s="1">
        <f>IF(Data!K371&gt;0,Data!K371,"")</f>
        <v/>
      </c>
      <c r="L371" s="1">
        <f>IF(Data!L371&gt;0,Data!L371,"")</f>
        <v/>
      </c>
      <c r="M371" s="1">
        <f>IF(Data!M371&gt;0,Data!M371,"")</f>
        <v/>
      </c>
      <c r="N371" s="1">
        <f>IF(Data!N371&gt;0,Data!N371,"")</f>
        <v/>
      </c>
      <c r="O371" s="1">
        <f>IF(Data!O371&gt;0,Data!O371,"")</f>
        <v/>
      </c>
      <c r="P371" s="1">
        <f>IF(Data!P371&gt;0,Data!P371,"")</f>
        <v/>
      </c>
      <c r="Q371" s="1">
        <f>IF(Data!Q371&gt;0,Data!Q371,"")</f>
        <v/>
      </c>
      <c r="R371" s="1">
        <f>IF(Data!R371&gt;0,Data!R371,"")</f>
        <v/>
      </c>
      <c r="S371" s="1">
        <f>IF(Data!S371&gt;0,Data!S371,"")</f>
        <v/>
      </c>
      <c r="V371" s="3">
        <f>IF(COUNT(D371,J371,K371,L371,M371,O371)&gt;0,AVERAGE(D371,J371,K371,L371,M371,O371),"")</f>
        <v/>
      </c>
      <c r="W371" s="3">
        <f>IF(COUNT(C371,F371,G371,N371,Q371)&gt;0,AVERAGE(C371,F371,G371,N371,Q371),"")</f>
        <v/>
      </c>
      <c r="X371" s="3">
        <f>IF(COUNT(B371,E371,H371,I371,P371,R371,S371)&gt;0,AVERAGE(B371,E371,H371,I371,P371,R371,S371),"")</f>
        <v/>
      </c>
      <c r="Y371" s="3" t="n"/>
      <c r="AJ371">
        <f>IFERROR(AVERAGEIF($A$4:$A$1004,AI371,$V$4:$V$1004),"")</f>
        <v/>
      </c>
      <c r="AK371">
        <f>IFERROR(AVERAGEIF($A$4:$A$1004,AI371,$W$4:$W$1004),"")</f>
        <v/>
      </c>
      <c r="AL371">
        <f>IFERROR(AVERAGEIF($A$4:$A$1004,AI371,$X$4:$X$1004),"")</f>
        <v/>
      </c>
    </row>
    <row r="372">
      <c r="A372" s="1">
        <f>IF(Data!A372&gt;0,Data!A372,"")</f>
        <v/>
      </c>
      <c r="B372" s="1">
        <f>IF(Data!B372&gt;0,Data!B372,"")</f>
        <v/>
      </c>
      <c r="C372" s="1">
        <f>IF(Data!C372&gt;0,Data!C372,"")</f>
        <v/>
      </c>
      <c r="D372" s="1">
        <f>IF(Data!D372&gt;0,Data!D372,"")</f>
        <v/>
      </c>
      <c r="E372" s="1">
        <f>IF(Data!E372&gt;0,Data!E372,"")</f>
        <v/>
      </c>
      <c r="F372" s="1">
        <f>IF(Data!F372&gt;0,Data!F372,"")</f>
        <v/>
      </c>
      <c r="G372" s="1">
        <f>IF(Data!G372&gt;0,Data!G372,"")</f>
        <v/>
      </c>
      <c r="H372" s="1">
        <f>IF(Data!H372&gt;0,Data!H372,"")</f>
        <v/>
      </c>
      <c r="I372" s="1">
        <f>IF(Data!I372&gt;0,Data!I372,"")</f>
        <v/>
      </c>
      <c r="J372" s="1">
        <f>IF(Data!J372&gt;0,Data!J372,"")</f>
        <v/>
      </c>
      <c r="K372" s="1">
        <f>IF(Data!K372&gt;0,Data!K372,"")</f>
        <v/>
      </c>
      <c r="L372" s="1">
        <f>IF(Data!L372&gt;0,Data!L372,"")</f>
        <v/>
      </c>
      <c r="M372" s="1">
        <f>IF(Data!M372&gt;0,Data!M372,"")</f>
        <v/>
      </c>
      <c r="N372" s="1">
        <f>IF(Data!N372&gt;0,Data!N372,"")</f>
        <v/>
      </c>
      <c r="O372" s="1">
        <f>IF(Data!O372&gt;0,Data!O372,"")</f>
        <v/>
      </c>
      <c r="P372" s="1">
        <f>IF(Data!P372&gt;0,Data!P372,"")</f>
        <v/>
      </c>
      <c r="Q372" s="1">
        <f>IF(Data!Q372&gt;0,Data!Q372,"")</f>
        <v/>
      </c>
      <c r="R372" s="1">
        <f>IF(Data!R372&gt;0,Data!R372,"")</f>
        <v/>
      </c>
      <c r="S372" s="1">
        <f>IF(Data!S372&gt;0,Data!S372,"")</f>
        <v/>
      </c>
      <c r="V372" s="3">
        <f>IF(COUNT(D372,J372,K372,L372,M372,O372)&gt;0,AVERAGE(D372,J372,K372,L372,M372,O372),"")</f>
        <v/>
      </c>
      <c r="W372" s="3">
        <f>IF(COUNT(C372,F372,G372,N372,Q372)&gt;0,AVERAGE(C372,F372,G372,N372,Q372),"")</f>
        <v/>
      </c>
      <c r="X372" s="3">
        <f>IF(COUNT(B372,E372,H372,I372,P372,R372,S372)&gt;0,AVERAGE(B372,E372,H372,I372,P372,R372,S372),"")</f>
        <v/>
      </c>
      <c r="Y372" s="3" t="n"/>
      <c r="AJ372">
        <f>IFERROR(AVERAGEIF($A$4:$A$1004,AI372,$V$4:$V$1004),"")</f>
        <v/>
      </c>
      <c r="AK372">
        <f>IFERROR(AVERAGEIF($A$4:$A$1004,AI372,$W$4:$W$1004),"")</f>
        <v/>
      </c>
      <c r="AL372">
        <f>IFERROR(AVERAGEIF($A$4:$A$1004,AI372,$X$4:$X$1004),"")</f>
        <v/>
      </c>
    </row>
    <row r="373">
      <c r="A373" s="1">
        <f>IF(Data!A373&gt;0,Data!A373,"")</f>
        <v/>
      </c>
      <c r="B373" s="1">
        <f>IF(Data!B373&gt;0,Data!B373,"")</f>
        <v/>
      </c>
      <c r="C373" s="1">
        <f>IF(Data!C373&gt;0,Data!C373,"")</f>
        <v/>
      </c>
      <c r="D373" s="1">
        <f>IF(Data!D373&gt;0,Data!D373,"")</f>
        <v/>
      </c>
      <c r="E373" s="1">
        <f>IF(Data!E373&gt;0,Data!E373,"")</f>
        <v/>
      </c>
      <c r="F373" s="1">
        <f>IF(Data!F373&gt;0,Data!F373,"")</f>
        <v/>
      </c>
      <c r="G373" s="1">
        <f>IF(Data!G373&gt;0,Data!G373,"")</f>
        <v/>
      </c>
      <c r="H373" s="1">
        <f>IF(Data!H373&gt;0,Data!H373,"")</f>
        <v/>
      </c>
      <c r="I373" s="1">
        <f>IF(Data!I373&gt;0,Data!I373,"")</f>
        <v/>
      </c>
      <c r="J373" s="1">
        <f>IF(Data!J373&gt;0,Data!J373,"")</f>
        <v/>
      </c>
      <c r="K373" s="1">
        <f>IF(Data!K373&gt;0,Data!K373,"")</f>
        <v/>
      </c>
      <c r="L373" s="1">
        <f>IF(Data!L373&gt;0,Data!L373,"")</f>
        <v/>
      </c>
      <c r="M373" s="1">
        <f>IF(Data!M373&gt;0,Data!M373,"")</f>
        <v/>
      </c>
      <c r="N373" s="1">
        <f>IF(Data!N373&gt;0,Data!N373,"")</f>
        <v/>
      </c>
      <c r="O373" s="1">
        <f>IF(Data!O373&gt;0,Data!O373,"")</f>
        <v/>
      </c>
      <c r="P373" s="1">
        <f>IF(Data!P373&gt;0,Data!P373,"")</f>
        <v/>
      </c>
      <c r="Q373" s="1">
        <f>IF(Data!Q373&gt;0,Data!Q373,"")</f>
        <v/>
      </c>
      <c r="R373" s="1">
        <f>IF(Data!R373&gt;0,Data!R373,"")</f>
        <v/>
      </c>
      <c r="S373" s="1">
        <f>IF(Data!S373&gt;0,Data!S373,"")</f>
        <v/>
      </c>
      <c r="V373" s="3">
        <f>IF(COUNT(D373,J373,K373,L373,M373,O373)&gt;0,AVERAGE(D373,J373,K373,L373,M373,O373),"")</f>
        <v/>
      </c>
      <c r="W373" s="3">
        <f>IF(COUNT(C373,F373,G373,N373,Q373)&gt;0,AVERAGE(C373,F373,G373,N373,Q373),"")</f>
        <v/>
      </c>
      <c r="X373" s="3">
        <f>IF(COUNT(B373,E373,H373,I373,P373,R373,S373)&gt;0,AVERAGE(B373,E373,H373,I373,P373,R373,S373),"")</f>
        <v/>
      </c>
      <c r="Y373" s="3" t="n"/>
      <c r="AJ373">
        <f>IFERROR(AVERAGEIF($A$4:$A$1004,AI373,$V$4:$V$1004),"")</f>
        <v/>
      </c>
      <c r="AK373">
        <f>IFERROR(AVERAGEIF($A$4:$A$1004,AI373,$W$4:$W$1004),"")</f>
        <v/>
      </c>
      <c r="AL373">
        <f>IFERROR(AVERAGEIF($A$4:$A$1004,AI373,$X$4:$X$1004),"")</f>
        <v/>
      </c>
    </row>
    <row r="374">
      <c r="A374" s="1">
        <f>IF(Data!A374&gt;0,Data!A374,"")</f>
        <v/>
      </c>
      <c r="B374" s="1">
        <f>IF(Data!B374&gt;0,Data!B374,"")</f>
        <v/>
      </c>
      <c r="C374" s="1">
        <f>IF(Data!C374&gt;0,Data!C374,"")</f>
        <v/>
      </c>
      <c r="D374" s="1">
        <f>IF(Data!D374&gt;0,Data!D374,"")</f>
        <v/>
      </c>
      <c r="E374" s="1">
        <f>IF(Data!E374&gt;0,Data!E374,"")</f>
        <v/>
      </c>
      <c r="F374" s="1">
        <f>IF(Data!F374&gt;0,Data!F374,"")</f>
        <v/>
      </c>
      <c r="G374" s="1">
        <f>IF(Data!G374&gt;0,Data!G374,"")</f>
        <v/>
      </c>
      <c r="H374" s="1">
        <f>IF(Data!H374&gt;0,Data!H374,"")</f>
        <v/>
      </c>
      <c r="I374" s="1">
        <f>IF(Data!I374&gt;0,Data!I374,"")</f>
        <v/>
      </c>
      <c r="J374" s="1">
        <f>IF(Data!J374&gt;0,Data!J374,"")</f>
        <v/>
      </c>
      <c r="K374" s="1">
        <f>IF(Data!K374&gt;0,Data!K374,"")</f>
        <v/>
      </c>
      <c r="L374" s="1">
        <f>IF(Data!L374&gt;0,Data!L374,"")</f>
        <v/>
      </c>
      <c r="M374" s="1">
        <f>IF(Data!M374&gt;0,Data!M374,"")</f>
        <v/>
      </c>
      <c r="N374" s="1">
        <f>IF(Data!N374&gt;0,Data!N374,"")</f>
        <v/>
      </c>
      <c r="O374" s="1">
        <f>IF(Data!O374&gt;0,Data!O374,"")</f>
        <v/>
      </c>
      <c r="P374" s="1">
        <f>IF(Data!P374&gt;0,Data!P374,"")</f>
        <v/>
      </c>
      <c r="Q374" s="1">
        <f>IF(Data!Q374&gt;0,Data!Q374,"")</f>
        <v/>
      </c>
      <c r="R374" s="1">
        <f>IF(Data!R374&gt;0,Data!R374,"")</f>
        <v/>
      </c>
      <c r="S374" s="1">
        <f>IF(Data!S374&gt;0,Data!S374,"")</f>
        <v/>
      </c>
      <c r="V374" s="3">
        <f>IF(COUNT(D374,J374,K374,L374,M374,O374)&gt;0,AVERAGE(D374,J374,K374,L374,M374,O374),"")</f>
        <v/>
      </c>
      <c r="W374" s="3">
        <f>IF(COUNT(C374,F374,G374,N374,Q374)&gt;0,AVERAGE(C374,F374,G374,N374,Q374),"")</f>
        <v/>
      </c>
      <c r="X374" s="3">
        <f>IF(COUNT(B374,E374,H374,I374,P374,R374,S374)&gt;0,AVERAGE(B374,E374,H374,I374,P374,R374,S374),"")</f>
        <v/>
      </c>
      <c r="Y374" s="3" t="n"/>
      <c r="AJ374">
        <f>IFERROR(AVERAGEIF($A$4:$A$1004,AI374,$V$4:$V$1004),"")</f>
        <v/>
      </c>
      <c r="AK374">
        <f>IFERROR(AVERAGEIF($A$4:$A$1004,AI374,$W$4:$W$1004),"")</f>
        <v/>
      </c>
      <c r="AL374">
        <f>IFERROR(AVERAGEIF($A$4:$A$1004,AI374,$X$4:$X$1004),"")</f>
        <v/>
      </c>
    </row>
    <row r="375">
      <c r="A375" s="1">
        <f>IF(Data!A375&gt;0,Data!A375,"")</f>
        <v/>
      </c>
      <c r="B375" s="1">
        <f>IF(Data!B375&gt;0,Data!B375,"")</f>
        <v/>
      </c>
      <c r="C375" s="1">
        <f>IF(Data!C375&gt;0,Data!C375,"")</f>
        <v/>
      </c>
      <c r="D375" s="1">
        <f>IF(Data!D375&gt;0,Data!D375,"")</f>
        <v/>
      </c>
      <c r="E375" s="1">
        <f>IF(Data!E375&gt;0,Data!E375,"")</f>
        <v/>
      </c>
      <c r="F375" s="1">
        <f>IF(Data!F375&gt;0,Data!F375,"")</f>
        <v/>
      </c>
      <c r="G375" s="1">
        <f>IF(Data!G375&gt;0,Data!G375,"")</f>
        <v/>
      </c>
      <c r="H375" s="1">
        <f>IF(Data!H375&gt;0,Data!H375,"")</f>
        <v/>
      </c>
      <c r="I375" s="1">
        <f>IF(Data!I375&gt;0,Data!I375,"")</f>
        <v/>
      </c>
      <c r="J375" s="1">
        <f>IF(Data!J375&gt;0,Data!J375,"")</f>
        <v/>
      </c>
      <c r="K375" s="1">
        <f>IF(Data!K375&gt;0,Data!K375,"")</f>
        <v/>
      </c>
      <c r="L375" s="1">
        <f>IF(Data!L375&gt;0,Data!L375,"")</f>
        <v/>
      </c>
      <c r="M375" s="1">
        <f>IF(Data!M375&gt;0,Data!M375,"")</f>
        <v/>
      </c>
      <c r="N375" s="1">
        <f>IF(Data!N375&gt;0,Data!N375,"")</f>
        <v/>
      </c>
      <c r="O375" s="1">
        <f>IF(Data!O375&gt;0,Data!O375,"")</f>
        <v/>
      </c>
      <c r="P375" s="1">
        <f>IF(Data!P375&gt;0,Data!P375,"")</f>
        <v/>
      </c>
      <c r="Q375" s="1">
        <f>IF(Data!Q375&gt;0,Data!Q375,"")</f>
        <v/>
      </c>
      <c r="R375" s="1">
        <f>IF(Data!R375&gt;0,Data!R375,"")</f>
        <v/>
      </c>
      <c r="S375" s="1">
        <f>IF(Data!S375&gt;0,Data!S375,"")</f>
        <v/>
      </c>
      <c r="V375" s="3">
        <f>IF(COUNT(D375,J375,K375,L375,M375,O375)&gt;0,AVERAGE(D375,J375,K375,L375,M375,O375),"")</f>
        <v/>
      </c>
      <c r="W375" s="3">
        <f>IF(COUNT(C375,F375,G375,N375,Q375)&gt;0,AVERAGE(C375,F375,G375,N375,Q375),"")</f>
        <v/>
      </c>
      <c r="X375" s="3">
        <f>IF(COUNT(B375,E375,H375,I375,P375,R375,S375)&gt;0,AVERAGE(B375,E375,H375,I375,P375,R375,S375),"")</f>
        <v/>
      </c>
      <c r="Y375" s="3" t="n"/>
      <c r="AJ375">
        <f>IFERROR(AVERAGEIF($A$4:$A$1004,AI375,$V$4:$V$1004),"")</f>
        <v/>
      </c>
      <c r="AK375">
        <f>IFERROR(AVERAGEIF($A$4:$A$1004,AI375,$W$4:$W$1004),"")</f>
        <v/>
      </c>
      <c r="AL375">
        <f>IFERROR(AVERAGEIF($A$4:$A$1004,AI375,$X$4:$X$1004),"")</f>
        <v/>
      </c>
    </row>
    <row r="376">
      <c r="A376" s="1">
        <f>IF(Data!A376&gt;0,Data!A376,"")</f>
        <v/>
      </c>
      <c r="B376" s="1">
        <f>IF(Data!B376&gt;0,Data!B376,"")</f>
        <v/>
      </c>
      <c r="C376" s="1">
        <f>IF(Data!C376&gt;0,Data!C376,"")</f>
        <v/>
      </c>
      <c r="D376" s="1">
        <f>IF(Data!D376&gt;0,Data!D376,"")</f>
        <v/>
      </c>
      <c r="E376" s="1">
        <f>IF(Data!E376&gt;0,Data!E376,"")</f>
        <v/>
      </c>
      <c r="F376" s="1">
        <f>IF(Data!F376&gt;0,Data!F376,"")</f>
        <v/>
      </c>
      <c r="G376" s="1">
        <f>IF(Data!G376&gt;0,Data!G376,"")</f>
        <v/>
      </c>
      <c r="H376" s="1">
        <f>IF(Data!H376&gt;0,Data!H376,"")</f>
        <v/>
      </c>
      <c r="I376" s="1">
        <f>IF(Data!I376&gt;0,Data!I376,"")</f>
        <v/>
      </c>
      <c r="J376" s="1">
        <f>IF(Data!J376&gt;0,Data!J376,"")</f>
        <v/>
      </c>
      <c r="K376" s="1">
        <f>IF(Data!K376&gt;0,Data!K376,"")</f>
        <v/>
      </c>
      <c r="L376" s="1">
        <f>IF(Data!L376&gt;0,Data!L376,"")</f>
        <v/>
      </c>
      <c r="M376" s="1">
        <f>IF(Data!M376&gt;0,Data!M376,"")</f>
        <v/>
      </c>
      <c r="N376" s="1">
        <f>IF(Data!N376&gt;0,Data!N376,"")</f>
        <v/>
      </c>
      <c r="O376" s="1">
        <f>IF(Data!O376&gt;0,Data!O376,"")</f>
        <v/>
      </c>
      <c r="P376" s="1">
        <f>IF(Data!P376&gt;0,Data!P376,"")</f>
        <v/>
      </c>
      <c r="Q376" s="1">
        <f>IF(Data!Q376&gt;0,Data!Q376,"")</f>
        <v/>
      </c>
      <c r="R376" s="1">
        <f>IF(Data!R376&gt;0,Data!R376,"")</f>
        <v/>
      </c>
      <c r="S376" s="1">
        <f>IF(Data!S376&gt;0,Data!S376,"")</f>
        <v/>
      </c>
      <c r="V376" s="3">
        <f>IF(COUNT(D376,J376,K376,L376,M376,O376)&gt;0,AVERAGE(D376,J376,K376,L376,M376,O376),"")</f>
        <v/>
      </c>
      <c r="W376" s="3">
        <f>IF(COUNT(C376,F376,G376,N376,Q376)&gt;0,AVERAGE(C376,F376,G376,N376,Q376),"")</f>
        <v/>
      </c>
      <c r="X376" s="3">
        <f>IF(COUNT(B376,E376,H376,I376,P376,R376,S376)&gt;0,AVERAGE(B376,E376,H376,I376,P376,R376,S376),"")</f>
        <v/>
      </c>
      <c r="Y376" s="3" t="n"/>
      <c r="AJ376">
        <f>IFERROR(AVERAGEIF($A$4:$A$1004,AI376,$V$4:$V$1004),"")</f>
        <v/>
      </c>
      <c r="AK376">
        <f>IFERROR(AVERAGEIF($A$4:$A$1004,AI376,$W$4:$W$1004),"")</f>
        <v/>
      </c>
      <c r="AL376">
        <f>IFERROR(AVERAGEIF($A$4:$A$1004,AI376,$X$4:$X$1004),"")</f>
        <v/>
      </c>
    </row>
    <row r="377">
      <c r="A377" s="1">
        <f>IF(Data!A377&gt;0,Data!A377,"")</f>
        <v/>
      </c>
      <c r="B377" s="1">
        <f>IF(Data!B377&gt;0,Data!B377,"")</f>
        <v/>
      </c>
      <c r="C377" s="1">
        <f>IF(Data!C377&gt;0,Data!C377,"")</f>
        <v/>
      </c>
      <c r="D377" s="1">
        <f>IF(Data!D377&gt;0,Data!D377,"")</f>
        <v/>
      </c>
      <c r="E377" s="1">
        <f>IF(Data!E377&gt;0,Data!E377,"")</f>
        <v/>
      </c>
      <c r="F377" s="1">
        <f>IF(Data!F377&gt;0,Data!F377,"")</f>
        <v/>
      </c>
      <c r="G377" s="1">
        <f>IF(Data!G377&gt;0,Data!G377,"")</f>
        <v/>
      </c>
      <c r="H377" s="1">
        <f>IF(Data!H377&gt;0,Data!H377,"")</f>
        <v/>
      </c>
      <c r="I377" s="1">
        <f>IF(Data!I377&gt;0,Data!I377,"")</f>
        <v/>
      </c>
      <c r="J377" s="1">
        <f>IF(Data!J377&gt;0,Data!J377,"")</f>
        <v/>
      </c>
      <c r="K377" s="1">
        <f>IF(Data!K377&gt;0,Data!K377,"")</f>
        <v/>
      </c>
      <c r="L377" s="1">
        <f>IF(Data!L377&gt;0,Data!L377,"")</f>
        <v/>
      </c>
      <c r="M377" s="1">
        <f>IF(Data!M377&gt;0,Data!M377,"")</f>
        <v/>
      </c>
      <c r="N377" s="1">
        <f>IF(Data!N377&gt;0,Data!N377,"")</f>
        <v/>
      </c>
      <c r="O377" s="1">
        <f>IF(Data!O377&gt;0,Data!O377,"")</f>
        <v/>
      </c>
      <c r="P377" s="1">
        <f>IF(Data!P377&gt;0,Data!P377,"")</f>
        <v/>
      </c>
      <c r="Q377" s="1">
        <f>IF(Data!Q377&gt;0,Data!Q377,"")</f>
        <v/>
      </c>
      <c r="R377" s="1">
        <f>IF(Data!R377&gt;0,Data!R377,"")</f>
        <v/>
      </c>
      <c r="S377" s="1">
        <f>IF(Data!S377&gt;0,Data!S377,"")</f>
        <v/>
      </c>
      <c r="V377" s="3">
        <f>IF(COUNT(D377,J377,K377,L377,M377,O377)&gt;0,AVERAGE(D377,J377,K377,L377,M377,O377),"")</f>
        <v/>
      </c>
      <c r="W377" s="3">
        <f>IF(COUNT(C377,F377,G377,N377,Q377)&gt;0,AVERAGE(C377,F377,G377,N377,Q377),"")</f>
        <v/>
      </c>
      <c r="X377" s="3">
        <f>IF(COUNT(B377,E377,H377,I377,P377,R377,S377)&gt;0,AVERAGE(B377,E377,H377,I377,P377,R377,S377),"")</f>
        <v/>
      </c>
      <c r="Y377" s="3" t="n"/>
      <c r="AJ377">
        <f>IFERROR(AVERAGEIF($A$4:$A$1004,AI377,$V$4:$V$1004),"")</f>
        <v/>
      </c>
      <c r="AK377">
        <f>IFERROR(AVERAGEIF($A$4:$A$1004,AI377,$W$4:$W$1004),"")</f>
        <v/>
      </c>
      <c r="AL377">
        <f>IFERROR(AVERAGEIF($A$4:$A$1004,AI377,$X$4:$X$1004),"")</f>
        <v/>
      </c>
    </row>
    <row r="378">
      <c r="A378" s="1">
        <f>IF(Data!A378&gt;0,Data!A378,"")</f>
        <v/>
      </c>
      <c r="B378" s="1">
        <f>IF(Data!B378&gt;0,Data!B378,"")</f>
        <v/>
      </c>
      <c r="C378" s="1">
        <f>IF(Data!C378&gt;0,Data!C378,"")</f>
        <v/>
      </c>
      <c r="D378" s="1">
        <f>IF(Data!D378&gt;0,Data!D378,"")</f>
        <v/>
      </c>
      <c r="E378" s="1">
        <f>IF(Data!E378&gt;0,Data!E378,"")</f>
        <v/>
      </c>
      <c r="F378" s="1">
        <f>IF(Data!F378&gt;0,Data!F378,"")</f>
        <v/>
      </c>
      <c r="G378" s="1">
        <f>IF(Data!G378&gt;0,Data!G378,"")</f>
        <v/>
      </c>
      <c r="H378" s="1">
        <f>IF(Data!H378&gt;0,Data!H378,"")</f>
        <v/>
      </c>
      <c r="I378" s="1">
        <f>IF(Data!I378&gt;0,Data!I378,"")</f>
        <v/>
      </c>
      <c r="J378" s="1">
        <f>IF(Data!J378&gt;0,Data!J378,"")</f>
        <v/>
      </c>
      <c r="K378" s="1">
        <f>IF(Data!K378&gt;0,Data!K378,"")</f>
        <v/>
      </c>
      <c r="L378" s="1">
        <f>IF(Data!L378&gt;0,Data!L378,"")</f>
        <v/>
      </c>
      <c r="M378" s="1">
        <f>IF(Data!M378&gt;0,Data!M378,"")</f>
        <v/>
      </c>
      <c r="N378" s="1">
        <f>IF(Data!N378&gt;0,Data!N378,"")</f>
        <v/>
      </c>
      <c r="O378" s="1">
        <f>IF(Data!O378&gt;0,Data!O378,"")</f>
        <v/>
      </c>
      <c r="P378" s="1">
        <f>IF(Data!P378&gt;0,Data!P378,"")</f>
        <v/>
      </c>
      <c r="Q378" s="1">
        <f>IF(Data!Q378&gt;0,Data!Q378,"")</f>
        <v/>
      </c>
      <c r="R378" s="1">
        <f>IF(Data!R378&gt;0,Data!R378,"")</f>
        <v/>
      </c>
      <c r="S378" s="1">
        <f>IF(Data!S378&gt;0,Data!S378,"")</f>
        <v/>
      </c>
      <c r="V378" s="3">
        <f>IF(COUNT(D378,J378,K378,L378,M378,O378)&gt;0,AVERAGE(D378,J378,K378,L378,M378,O378),"")</f>
        <v/>
      </c>
      <c r="W378" s="3">
        <f>IF(COUNT(C378,F378,G378,N378,Q378)&gt;0,AVERAGE(C378,F378,G378,N378,Q378),"")</f>
        <v/>
      </c>
      <c r="X378" s="3">
        <f>IF(COUNT(B378,E378,H378,I378,P378,R378,S378)&gt;0,AVERAGE(B378,E378,H378,I378,P378,R378,S378),"")</f>
        <v/>
      </c>
      <c r="Y378" s="3" t="n"/>
      <c r="AJ378">
        <f>IFERROR(AVERAGEIF($A$4:$A$1004,AI378,$V$4:$V$1004),"")</f>
        <v/>
      </c>
      <c r="AK378">
        <f>IFERROR(AVERAGEIF($A$4:$A$1004,AI378,$W$4:$W$1004),"")</f>
        <v/>
      </c>
      <c r="AL378">
        <f>IFERROR(AVERAGEIF($A$4:$A$1004,AI378,$X$4:$X$1004),"")</f>
        <v/>
      </c>
    </row>
    <row r="379">
      <c r="A379" s="1">
        <f>IF(Data!A379&gt;0,Data!A379,"")</f>
        <v/>
      </c>
      <c r="B379" s="1">
        <f>IF(Data!B379&gt;0,Data!B379,"")</f>
        <v/>
      </c>
      <c r="C379" s="1">
        <f>IF(Data!C379&gt;0,Data!C379,"")</f>
        <v/>
      </c>
      <c r="D379" s="1">
        <f>IF(Data!D379&gt;0,Data!D379,"")</f>
        <v/>
      </c>
      <c r="E379" s="1">
        <f>IF(Data!E379&gt;0,Data!E379,"")</f>
        <v/>
      </c>
      <c r="F379" s="1">
        <f>IF(Data!F379&gt;0,Data!F379,"")</f>
        <v/>
      </c>
      <c r="G379" s="1">
        <f>IF(Data!G379&gt;0,Data!G379,"")</f>
        <v/>
      </c>
      <c r="H379" s="1">
        <f>IF(Data!H379&gt;0,Data!H379,"")</f>
        <v/>
      </c>
      <c r="I379" s="1">
        <f>IF(Data!I379&gt;0,Data!I379,"")</f>
        <v/>
      </c>
      <c r="J379" s="1">
        <f>IF(Data!J379&gt;0,Data!J379,"")</f>
        <v/>
      </c>
      <c r="K379" s="1">
        <f>IF(Data!K379&gt;0,Data!K379,"")</f>
        <v/>
      </c>
      <c r="L379" s="1">
        <f>IF(Data!L379&gt;0,Data!L379,"")</f>
        <v/>
      </c>
      <c r="M379" s="1">
        <f>IF(Data!M379&gt;0,Data!M379,"")</f>
        <v/>
      </c>
      <c r="N379" s="1">
        <f>IF(Data!N379&gt;0,Data!N379,"")</f>
        <v/>
      </c>
      <c r="O379" s="1">
        <f>IF(Data!O379&gt;0,Data!O379,"")</f>
        <v/>
      </c>
      <c r="P379" s="1">
        <f>IF(Data!P379&gt;0,Data!P379,"")</f>
        <v/>
      </c>
      <c r="Q379" s="1">
        <f>IF(Data!Q379&gt;0,Data!Q379,"")</f>
        <v/>
      </c>
      <c r="R379" s="1">
        <f>IF(Data!R379&gt;0,Data!R379,"")</f>
        <v/>
      </c>
      <c r="S379" s="1">
        <f>IF(Data!S379&gt;0,Data!S379,"")</f>
        <v/>
      </c>
      <c r="V379" s="3">
        <f>IF(COUNT(D379,J379,K379,L379,M379,O379)&gt;0,AVERAGE(D379,J379,K379,L379,M379,O379),"")</f>
        <v/>
      </c>
      <c r="W379" s="3">
        <f>IF(COUNT(C379,F379,G379,N379,Q379)&gt;0,AVERAGE(C379,F379,G379,N379,Q379),"")</f>
        <v/>
      </c>
      <c r="X379" s="3">
        <f>IF(COUNT(B379,E379,H379,I379,P379,R379,S379)&gt;0,AVERAGE(B379,E379,H379,I379,P379,R379,S379),"")</f>
        <v/>
      </c>
      <c r="Y379" s="3" t="n"/>
      <c r="AJ379">
        <f>IFERROR(AVERAGEIF($A$4:$A$1004,AI379,$V$4:$V$1004),"")</f>
        <v/>
      </c>
      <c r="AK379">
        <f>IFERROR(AVERAGEIF($A$4:$A$1004,AI379,$W$4:$W$1004),"")</f>
        <v/>
      </c>
      <c r="AL379">
        <f>IFERROR(AVERAGEIF($A$4:$A$1004,AI379,$X$4:$X$1004),"")</f>
        <v/>
      </c>
    </row>
    <row r="380">
      <c r="A380" s="1">
        <f>IF(Data!A380&gt;0,Data!A380,"")</f>
        <v/>
      </c>
      <c r="B380" s="1">
        <f>IF(Data!B380&gt;0,Data!B380,"")</f>
        <v/>
      </c>
      <c r="C380" s="1">
        <f>IF(Data!C380&gt;0,Data!C380,"")</f>
        <v/>
      </c>
      <c r="D380" s="1">
        <f>IF(Data!D380&gt;0,Data!D380,"")</f>
        <v/>
      </c>
      <c r="E380" s="1">
        <f>IF(Data!E380&gt;0,Data!E380,"")</f>
        <v/>
      </c>
      <c r="F380" s="1">
        <f>IF(Data!F380&gt;0,Data!F380,"")</f>
        <v/>
      </c>
      <c r="G380" s="1">
        <f>IF(Data!G380&gt;0,Data!G380,"")</f>
        <v/>
      </c>
      <c r="H380" s="1">
        <f>IF(Data!H380&gt;0,Data!H380,"")</f>
        <v/>
      </c>
      <c r="I380" s="1">
        <f>IF(Data!I380&gt;0,Data!I380,"")</f>
        <v/>
      </c>
      <c r="J380" s="1">
        <f>IF(Data!J380&gt;0,Data!J380,"")</f>
        <v/>
      </c>
      <c r="K380" s="1">
        <f>IF(Data!K380&gt;0,Data!K380,"")</f>
        <v/>
      </c>
      <c r="L380" s="1">
        <f>IF(Data!L380&gt;0,Data!L380,"")</f>
        <v/>
      </c>
      <c r="M380" s="1">
        <f>IF(Data!M380&gt;0,Data!M380,"")</f>
        <v/>
      </c>
      <c r="N380" s="1">
        <f>IF(Data!N380&gt;0,Data!N380,"")</f>
        <v/>
      </c>
      <c r="O380" s="1">
        <f>IF(Data!O380&gt;0,Data!O380,"")</f>
        <v/>
      </c>
      <c r="P380" s="1">
        <f>IF(Data!P380&gt;0,Data!P380,"")</f>
        <v/>
      </c>
      <c r="Q380" s="1">
        <f>IF(Data!Q380&gt;0,Data!Q380,"")</f>
        <v/>
      </c>
      <c r="R380" s="1">
        <f>IF(Data!R380&gt;0,Data!R380,"")</f>
        <v/>
      </c>
      <c r="S380" s="1">
        <f>IF(Data!S380&gt;0,Data!S380,"")</f>
        <v/>
      </c>
      <c r="V380" s="3">
        <f>IF(COUNT(D380,J380,K380,L380,M380,O380)&gt;0,AVERAGE(D380,J380,K380,L380,M380,O380),"")</f>
        <v/>
      </c>
      <c r="W380" s="3">
        <f>IF(COUNT(C380,F380,G380,N380,Q380)&gt;0,AVERAGE(C380,F380,G380,N380,Q380),"")</f>
        <v/>
      </c>
      <c r="X380" s="3">
        <f>IF(COUNT(B380,E380,H380,I380,P380,R380,S380)&gt;0,AVERAGE(B380,E380,H380,I380,P380,R380,S380),"")</f>
        <v/>
      </c>
      <c r="Y380" s="3" t="n"/>
      <c r="AJ380">
        <f>IFERROR(AVERAGEIF($A$4:$A$1004,AI380,$V$4:$V$1004),"")</f>
        <v/>
      </c>
      <c r="AK380">
        <f>IFERROR(AVERAGEIF($A$4:$A$1004,AI380,$W$4:$W$1004),"")</f>
        <v/>
      </c>
      <c r="AL380">
        <f>IFERROR(AVERAGEIF($A$4:$A$1004,AI380,$X$4:$X$1004),"")</f>
        <v/>
      </c>
    </row>
    <row r="381">
      <c r="A381" s="1">
        <f>IF(Data!A381&gt;0,Data!A381,"")</f>
        <v/>
      </c>
      <c r="B381" s="1">
        <f>IF(Data!B381&gt;0,Data!B381,"")</f>
        <v/>
      </c>
      <c r="C381" s="1">
        <f>IF(Data!C381&gt;0,Data!C381,"")</f>
        <v/>
      </c>
      <c r="D381" s="1">
        <f>IF(Data!D381&gt;0,Data!D381,"")</f>
        <v/>
      </c>
      <c r="E381" s="1">
        <f>IF(Data!E381&gt;0,Data!E381,"")</f>
        <v/>
      </c>
      <c r="F381" s="1">
        <f>IF(Data!F381&gt;0,Data!F381,"")</f>
        <v/>
      </c>
      <c r="G381" s="1">
        <f>IF(Data!G381&gt;0,Data!G381,"")</f>
        <v/>
      </c>
      <c r="H381" s="1">
        <f>IF(Data!H381&gt;0,Data!H381,"")</f>
        <v/>
      </c>
      <c r="I381" s="1">
        <f>IF(Data!I381&gt;0,Data!I381,"")</f>
        <v/>
      </c>
      <c r="J381" s="1">
        <f>IF(Data!J381&gt;0,Data!J381,"")</f>
        <v/>
      </c>
      <c r="K381" s="1">
        <f>IF(Data!K381&gt;0,Data!K381,"")</f>
        <v/>
      </c>
      <c r="L381" s="1">
        <f>IF(Data!L381&gt;0,Data!L381,"")</f>
        <v/>
      </c>
      <c r="M381" s="1">
        <f>IF(Data!M381&gt;0,Data!M381,"")</f>
        <v/>
      </c>
      <c r="N381" s="1">
        <f>IF(Data!N381&gt;0,Data!N381,"")</f>
        <v/>
      </c>
      <c r="O381" s="1">
        <f>IF(Data!O381&gt;0,Data!O381,"")</f>
        <v/>
      </c>
      <c r="P381" s="1">
        <f>IF(Data!P381&gt;0,Data!P381,"")</f>
        <v/>
      </c>
      <c r="Q381" s="1">
        <f>IF(Data!Q381&gt;0,Data!Q381,"")</f>
        <v/>
      </c>
      <c r="R381" s="1">
        <f>IF(Data!R381&gt;0,Data!R381,"")</f>
        <v/>
      </c>
      <c r="S381" s="1">
        <f>IF(Data!S381&gt;0,Data!S381,"")</f>
        <v/>
      </c>
      <c r="V381" s="3">
        <f>IF(COUNT(D381,J381,K381,L381,M381,O381)&gt;0,AVERAGE(D381,J381,K381,L381,M381,O381),"")</f>
        <v/>
      </c>
      <c r="W381" s="3">
        <f>IF(COUNT(C381,F381,G381,N381,Q381)&gt;0,AVERAGE(C381,F381,G381,N381,Q381),"")</f>
        <v/>
      </c>
      <c r="X381" s="3">
        <f>IF(COUNT(B381,E381,H381,I381,P381,R381,S381)&gt;0,AVERAGE(B381,E381,H381,I381,P381,R381,S381),"")</f>
        <v/>
      </c>
      <c r="Y381" s="3" t="n"/>
      <c r="AJ381">
        <f>IFERROR(AVERAGEIF($A$4:$A$1004,AI381,$V$4:$V$1004),"")</f>
        <v/>
      </c>
      <c r="AK381">
        <f>IFERROR(AVERAGEIF($A$4:$A$1004,AI381,$W$4:$W$1004),"")</f>
        <v/>
      </c>
      <c r="AL381">
        <f>IFERROR(AVERAGEIF($A$4:$A$1004,AI381,$X$4:$X$1004),"")</f>
        <v/>
      </c>
    </row>
    <row r="382">
      <c r="A382" s="1">
        <f>IF(Data!A382&gt;0,Data!A382,"")</f>
        <v/>
      </c>
      <c r="B382" s="1">
        <f>IF(Data!B382&gt;0,Data!B382,"")</f>
        <v/>
      </c>
      <c r="C382" s="1">
        <f>IF(Data!C382&gt;0,Data!C382,"")</f>
        <v/>
      </c>
      <c r="D382" s="1">
        <f>IF(Data!D382&gt;0,Data!D382,"")</f>
        <v/>
      </c>
      <c r="E382" s="1">
        <f>IF(Data!E382&gt;0,Data!E382,"")</f>
        <v/>
      </c>
      <c r="F382" s="1">
        <f>IF(Data!F382&gt;0,Data!F382,"")</f>
        <v/>
      </c>
      <c r="G382" s="1">
        <f>IF(Data!G382&gt;0,Data!G382,"")</f>
        <v/>
      </c>
      <c r="H382" s="1">
        <f>IF(Data!H382&gt;0,Data!H382,"")</f>
        <v/>
      </c>
      <c r="I382" s="1">
        <f>IF(Data!I382&gt;0,Data!I382,"")</f>
        <v/>
      </c>
      <c r="J382" s="1">
        <f>IF(Data!J382&gt;0,Data!J382,"")</f>
        <v/>
      </c>
      <c r="K382" s="1">
        <f>IF(Data!K382&gt;0,Data!K382,"")</f>
        <v/>
      </c>
      <c r="L382" s="1">
        <f>IF(Data!L382&gt;0,Data!L382,"")</f>
        <v/>
      </c>
      <c r="M382" s="1">
        <f>IF(Data!M382&gt;0,Data!M382,"")</f>
        <v/>
      </c>
      <c r="N382" s="1">
        <f>IF(Data!N382&gt;0,Data!N382,"")</f>
        <v/>
      </c>
      <c r="O382" s="1">
        <f>IF(Data!O382&gt;0,Data!O382,"")</f>
        <v/>
      </c>
      <c r="P382" s="1">
        <f>IF(Data!P382&gt;0,Data!P382,"")</f>
        <v/>
      </c>
      <c r="Q382" s="1">
        <f>IF(Data!Q382&gt;0,Data!Q382,"")</f>
        <v/>
      </c>
      <c r="R382" s="1">
        <f>IF(Data!R382&gt;0,Data!R382,"")</f>
        <v/>
      </c>
      <c r="S382" s="1">
        <f>IF(Data!S382&gt;0,Data!S382,"")</f>
        <v/>
      </c>
      <c r="V382" s="3">
        <f>IF(COUNT(D382,J382,K382,L382,M382,O382)&gt;0,AVERAGE(D382,J382,K382,L382,M382,O382),"")</f>
        <v/>
      </c>
      <c r="W382" s="3">
        <f>IF(COUNT(C382,F382,G382,N382,Q382)&gt;0,AVERAGE(C382,F382,G382,N382,Q382),"")</f>
        <v/>
      </c>
      <c r="X382" s="3">
        <f>IF(COUNT(B382,E382,H382,I382,P382,R382,S382)&gt;0,AVERAGE(B382,E382,H382,I382,P382,R382,S382),"")</f>
        <v/>
      </c>
      <c r="Y382" s="3" t="n"/>
      <c r="AJ382">
        <f>IFERROR(AVERAGEIF($A$4:$A$1004,AI382,$V$4:$V$1004),"")</f>
        <v/>
      </c>
      <c r="AK382">
        <f>IFERROR(AVERAGEIF($A$4:$A$1004,AI382,$W$4:$W$1004),"")</f>
        <v/>
      </c>
      <c r="AL382">
        <f>IFERROR(AVERAGEIF($A$4:$A$1004,AI382,$X$4:$X$1004),"")</f>
        <v/>
      </c>
    </row>
    <row r="383">
      <c r="A383" s="1">
        <f>IF(Data!A383&gt;0,Data!A383,"")</f>
        <v/>
      </c>
      <c r="B383" s="1">
        <f>IF(Data!B383&gt;0,Data!B383,"")</f>
        <v/>
      </c>
      <c r="C383" s="1">
        <f>IF(Data!C383&gt;0,Data!C383,"")</f>
        <v/>
      </c>
      <c r="D383" s="1">
        <f>IF(Data!D383&gt;0,Data!D383,"")</f>
        <v/>
      </c>
      <c r="E383" s="1">
        <f>IF(Data!E383&gt;0,Data!E383,"")</f>
        <v/>
      </c>
      <c r="F383" s="1">
        <f>IF(Data!F383&gt;0,Data!F383,"")</f>
        <v/>
      </c>
      <c r="G383" s="1">
        <f>IF(Data!G383&gt;0,Data!G383,"")</f>
        <v/>
      </c>
      <c r="H383" s="1">
        <f>IF(Data!H383&gt;0,Data!H383,"")</f>
        <v/>
      </c>
      <c r="I383" s="1">
        <f>IF(Data!I383&gt;0,Data!I383,"")</f>
        <v/>
      </c>
      <c r="J383" s="1">
        <f>IF(Data!J383&gt;0,Data!J383,"")</f>
        <v/>
      </c>
      <c r="K383" s="1">
        <f>IF(Data!K383&gt;0,Data!K383,"")</f>
        <v/>
      </c>
      <c r="L383" s="1">
        <f>IF(Data!L383&gt;0,Data!L383,"")</f>
        <v/>
      </c>
      <c r="M383" s="1">
        <f>IF(Data!M383&gt;0,Data!M383,"")</f>
        <v/>
      </c>
      <c r="N383" s="1">
        <f>IF(Data!N383&gt;0,Data!N383,"")</f>
        <v/>
      </c>
      <c r="O383" s="1">
        <f>IF(Data!O383&gt;0,Data!O383,"")</f>
        <v/>
      </c>
      <c r="P383" s="1">
        <f>IF(Data!P383&gt;0,Data!P383,"")</f>
        <v/>
      </c>
      <c r="Q383" s="1">
        <f>IF(Data!Q383&gt;0,Data!Q383,"")</f>
        <v/>
      </c>
      <c r="R383" s="1">
        <f>IF(Data!R383&gt;0,Data!R383,"")</f>
        <v/>
      </c>
      <c r="S383" s="1">
        <f>IF(Data!S383&gt;0,Data!S383,"")</f>
        <v/>
      </c>
      <c r="V383" s="3">
        <f>IF(COUNT(D383,J383,K383,L383,M383,O383)&gt;0,AVERAGE(D383,J383,K383,L383,M383,O383),"")</f>
        <v/>
      </c>
      <c r="W383" s="3">
        <f>IF(COUNT(C383,F383,G383,N383,Q383)&gt;0,AVERAGE(C383,F383,G383,N383,Q383),"")</f>
        <v/>
      </c>
      <c r="X383" s="3">
        <f>IF(COUNT(B383,E383,H383,I383,P383,R383,S383)&gt;0,AVERAGE(B383,E383,H383,I383,P383,R383,S383),"")</f>
        <v/>
      </c>
      <c r="Y383" s="3" t="n"/>
      <c r="AJ383">
        <f>IFERROR(AVERAGEIF($A$4:$A$1004,AI383,$V$4:$V$1004),"")</f>
        <v/>
      </c>
      <c r="AK383">
        <f>IFERROR(AVERAGEIF($A$4:$A$1004,AI383,$W$4:$W$1004),"")</f>
        <v/>
      </c>
      <c r="AL383">
        <f>IFERROR(AVERAGEIF($A$4:$A$1004,AI383,$X$4:$X$1004),"")</f>
        <v/>
      </c>
    </row>
    <row r="384">
      <c r="A384" s="1">
        <f>IF(Data!A384&gt;0,Data!A384,"")</f>
        <v/>
      </c>
      <c r="B384" s="1">
        <f>IF(Data!B384&gt;0,Data!B384,"")</f>
        <v/>
      </c>
      <c r="C384" s="1">
        <f>IF(Data!C384&gt;0,Data!C384,"")</f>
        <v/>
      </c>
      <c r="D384" s="1">
        <f>IF(Data!D384&gt;0,Data!D384,"")</f>
        <v/>
      </c>
      <c r="E384" s="1">
        <f>IF(Data!E384&gt;0,Data!E384,"")</f>
        <v/>
      </c>
      <c r="F384" s="1">
        <f>IF(Data!F384&gt;0,Data!F384,"")</f>
        <v/>
      </c>
      <c r="G384" s="1">
        <f>IF(Data!G384&gt;0,Data!G384,"")</f>
        <v/>
      </c>
      <c r="H384" s="1">
        <f>IF(Data!H384&gt;0,Data!H384,"")</f>
        <v/>
      </c>
      <c r="I384" s="1">
        <f>IF(Data!I384&gt;0,Data!I384,"")</f>
        <v/>
      </c>
      <c r="J384" s="1">
        <f>IF(Data!J384&gt;0,Data!J384,"")</f>
        <v/>
      </c>
      <c r="K384" s="1">
        <f>IF(Data!K384&gt;0,Data!K384,"")</f>
        <v/>
      </c>
      <c r="L384" s="1">
        <f>IF(Data!L384&gt;0,Data!L384,"")</f>
        <v/>
      </c>
      <c r="M384" s="1">
        <f>IF(Data!M384&gt;0,Data!M384,"")</f>
        <v/>
      </c>
      <c r="N384" s="1">
        <f>IF(Data!N384&gt;0,Data!N384,"")</f>
        <v/>
      </c>
      <c r="O384" s="1">
        <f>IF(Data!O384&gt;0,Data!O384,"")</f>
        <v/>
      </c>
      <c r="P384" s="1">
        <f>IF(Data!P384&gt;0,Data!P384,"")</f>
        <v/>
      </c>
      <c r="Q384" s="1">
        <f>IF(Data!Q384&gt;0,Data!Q384,"")</f>
        <v/>
      </c>
      <c r="R384" s="1">
        <f>IF(Data!R384&gt;0,Data!R384,"")</f>
        <v/>
      </c>
      <c r="S384" s="1">
        <f>IF(Data!S384&gt;0,Data!S384,"")</f>
        <v/>
      </c>
      <c r="V384" s="3">
        <f>IF(COUNT(D384,J384,K384,L384,M384,O384)&gt;0,AVERAGE(D384,J384,K384,L384,M384,O384),"")</f>
        <v/>
      </c>
      <c r="W384" s="3">
        <f>IF(COUNT(C384,F384,G384,N384,Q384)&gt;0,AVERAGE(C384,F384,G384,N384,Q384),"")</f>
        <v/>
      </c>
      <c r="X384" s="3">
        <f>IF(COUNT(B384,E384,H384,I384,P384,R384,S384)&gt;0,AVERAGE(B384,E384,H384,I384,P384,R384,S384),"")</f>
        <v/>
      </c>
      <c r="Y384" s="3" t="n"/>
      <c r="AJ384">
        <f>IFERROR(AVERAGEIF($A$4:$A$1004,AI384,$V$4:$V$1004),"")</f>
        <v/>
      </c>
      <c r="AK384">
        <f>IFERROR(AVERAGEIF($A$4:$A$1004,AI384,$W$4:$W$1004),"")</f>
        <v/>
      </c>
      <c r="AL384">
        <f>IFERROR(AVERAGEIF($A$4:$A$1004,AI384,$X$4:$X$1004),"")</f>
        <v/>
      </c>
    </row>
    <row r="385">
      <c r="A385" s="1">
        <f>IF(Data!A385&gt;0,Data!A385,"")</f>
        <v/>
      </c>
      <c r="B385" s="1">
        <f>IF(Data!B385&gt;0,Data!B385,"")</f>
        <v/>
      </c>
      <c r="C385" s="1">
        <f>IF(Data!C385&gt;0,Data!C385,"")</f>
        <v/>
      </c>
      <c r="D385" s="1">
        <f>IF(Data!D385&gt;0,Data!D385,"")</f>
        <v/>
      </c>
      <c r="E385" s="1">
        <f>IF(Data!E385&gt;0,Data!E385,"")</f>
        <v/>
      </c>
      <c r="F385" s="1">
        <f>IF(Data!F385&gt;0,Data!F385,"")</f>
        <v/>
      </c>
      <c r="G385" s="1">
        <f>IF(Data!G385&gt;0,Data!G385,"")</f>
        <v/>
      </c>
      <c r="H385" s="1">
        <f>IF(Data!H385&gt;0,Data!H385,"")</f>
        <v/>
      </c>
      <c r="I385" s="1">
        <f>IF(Data!I385&gt;0,Data!I385,"")</f>
        <v/>
      </c>
      <c r="J385" s="1">
        <f>IF(Data!J385&gt;0,Data!J385,"")</f>
        <v/>
      </c>
      <c r="K385" s="1">
        <f>IF(Data!K385&gt;0,Data!K385,"")</f>
        <v/>
      </c>
      <c r="L385" s="1">
        <f>IF(Data!L385&gt;0,Data!L385,"")</f>
        <v/>
      </c>
      <c r="M385" s="1">
        <f>IF(Data!M385&gt;0,Data!M385,"")</f>
        <v/>
      </c>
      <c r="N385" s="1">
        <f>IF(Data!N385&gt;0,Data!N385,"")</f>
        <v/>
      </c>
      <c r="O385" s="1">
        <f>IF(Data!O385&gt;0,Data!O385,"")</f>
        <v/>
      </c>
      <c r="P385" s="1">
        <f>IF(Data!P385&gt;0,Data!P385,"")</f>
        <v/>
      </c>
      <c r="Q385" s="1">
        <f>IF(Data!Q385&gt;0,Data!Q385,"")</f>
        <v/>
      </c>
      <c r="R385" s="1">
        <f>IF(Data!R385&gt;0,Data!R385,"")</f>
        <v/>
      </c>
      <c r="S385" s="1">
        <f>IF(Data!S385&gt;0,Data!S385,"")</f>
        <v/>
      </c>
      <c r="V385" s="3">
        <f>IF(COUNT(D385,J385,K385,L385,M385,O385)&gt;0,AVERAGE(D385,J385,K385,L385,M385,O385),"")</f>
        <v/>
      </c>
      <c r="W385" s="3">
        <f>IF(COUNT(C385,F385,G385,N385,Q385)&gt;0,AVERAGE(C385,F385,G385,N385,Q385),"")</f>
        <v/>
      </c>
      <c r="X385" s="3">
        <f>IF(COUNT(B385,E385,H385,I385,P385,R385,S385)&gt;0,AVERAGE(B385,E385,H385,I385,P385,R385,S385),"")</f>
        <v/>
      </c>
      <c r="Y385" s="3" t="n"/>
      <c r="AJ385">
        <f>IFERROR(AVERAGEIF($A$4:$A$1004,AI385,$V$4:$V$1004),"")</f>
        <v/>
      </c>
      <c r="AK385">
        <f>IFERROR(AVERAGEIF($A$4:$A$1004,AI385,$W$4:$W$1004),"")</f>
        <v/>
      </c>
      <c r="AL385">
        <f>IFERROR(AVERAGEIF($A$4:$A$1004,AI385,$X$4:$X$1004),"")</f>
        <v/>
      </c>
    </row>
    <row r="386">
      <c r="A386" s="1">
        <f>IF(Data!A386&gt;0,Data!A386,"")</f>
        <v/>
      </c>
      <c r="B386" s="1">
        <f>IF(Data!B386&gt;0,Data!B386,"")</f>
        <v/>
      </c>
      <c r="C386" s="1">
        <f>IF(Data!C386&gt;0,Data!C386,"")</f>
        <v/>
      </c>
      <c r="D386" s="1">
        <f>IF(Data!D386&gt;0,Data!D386,"")</f>
        <v/>
      </c>
      <c r="E386" s="1">
        <f>IF(Data!E386&gt;0,Data!E386,"")</f>
        <v/>
      </c>
      <c r="F386" s="1">
        <f>IF(Data!F386&gt;0,Data!F386,"")</f>
        <v/>
      </c>
      <c r="G386" s="1">
        <f>IF(Data!G386&gt;0,Data!G386,"")</f>
        <v/>
      </c>
      <c r="H386" s="1">
        <f>IF(Data!H386&gt;0,Data!H386,"")</f>
        <v/>
      </c>
      <c r="I386" s="1">
        <f>IF(Data!I386&gt;0,Data!I386,"")</f>
        <v/>
      </c>
      <c r="J386" s="1">
        <f>IF(Data!J386&gt;0,Data!J386,"")</f>
        <v/>
      </c>
      <c r="K386" s="1">
        <f>IF(Data!K386&gt;0,Data!K386,"")</f>
        <v/>
      </c>
      <c r="L386" s="1">
        <f>IF(Data!L386&gt;0,Data!L386,"")</f>
        <v/>
      </c>
      <c r="M386" s="1">
        <f>IF(Data!M386&gt;0,Data!M386,"")</f>
        <v/>
      </c>
      <c r="N386" s="1">
        <f>IF(Data!N386&gt;0,Data!N386,"")</f>
        <v/>
      </c>
      <c r="O386" s="1">
        <f>IF(Data!O386&gt;0,Data!O386,"")</f>
        <v/>
      </c>
      <c r="P386" s="1">
        <f>IF(Data!P386&gt;0,Data!P386,"")</f>
        <v/>
      </c>
      <c r="Q386" s="1">
        <f>IF(Data!Q386&gt;0,Data!Q386,"")</f>
        <v/>
      </c>
      <c r="R386" s="1">
        <f>IF(Data!R386&gt;0,Data!R386,"")</f>
        <v/>
      </c>
      <c r="S386" s="1">
        <f>IF(Data!S386&gt;0,Data!S386,"")</f>
        <v/>
      </c>
      <c r="V386" s="3">
        <f>IF(COUNT(D386,J386,K386,L386,M386,O386)&gt;0,AVERAGE(D386,J386,K386,L386,M386,O386),"")</f>
        <v/>
      </c>
      <c r="W386" s="3">
        <f>IF(COUNT(C386,F386,G386,N386,Q386)&gt;0,AVERAGE(C386,F386,G386,N386,Q386),"")</f>
        <v/>
      </c>
      <c r="X386" s="3">
        <f>IF(COUNT(B386,E386,H386,I386,P386,R386,S386)&gt;0,AVERAGE(B386,E386,H386,I386,P386,R386,S386),"")</f>
        <v/>
      </c>
      <c r="Y386" s="3" t="n"/>
      <c r="AJ386">
        <f>IFERROR(AVERAGEIF($A$4:$A$1004,AI386,$V$4:$V$1004),"")</f>
        <v/>
      </c>
      <c r="AK386">
        <f>IFERROR(AVERAGEIF($A$4:$A$1004,AI386,$W$4:$W$1004),"")</f>
        <v/>
      </c>
      <c r="AL386">
        <f>IFERROR(AVERAGEIF($A$4:$A$1004,AI386,$X$4:$X$1004),"")</f>
        <v/>
      </c>
    </row>
    <row r="387">
      <c r="A387" s="1">
        <f>IF(Data!A387&gt;0,Data!A387,"")</f>
        <v/>
      </c>
      <c r="B387" s="1">
        <f>IF(Data!B387&gt;0,Data!B387,"")</f>
        <v/>
      </c>
      <c r="C387" s="1">
        <f>IF(Data!C387&gt;0,Data!C387,"")</f>
        <v/>
      </c>
      <c r="D387" s="1">
        <f>IF(Data!D387&gt;0,Data!D387,"")</f>
        <v/>
      </c>
      <c r="E387" s="1">
        <f>IF(Data!E387&gt;0,Data!E387,"")</f>
        <v/>
      </c>
      <c r="F387" s="1">
        <f>IF(Data!F387&gt;0,Data!F387,"")</f>
        <v/>
      </c>
      <c r="G387" s="1">
        <f>IF(Data!G387&gt;0,Data!G387,"")</f>
        <v/>
      </c>
      <c r="H387" s="1">
        <f>IF(Data!H387&gt;0,Data!H387,"")</f>
        <v/>
      </c>
      <c r="I387" s="1">
        <f>IF(Data!I387&gt;0,Data!I387,"")</f>
        <v/>
      </c>
      <c r="J387" s="1">
        <f>IF(Data!J387&gt;0,Data!J387,"")</f>
        <v/>
      </c>
      <c r="K387" s="1">
        <f>IF(Data!K387&gt;0,Data!K387,"")</f>
        <v/>
      </c>
      <c r="L387" s="1">
        <f>IF(Data!L387&gt;0,Data!L387,"")</f>
        <v/>
      </c>
      <c r="M387" s="1">
        <f>IF(Data!M387&gt;0,Data!M387,"")</f>
        <v/>
      </c>
      <c r="N387" s="1">
        <f>IF(Data!N387&gt;0,Data!N387,"")</f>
        <v/>
      </c>
      <c r="O387" s="1">
        <f>IF(Data!O387&gt;0,Data!O387,"")</f>
        <v/>
      </c>
      <c r="P387" s="1">
        <f>IF(Data!P387&gt;0,Data!P387,"")</f>
        <v/>
      </c>
      <c r="Q387" s="1">
        <f>IF(Data!Q387&gt;0,Data!Q387,"")</f>
        <v/>
      </c>
      <c r="R387" s="1">
        <f>IF(Data!R387&gt;0,Data!R387,"")</f>
        <v/>
      </c>
      <c r="S387" s="1">
        <f>IF(Data!S387&gt;0,Data!S387,"")</f>
        <v/>
      </c>
      <c r="V387" s="3">
        <f>IF(COUNT(D387,J387,K387,L387,M387,O387)&gt;0,AVERAGE(D387,J387,K387,L387,M387,O387),"")</f>
        <v/>
      </c>
      <c r="W387" s="3">
        <f>IF(COUNT(C387,F387,G387,N387,Q387)&gt;0,AVERAGE(C387,F387,G387,N387,Q387),"")</f>
        <v/>
      </c>
      <c r="X387" s="3">
        <f>IF(COUNT(B387,E387,H387,I387,P387,R387,S387)&gt;0,AVERAGE(B387,E387,H387,I387,P387,R387,S387),"")</f>
        <v/>
      </c>
      <c r="Y387" s="3" t="n"/>
      <c r="AJ387">
        <f>IFERROR(AVERAGEIF($A$4:$A$1004,AI387,$V$4:$V$1004),"")</f>
        <v/>
      </c>
      <c r="AK387">
        <f>IFERROR(AVERAGEIF($A$4:$A$1004,AI387,$W$4:$W$1004),"")</f>
        <v/>
      </c>
      <c r="AL387">
        <f>IFERROR(AVERAGEIF($A$4:$A$1004,AI387,$X$4:$X$1004),"")</f>
        <v/>
      </c>
    </row>
    <row r="388">
      <c r="A388" s="1">
        <f>IF(Data!A388&gt;0,Data!A388,"")</f>
        <v/>
      </c>
      <c r="B388" s="1">
        <f>IF(Data!B388&gt;0,Data!B388,"")</f>
        <v/>
      </c>
      <c r="C388" s="1">
        <f>IF(Data!C388&gt;0,Data!C388,"")</f>
        <v/>
      </c>
      <c r="D388" s="1">
        <f>IF(Data!D388&gt;0,Data!D388,"")</f>
        <v/>
      </c>
      <c r="E388" s="1">
        <f>IF(Data!E388&gt;0,Data!E388,"")</f>
        <v/>
      </c>
      <c r="F388" s="1">
        <f>IF(Data!F388&gt;0,Data!F388,"")</f>
        <v/>
      </c>
      <c r="G388" s="1">
        <f>IF(Data!G388&gt;0,Data!G388,"")</f>
        <v/>
      </c>
      <c r="H388" s="1">
        <f>IF(Data!H388&gt;0,Data!H388,"")</f>
        <v/>
      </c>
      <c r="I388" s="1">
        <f>IF(Data!I388&gt;0,Data!I388,"")</f>
        <v/>
      </c>
      <c r="J388" s="1">
        <f>IF(Data!J388&gt;0,Data!J388,"")</f>
        <v/>
      </c>
      <c r="K388" s="1">
        <f>IF(Data!K388&gt;0,Data!K388,"")</f>
        <v/>
      </c>
      <c r="L388" s="1">
        <f>IF(Data!L388&gt;0,Data!L388,"")</f>
        <v/>
      </c>
      <c r="M388" s="1">
        <f>IF(Data!M388&gt;0,Data!M388,"")</f>
        <v/>
      </c>
      <c r="N388" s="1">
        <f>IF(Data!N388&gt;0,Data!N388,"")</f>
        <v/>
      </c>
      <c r="O388" s="1">
        <f>IF(Data!O388&gt;0,Data!O388,"")</f>
        <v/>
      </c>
      <c r="P388" s="1">
        <f>IF(Data!P388&gt;0,Data!P388,"")</f>
        <v/>
      </c>
      <c r="Q388" s="1">
        <f>IF(Data!Q388&gt;0,Data!Q388,"")</f>
        <v/>
      </c>
      <c r="R388" s="1">
        <f>IF(Data!R388&gt;0,Data!R388,"")</f>
        <v/>
      </c>
      <c r="S388" s="1">
        <f>IF(Data!S388&gt;0,Data!S388,"")</f>
        <v/>
      </c>
      <c r="V388" s="3">
        <f>IF(COUNT(D388,J388,K388,L388,M388,O388)&gt;0,AVERAGE(D388,J388,K388,L388,M388,O388),"")</f>
        <v/>
      </c>
      <c r="W388" s="3">
        <f>IF(COUNT(C388,F388,G388,N388,Q388)&gt;0,AVERAGE(C388,F388,G388,N388,Q388),"")</f>
        <v/>
      </c>
      <c r="X388" s="3">
        <f>IF(COUNT(B388,E388,H388,I388,P388,R388,S388)&gt;0,AVERAGE(B388,E388,H388,I388,P388,R388,S388),"")</f>
        <v/>
      </c>
      <c r="Y388" s="3" t="n"/>
      <c r="AJ388">
        <f>IFERROR(AVERAGEIF($A$4:$A$1004,AI388,$V$4:$V$1004),"")</f>
        <v/>
      </c>
      <c r="AK388">
        <f>IFERROR(AVERAGEIF($A$4:$A$1004,AI388,$W$4:$W$1004),"")</f>
        <v/>
      </c>
      <c r="AL388">
        <f>IFERROR(AVERAGEIF($A$4:$A$1004,AI388,$X$4:$X$1004),"")</f>
        <v/>
      </c>
    </row>
    <row r="389">
      <c r="A389" s="1">
        <f>IF(Data!A389&gt;0,Data!A389,"")</f>
        <v/>
      </c>
      <c r="B389" s="1">
        <f>IF(Data!B389&gt;0,Data!B389,"")</f>
        <v/>
      </c>
      <c r="C389" s="1">
        <f>IF(Data!C389&gt;0,Data!C389,"")</f>
        <v/>
      </c>
      <c r="D389" s="1">
        <f>IF(Data!D389&gt;0,Data!D389,"")</f>
        <v/>
      </c>
      <c r="E389" s="1">
        <f>IF(Data!E389&gt;0,Data!E389,"")</f>
        <v/>
      </c>
      <c r="F389" s="1">
        <f>IF(Data!F389&gt;0,Data!F389,"")</f>
        <v/>
      </c>
      <c r="G389" s="1">
        <f>IF(Data!G389&gt;0,Data!G389,"")</f>
        <v/>
      </c>
      <c r="H389" s="1">
        <f>IF(Data!H389&gt;0,Data!H389,"")</f>
        <v/>
      </c>
      <c r="I389" s="1">
        <f>IF(Data!I389&gt;0,Data!I389,"")</f>
        <v/>
      </c>
      <c r="J389" s="1">
        <f>IF(Data!J389&gt;0,Data!J389,"")</f>
        <v/>
      </c>
      <c r="K389" s="1">
        <f>IF(Data!K389&gt;0,Data!K389,"")</f>
        <v/>
      </c>
      <c r="L389" s="1">
        <f>IF(Data!L389&gt;0,Data!L389,"")</f>
        <v/>
      </c>
      <c r="M389" s="1">
        <f>IF(Data!M389&gt;0,Data!M389,"")</f>
        <v/>
      </c>
      <c r="N389" s="1">
        <f>IF(Data!N389&gt;0,Data!N389,"")</f>
        <v/>
      </c>
      <c r="O389" s="1">
        <f>IF(Data!O389&gt;0,Data!O389,"")</f>
        <v/>
      </c>
      <c r="P389" s="1">
        <f>IF(Data!P389&gt;0,Data!P389,"")</f>
        <v/>
      </c>
      <c r="Q389" s="1">
        <f>IF(Data!Q389&gt;0,Data!Q389,"")</f>
        <v/>
      </c>
      <c r="R389" s="1">
        <f>IF(Data!R389&gt;0,Data!R389,"")</f>
        <v/>
      </c>
      <c r="S389" s="1">
        <f>IF(Data!S389&gt;0,Data!S389,"")</f>
        <v/>
      </c>
      <c r="V389" s="3">
        <f>IF(COUNT(D389,J389,K389,L389,M389,O389)&gt;0,AVERAGE(D389,J389,K389,L389,M389,O389),"")</f>
        <v/>
      </c>
      <c r="W389" s="3">
        <f>IF(COUNT(C389,F389,G389,N389,Q389)&gt;0,AVERAGE(C389,F389,G389,N389,Q389),"")</f>
        <v/>
      </c>
      <c r="X389" s="3">
        <f>IF(COUNT(B389,E389,H389,I389,P389,R389,S389)&gt;0,AVERAGE(B389,E389,H389,I389,P389,R389,S389),"")</f>
        <v/>
      </c>
      <c r="Y389" s="3" t="n"/>
      <c r="AJ389">
        <f>IFERROR(AVERAGEIF($A$4:$A$1004,AI389,$V$4:$V$1004),"")</f>
        <v/>
      </c>
      <c r="AK389">
        <f>IFERROR(AVERAGEIF($A$4:$A$1004,AI389,$W$4:$W$1004),"")</f>
        <v/>
      </c>
      <c r="AL389">
        <f>IFERROR(AVERAGEIF($A$4:$A$1004,AI389,$X$4:$X$1004),"")</f>
        <v/>
      </c>
    </row>
    <row r="390">
      <c r="A390" s="1">
        <f>IF(Data!A390&gt;0,Data!A390,"")</f>
        <v/>
      </c>
      <c r="B390" s="1">
        <f>IF(Data!B390&gt;0,Data!B390,"")</f>
        <v/>
      </c>
      <c r="C390" s="1">
        <f>IF(Data!C390&gt;0,Data!C390,"")</f>
        <v/>
      </c>
      <c r="D390" s="1">
        <f>IF(Data!D390&gt;0,Data!D390,"")</f>
        <v/>
      </c>
      <c r="E390" s="1">
        <f>IF(Data!E390&gt;0,Data!E390,"")</f>
        <v/>
      </c>
      <c r="F390" s="1">
        <f>IF(Data!F390&gt;0,Data!F390,"")</f>
        <v/>
      </c>
      <c r="G390" s="1">
        <f>IF(Data!G390&gt;0,Data!G390,"")</f>
        <v/>
      </c>
      <c r="H390" s="1">
        <f>IF(Data!H390&gt;0,Data!H390,"")</f>
        <v/>
      </c>
      <c r="I390" s="1">
        <f>IF(Data!I390&gt;0,Data!I390,"")</f>
        <v/>
      </c>
      <c r="J390" s="1">
        <f>IF(Data!J390&gt;0,Data!J390,"")</f>
        <v/>
      </c>
      <c r="K390" s="1">
        <f>IF(Data!K390&gt;0,Data!K390,"")</f>
        <v/>
      </c>
      <c r="L390" s="1">
        <f>IF(Data!L390&gt;0,Data!L390,"")</f>
        <v/>
      </c>
      <c r="M390" s="1">
        <f>IF(Data!M390&gt;0,Data!M390,"")</f>
        <v/>
      </c>
      <c r="N390" s="1">
        <f>IF(Data!N390&gt;0,Data!N390,"")</f>
        <v/>
      </c>
      <c r="O390" s="1">
        <f>IF(Data!O390&gt;0,Data!O390,"")</f>
        <v/>
      </c>
      <c r="P390" s="1">
        <f>IF(Data!P390&gt;0,Data!P390,"")</f>
        <v/>
      </c>
      <c r="Q390" s="1">
        <f>IF(Data!Q390&gt;0,Data!Q390,"")</f>
        <v/>
      </c>
      <c r="R390" s="1">
        <f>IF(Data!R390&gt;0,Data!R390,"")</f>
        <v/>
      </c>
      <c r="S390" s="1">
        <f>IF(Data!S390&gt;0,Data!S390,"")</f>
        <v/>
      </c>
      <c r="V390" s="3">
        <f>IF(COUNT(D390,J390,K390,L390,M390,O390)&gt;0,AVERAGE(D390,J390,K390,L390,M390,O390),"")</f>
        <v/>
      </c>
      <c r="W390" s="3">
        <f>IF(COUNT(C390,F390,G390,N390,Q390)&gt;0,AVERAGE(C390,F390,G390,N390,Q390),"")</f>
        <v/>
      </c>
      <c r="X390" s="3">
        <f>IF(COUNT(B390,E390,H390,I390,P390,R390,S390)&gt;0,AVERAGE(B390,E390,H390,I390,P390,R390,S390),"")</f>
        <v/>
      </c>
      <c r="Y390" s="3" t="n"/>
      <c r="AJ390">
        <f>IFERROR(AVERAGEIF($A$4:$A$1004,AI390,$V$4:$V$1004),"")</f>
        <v/>
      </c>
      <c r="AK390">
        <f>IFERROR(AVERAGEIF($A$4:$A$1004,AI390,$W$4:$W$1004),"")</f>
        <v/>
      </c>
      <c r="AL390">
        <f>IFERROR(AVERAGEIF($A$4:$A$1004,AI390,$X$4:$X$1004),"")</f>
        <v/>
      </c>
    </row>
    <row r="391">
      <c r="A391" s="1">
        <f>IF(Data!A391&gt;0,Data!A391,"")</f>
        <v/>
      </c>
      <c r="B391" s="1">
        <f>IF(Data!B391&gt;0,Data!B391,"")</f>
        <v/>
      </c>
      <c r="C391" s="1">
        <f>IF(Data!C391&gt;0,Data!C391,"")</f>
        <v/>
      </c>
      <c r="D391" s="1">
        <f>IF(Data!D391&gt;0,Data!D391,"")</f>
        <v/>
      </c>
      <c r="E391" s="1">
        <f>IF(Data!E391&gt;0,Data!E391,"")</f>
        <v/>
      </c>
      <c r="F391" s="1">
        <f>IF(Data!F391&gt;0,Data!F391,"")</f>
        <v/>
      </c>
      <c r="G391" s="1">
        <f>IF(Data!G391&gt;0,Data!G391,"")</f>
        <v/>
      </c>
      <c r="H391" s="1">
        <f>IF(Data!H391&gt;0,Data!H391,"")</f>
        <v/>
      </c>
      <c r="I391" s="1">
        <f>IF(Data!I391&gt;0,Data!I391,"")</f>
        <v/>
      </c>
      <c r="J391" s="1">
        <f>IF(Data!J391&gt;0,Data!J391,"")</f>
        <v/>
      </c>
      <c r="K391" s="1">
        <f>IF(Data!K391&gt;0,Data!K391,"")</f>
        <v/>
      </c>
      <c r="L391" s="1">
        <f>IF(Data!L391&gt;0,Data!L391,"")</f>
        <v/>
      </c>
      <c r="M391" s="1">
        <f>IF(Data!M391&gt;0,Data!M391,"")</f>
        <v/>
      </c>
      <c r="N391" s="1">
        <f>IF(Data!N391&gt;0,Data!N391,"")</f>
        <v/>
      </c>
      <c r="O391" s="1">
        <f>IF(Data!O391&gt;0,Data!O391,"")</f>
        <v/>
      </c>
      <c r="P391" s="1">
        <f>IF(Data!P391&gt;0,Data!P391,"")</f>
        <v/>
      </c>
      <c r="Q391" s="1">
        <f>IF(Data!Q391&gt;0,Data!Q391,"")</f>
        <v/>
      </c>
      <c r="R391" s="1">
        <f>IF(Data!R391&gt;0,Data!R391,"")</f>
        <v/>
      </c>
      <c r="S391" s="1">
        <f>IF(Data!S391&gt;0,Data!S391,"")</f>
        <v/>
      </c>
      <c r="V391" s="3">
        <f>IF(COUNT(D391,J391,K391,L391,M391,O391)&gt;0,AVERAGE(D391,J391,K391,L391,M391,O391),"")</f>
        <v/>
      </c>
      <c r="W391" s="3">
        <f>IF(COUNT(C391,F391,G391,N391,Q391)&gt;0,AVERAGE(C391,F391,G391,N391,Q391),"")</f>
        <v/>
      </c>
      <c r="X391" s="3">
        <f>IF(COUNT(B391,E391,H391,I391,P391,R391,S391)&gt;0,AVERAGE(B391,E391,H391,I391,P391,R391,S391),"")</f>
        <v/>
      </c>
      <c r="Y391" s="3" t="n"/>
      <c r="AJ391">
        <f>IFERROR(AVERAGEIF($A$4:$A$1004,AI391,$V$4:$V$1004),"")</f>
        <v/>
      </c>
      <c r="AK391">
        <f>IFERROR(AVERAGEIF($A$4:$A$1004,AI391,$W$4:$W$1004),"")</f>
        <v/>
      </c>
      <c r="AL391">
        <f>IFERROR(AVERAGEIF($A$4:$A$1004,AI391,$X$4:$X$1004),"")</f>
        <v/>
      </c>
    </row>
    <row r="392">
      <c r="A392" s="1">
        <f>IF(Data!A392&gt;0,Data!A392,"")</f>
        <v/>
      </c>
      <c r="B392" s="1">
        <f>IF(Data!B392&gt;0,Data!B392,"")</f>
        <v/>
      </c>
      <c r="C392" s="1">
        <f>IF(Data!C392&gt;0,Data!C392,"")</f>
        <v/>
      </c>
      <c r="D392" s="1">
        <f>IF(Data!D392&gt;0,Data!D392,"")</f>
        <v/>
      </c>
      <c r="E392" s="1">
        <f>IF(Data!E392&gt;0,Data!E392,"")</f>
        <v/>
      </c>
      <c r="F392" s="1">
        <f>IF(Data!F392&gt;0,Data!F392,"")</f>
        <v/>
      </c>
      <c r="G392" s="1">
        <f>IF(Data!G392&gt;0,Data!G392,"")</f>
        <v/>
      </c>
      <c r="H392" s="1">
        <f>IF(Data!H392&gt;0,Data!H392,"")</f>
        <v/>
      </c>
      <c r="I392" s="1">
        <f>IF(Data!I392&gt;0,Data!I392,"")</f>
        <v/>
      </c>
      <c r="J392" s="1">
        <f>IF(Data!J392&gt;0,Data!J392,"")</f>
        <v/>
      </c>
      <c r="K392" s="1">
        <f>IF(Data!K392&gt;0,Data!K392,"")</f>
        <v/>
      </c>
      <c r="L392" s="1">
        <f>IF(Data!L392&gt;0,Data!L392,"")</f>
        <v/>
      </c>
      <c r="M392" s="1">
        <f>IF(Data!M392&gt;0,Data!M392,"")</f>
        <v/>
      </c>
      <c r="N392" s="1">
        <f>IF(Data!N392&gt;0,Data!N392,"")</f>
        <v/>
      </c>
      <c r="O392" s="1">
        <f>IF(Data!O392&gt;0,Data!O392,"")</f>
        <v/>
      </c>
      <c r="P392" s="1">
        <f>IF(Data!P392&gt;0,Data!P392,"")</f>
        <v/>
      </c>
      <c r="Q392" s="1">
        <f>IF(Data!Q392&gt;0,Data!Q392,"")</f>
        <v/>
      </c>
      <c r="R392" s="1">
        <f>IF(Data!R392&gt;0,Data!R392,"")</f>
        <v/>
      </c>
      <c r="S392" s="1">
        <f>IF(Data!S392&gt;0,Data!S392,"")</f>
        <v/>
      </c>
      <c r="V392" s="3">
        <f>IF(COUNT(D392,J392,K392,L392,M392,O392)&gt;0,AVERAGE(D392,J392,K392,L392,M392,O392),"")</f>
        <v/>
      </c>
      <c r="W392" s="3">
        <f>IF(COUNT(C392,F392,G392,N392,Q392)&gt;0,AVERAGE(C392,F392,G392,N392,Q392),"")</f>
        <v/>
      </c>
      <c r="X392" s="3">
        <f>IF(COUNT(B392,E392,H392,I392,P392,R392,S392)&gt;0,AVERAGE(B392,E392,H392,I392,P392,R392,S392),"")</f>
        <v/>
      </c>
      <c r="Y392" s="3" t="n"/>
      <c r="AJ392">
        <f>IFERROR(AVERAGEIF($A$4:$A$1004,AI392,$V$4:$V$1004),"")</f>
        <v/>
      </c>
      <c r="AK392">
        <f>IFERROR(AVERAGEIF($A$4:$A$1004,AI392,$W$4:$W$1004),"")</f>
        <v/>
      </c>
      <c r="AL392">
        <f>IFERROR(AVERAGEIF($A$4:$A$1004,AI392,$X$4:$X$1004),"")</f>
        <v/>
      </c>
    </row>
    <row r="393">
      <c r="A393" s="1">
        <f>IF(Data!A393&gt;0,Data!A393,"")</f>
        <v/>
      </c>
      <c r="B393" s="1">
        <f>IF(Data!B393&gt;0,Data!B393,"")</f>
        <v/>
      </c>
      <c r="C393" s="1">
        <f>IF(Data!C393&gt;0,Data!C393,"")</f>
        <v/>
      </c>
      <c r="D393" s="1">
        <f>IF(Data!D393&gt;0,Data!D393,"")</f>
        <v/>
      </c>
      <c r="E393" s="1">
        <f>IF(Data!E393&gt;0,Data!E393,"")</f>
        <v/>
      </c>
      <c r="F393" s="1">
        <f>IF(Data!F393&gt;0,Data!F393,"")</f>
        <v/>
      </c>
      <c r="G393" s="1">
        <f>IF(Data!G393&gt;0,Data!G393,"")</f>
        <v/>
      </c>
      <c r="H393" s="1">
        <f>IF(Data!H393&gt;0,Data!H393,"")</f>
        <v/>
      </c>
      <c r="I393" s="1">
        <f>IF(Data!I393&gt;0,Data!I393,"")</f>
        <v/>
      </c>
      <c r="J393" s="1">
        <f>IF(Data!J393&gt;0,Data!J393,"")</f>
        <v/>
      </c>
      <c r="K393" s="1">
        <f>IF(Data!K393&gt;0,Data!K393,"")</f>
        <v/>
      </c>
      <c r="L393" s="1">
        <f>IF(Data!L393&gt;0,Data!L393,"")</f>
        <v/>
      </c>
      <c r="M393" s="1">
        <f>IF(Data!M393&gt;0,Data!M393,"")</f>
        <v/>
      </c>
      <c r="N393" s="1">
        <f>IF(Data!N393&gt;0,Data!N393,"")</f>
        <v/>
      </c>
      <c r="O393" s="1">
        <f>IF(Data!O393&gt;0,Data!O393,"")</f>
        <v/>
      </c>
      <c r="P393" s="1">
        <f>IF(Data!P393&gt;0,Data!P393,"")</f>
        <v/>
      </c>
      <c r="Q393" s="1">
        <f>IF(Data!Q393&gt;0,Data!Q393,"")</f>
        <v/>
      </c>
      <c r="R393" s="1">
        <f>IF(Data!R393&gt;0,Data!R393,"")</f>
        <v/>
      </c>
      <c r="S393" s="1">
        <f>IF(Data!S393&gt;0,Data!S393,"")</f>
        <v/>
      </c>
      <c r="V393" s="3">
        <f>IF(COUNT(D393,J393,K393,L393,M393,O393)&gt;0,AVERAGE(D393,J393,K393,L393,M393,O393),"")</f>
        <v/>
      </c>
      <c r="W393" s="3">
        <f>IF(COUNT(C393,F393,G393,N393,Q393)&gt;0,AVERAGE(C393,F393,G393,N393,Q393),"")</f>
        <v/>
      </c>
      <c r="X393" s="3">
        <f>IF(COUNT(B393,E393,H393,I393,P393,R393,S393)&gt;0,AVERAGE(B393,E393,H393,I393,P393,R393,S393),"")</f>
        <v/>
      </c>
      <c r="Y393" s="3" t="n"/>
      <c r="AJ393">
        <f>IFERROR(AVERAGEIF($A$4:$A$1004,AI393,$V$4:$V$1004),"")</f>
        <v/>
      </c>
      <c r="AK393">
        <f>IFERROR(AVERAGEIF($A$4:$A$1004,AI393,$W$4:$W$1004),"")</f>
        <v/>
      </c>
      <c r="AL393">
        <f>IFERROR(AVERAGEIF($A$4:$A$1004,AI393,$X$4:$X$1004),"")</f>
        <v/>
      </c>
    </row>
    <row r="394">
      <c r="A394" s="1">
        <f>IF(Data!A394&gt;0,Data!A394,"")</f>
        <v/>
      </c>
      <c r="B394" s="1">
        <f>IF(Data!B394&gt;0,Data!B394,"")</f>
        <v/>
      </c>
      <c r="C394" s="1">
        <f>IF(Data!C394&gt;0,Data!C394,"")</f>
        <v/>
      </c>
      <c r="D394" s="1">
        <f>IF(Data!D394&gt;0,Data!D394,"")</f>
        <v/>
      </c>
      <c r="E394" s="1">
        <f>IF(Data!E394&gt;0,Data!E394,"")</f>
        <v/>
      </c>
      <c r="F394" s="1">
        <f>IF(Data!F394&gt;0,Data!F394,"")</f>
        <v/>
      </c>
      <c r="G394" s="1">
        <f>IF(Data!G394&gt;0,Data!G394,"")</f>
        <v/>
      </c>
      <c r="H394" s="1">
        <f>IF(Data!H394&gt;0,Data!H394,"")</f>
        <v/>
      </c>
      <c r="I394" s="1">
        <f>IF(Data!I394&gt;0,Data!I394,"")</f>
        <v/>
      </c>
      <c r="J394" s="1">
        <f>IF(Data!J394&gt;0,Data!J394,"")</f>
        <v/>
      </c>
      <c r="K394" s="1">
        <f>IF(Data!K394&gt;0,Data!K394,"")</f>
        <v/>
      </c>
      <c r="L394" s="1">
        <f>IF(Data!L394&gt;0,Data!L394,"")</f>
        <v/>
      </c>
      <c r="M394" s="1">
        <f>IF(Data!M394&gt;0,Data!M394,"")</f>
        <v/>
      </c>
      <c r="N394" s="1">
        <f>IF(Data!N394&gt;0,Data!N394,"")</f>
        <v/>
      </c>
      <c r="O394" s="1">
        <f>IF(Data!O394&gt;0,Data!O394,"")</f>
        <v/>
      </c>
      <c r="P394" s="1">
        <f>IF(Data!P394&gt;0,Data!P394,"")</f>
        <v/>
      </c>
      <c r="Q394" s="1">
        <f>IF(Data!Q394&gt;0,Data!Q394,"")</f>
        <v/>
      </c>
      <c r="R394" s="1">
        <f>IF(Data!R394&gt;0,Data!R394,"")</f>
        <v/>
      </c>
      <c r="S394" s="1">
        <f>IF(Data!S394&gt;0,Data!S394,"")</f>
        <v/>
      </c>
      <c r="V394" s="3">
        <f>IF(COUNT(D394,J394,K394,L394,M394,O394)&gt;0,AVERAGE(D394,J394,K394,L394,M394,O394),"")</f>
        <v/>
      </c>
      <c r="W394" s="3">
        <f>IF(COUNT(C394,F394,G394,N394,Q394)&gt;0,AVERAGE(C394,F394,G394,N394,Q394),"")</f>
        <v/>
      </c>
      <c r="X394" s="3">
        <f>IF(COUNT(B394,E394,H394,I394,P394,R394,S394)&gt;0,AVERAGE(B394,E394,H394,I394,P394,R394,S394),"")</f>
        <v/>
      </c>
      <c r="Y394" s="3" t="n"/>
      <c r="AJ394">
        <f>IFERROR(AVERAGEIF($A$4:$A$1004,AI394,$V$4:$V$1004),"")</f>
        <v/>
      </c>
      <c r="AK394">
        <f>IFERROR(AVERAGEIF($A$4:$A$1004,AI394,$W$4:$W$1004),"")</f>
        <v/>
      </c>
      <c r="AL394">
        <f>IFERROR(AVERAGEIF($A$4:$A$1004,AI394,$X$4:$X$1004),"")</f>
        <v/>
      </c>
    </row>
    <row r="395">
      <c r="A395" s="1">
        <f>IF(Data!A395&gt;0,Data!A395,"")</f>
        <v/>
      </c>
      <c r="B395" s="1">
        <f>IF(Data!B395&gt;0,Data!B395,"")</f>
        <v/>
      </c>
      <c r="C395" s="1">
        <f>IF(Data!C395&gt;0,Data!C395,"")</f>
        <v/>
      </c>
      <c r="D395" s="1">
        <f>IF(Data!D395&gt;0,Data!D395,"")</f>
        <v/>
      </c>
      <c r="E395" s="1">
        <f>IF(Data!E395&gt;0,Data!E395,"")</f>
        <v/>
      </c>
      <c r="F395" s="1">
        <f>IF(Data!F395&gt;0,Data!F395,"")</f>
        <v/>
      </c>
      <c r="G395" s="1">
        <f>IF(Data!G395&gt;0,Data!G395,"")</f>
        <v/>
      </c>
      <c r="H395" s="1">
        <f>IF(Data!H395&gt;0,Data!H395,"")</f>
        <v/>
      </c>
      <c r="I395" s="1">
        <f>IF(Data!I395&gt;0,Data!I395,"")</f>
        <v/>
      </c>
      <c r="J395" s="1">
        <f>IF(Data!J395&gt;0,Data!J395,"")</f>
        <v/>
      </c>
      <c r="K395" s="1">
        <f>IF(Data!K395&gt;0,Data!K395,"")</f>
        <v/>
      </c>
      <c r="L395" s="1">
        <f>IF(Data!L395&gt;0,Data!L395,"")</f>
        <v/>
      </c>
      <c r="M395" s="1">
        <f>IF(Data!M395&gt;0,Data!M395,"")</f>
        <v/>
      </c>
      <c r="N395" s="1">
        <f>IF(Data!N395&gt;0,Data!N395,"")</f>
        <v/>
      </c>
      <c r="O395" s="1">
        <f>IF(Data!O395&gt;0,Data!O395,"")</f>
        <v/>
      </c>
      <c r="P395" s="1">
        <f>IF(Data!P395&gt;0,Data!P395,"")</f>
        <v/>
      </c>
      <c r="Q395" s="1">
        <f>IF(Data!Q395&gt;0,Data!Q395,"")</f>
        <v/>
      </c>
      <c r="R395" s="1">
        <f>IF(Data!R395&gt;0,Data!R395,"")</f>
        <v/>
      </c>
      <c r="S395" s="1">
        <f>IF(Data!S395&gt;0,Data!S395,"")</f>
        <v/>
      </c>
      <c r="V395" s="3">
        <f>IF(COUNT(D395,J395,K395,L395,M395,O395)&gt;0,AVERAGE(D395,J395,K395,L395,M395,O395),"")</f>
        <v/>
      </c>
      <c r="W395" s="3">
        <f>IF(COUNT(C395,F395,G395,N395,Q395)&gt;0,AVERAGE(C395,F395,G395,N395,Q395),"")</f>
        <v/>
      </c>
      <c r="X395" s="3">
        <f>IF(COUNT(B395,E395,H395,I395,P395,R395,S395)&gt;0,AVERAGE(B395,E395,H395,I395,P395,R395,S395),"")</f>
        <v/>
      </c>
      <c r="Y395" s="3" t="n"/>
      <c r="AJ395">
        <f>IFERROR(AVERAGEIF($A$4:$A$1004,AI395,$V$4:$V$1004),"")</f>
        <v/>
      </c>
      <c r="AK395">
        <f>IFERROR(AVERAGEIF($A$4:$A$1004,AI395,$W$4:$W$1004),"")</f>
        <v/>
      </c>
      <c r="AL395">
        <f>IFERROR(AVERAGEIF($A$4:$A$1004,AI395,$X$4:$X$1004),"")</f>
        <v/>
      </c>
    </row>
    <row r="396">
      <c r="A396" s="1">
        <f>IF(Data!A396&gt;0,Data!A396,"")</f>
        <v/>
      </c>
      <c r="B396" s="1">
        <f>IF(Data!B396&gt;0,Data!B396,"")</f>
        <v/>
      </c>
      <c r="C396" s="1">
        <f>IF(Data!C396&gt;0,Data!C396,"")</f>
        <v/>
      </c>
      <c r="D396" s="1">
        <f>IF(Data!D396&gt;0,Data!D396,"")</f>
        <v/>
      </c>
      <c r="E396" s="1">
        <f>IF(Data!E396&gt;0,Data!E396,"")</f>
        <v/>
      </c>
      <c r="F396" s="1">
        <f>IF(Data!F396&gt;0,Data!F396,"")</f>
        <v/>
      </c>
      <c r="G396" s="1">
        <f>IF(Data!G396&gt;0,Data!G396,"")</f>
        <v/>
      </c>
      <c r="H396" s="1">
        <f>IF(Data!H396&gt;0,Data!H396,"")</f>
        <v/>
      </c>
      <c r="I396" s="1">
        <f>IF(Data!I396&gt;0,Data!I396,"")</f>
        <v/>
      </c>
      <c r="J396" s="1">
        <f>IF(Data!J396&gt;0,Data!J396,"")</f>
        <v/>
      </c>
      <c r="K396" s="1">
        <f>IF(Data!K396&gt;0,Data!K396,"")</f>
        <v/>
      </c>
      <c r="L396" s="1">
        <f>IF(Data!L396&gt;0,Data!L396,"")</f>
        <v/>
      </c>
      <c r="M396" s="1">
        <f>IF(Data!M396&gt;0,Data!M396,"")</f>
        <v/>
      </c>
      <c r="N396" s="1">
        <f>IF(Data!N396&gt;0,Data!N396,"")</f>
        <v/>
      </c>
      <c r="O396" s="1">
        <f>IF(Data!O396&gt;0,Data!O396,"")</f>
        <v/>
      </c>
      <c r="P396" s="1">
        <f>IF(Data!P396&gt;0,Data!P396,"")</f>
        <v/>
      </c>
      <c r="Q396" s="1">
        <f>IF(Data!Q396&gt;0,Data!Q396,"")</f>
        <v/>
      </c>
      <c r="R396" s="1">
        <f>IF(Data!R396&gt;0,Data!R396,"")</f>
        <v/>
      </c>
      <c r="S396" s="1">
        <f>IF(Data!S396&gt;0,Data!S396,"")</f>
        <v/>
      </c>
      <c r="V396" s="3">
        <f>IF(COUNT(D396,J396,K396,L396,M396,O396)&gt;0,AVERAGE(D396,J396,K396,L396,M396,O396),"")</f>
        <v/>
      </c>
      <c r="W396" s="3">
        <f>IF(COUNT(C396,F396,G396,N396,Q396)&gt;0,AVERAGE(C396,F396,G396,N396,Q396),"")</f>
        <v/>
      </c>
      <c r="X396" s="3">
        <f>IF(COUNT(B396,E396,H396,I396,P396,R396,S396)&gt;0,AVERAGE(B396,E396,H396,I396,P396,R396,S396),"")</f>
        <v/>
      </c>
      <c r="Y396" s="3" t="n"/>
      <c r="AJ396">
        <f>IFERROR(AVERAGEIF($A$4:$A$1004,AI396,$V$4:$V$1004),"")</f>
        <v/>
      </c>
      <c r="AK396">
        <f>IFERROR(AVERAGEIF($A$4:$A$1004,AI396,$W$4:$W$1004),"")</f>
        <v/>
      </c>
      <c r="AL396">
        <f>IFERROR(AVERAGEIF($A$4:$A$1004,AI396,$X$4:$X$1004),"")</f>
        <v/>
      </c>
    </row>
    <row r="397">
      <c r="A397" s="1">
        <f>IF(Data!A397&gt;0,Data!A397,"")</f>
        <v/>
      </c>
      <c r="B397" s="1">
        <f>IF(Data!B397&gt;0,Data!B397,"")</f>
        <v/>
      </c>
      <c r="C397" s="1">
        <f>IF(Data!C397&gt;0,Data!C397,"")</f>
        <v/>
      </c>
      <c r="D397" s="1">
        <f>IF(Data!D397&gt;0,Data!D397,"")</f>
        <v/>
      </c>
      <c r="E397" s="1">
        <f>IF(Data!E397&gt;0,Data!E397,"")</f>
        <v/>
      </c>
      <c r="F397" s="1">
        <f>IF(Data!F397&gt;0,Data!F397,"")</f>
        <v/>
      </c>
      <c r="G397" s="1">
        <f>IF(Data!G397&gt;0,Data!G397,"")</f>
        <v/>
      </c>
      <c r="H397" s="1">
        <f>IF(Data!H397&gt;0,Data!H397,"")</f>
        <v/>
      </c>
      <c r="I397" s="1">
        <f>IF(Data!I397&gt;0,Data!I397,"")</f>
        <v/>
      </c>
      <c r="J397" s="1">
        <f>IF(Data!J397&gt;0,Data!J397,"")</f>
        <v/>
      </c>
      <c r="K397" s="1">
        <f>IF(Data!K397&gt;0,Data!K397,"")</f>
        <v/>
      </c>
      <c r="L397" s="1">
        <f>IF(Data!L397&gt;0,Data!L397,"")</f>
        <v/>
      </c>
      <c r="M397" s="1">
        <f>IF(Data!M397&gt;0,Data!M397,"")</f>
        <v/>
      </c>
      <c r="N397" s="1">
        <f>IF(Data!N397&gt;0,Data!N397,"")</f>
        <v/>
      </c>
      <c r="O397" s="1">
        <f>IF(Data!O397&gt;0,Data!O397,"")</f>
        <v/>
      </c>
      <c r="P397" s="1">
        <f>IF(Data!P397&gt;0,Data!P397,"")</f>
        <v/>
      </c>
      <c r="Q397" s="1">
        <f>IF(Data!Q397&gt;0,Data!Q397,"")</f>
        <v/>
      </c>
      <c r="R397" s="1">
        <f>IF(Data!R397&gt;0,Data!R397,"")</f>
        <v/>
      </c>
      <c r="S397" s="1">
        <f>IF(Data!S397&gt;0,Data!S397,"")</f>
        <v/>
      </c>
      <c r="V397" s="3">
        <f>IF(COUNT(D397,J397,K397,L397,M397,O397)&gt;0,AVERAGE(D397,J397,K397,L397,M397,O397),"")</f>
        <v/>
      </c>
      <c r="W397" s="3">
        <f>IF(COUNT(C397,F397,G397,N397,Q397)&gt;0,AVERAGE(C397,F397,G397,N397,Q397),"")</f>
        <v/>
      </c>
      <c r="X397" s="3">
        <f>IF(COUNT(B397,E397,H397,I397,P397,R397,S397)&gt;0,AVERAGE(B397,E397,H397,I397,P397,R397,S397),"")</f>
        <v/>
      </c>
      <c r="Y397" s="3" t="n"/>
      <c r="AJ397">
        <f>IFERROR(AVERAGEIF($A$4:$A$1004,AI397,$V$4:$V$1004),"")</f>
        <v/>
      </c>
      <c r="AK397">
        <f>IFERROR(AVERAGEIF($A$4:$A$1004,AI397,$W$4:$W$1004),"")</f>
        <v/>
      </c>
      <c r="AL397">
        <f>IFERROR(AVERAGEIF($A$4:$A$1004,AI397,$X$4:$X$1004),"")</f>
        <v/>
      </c>
    </row>
    <row r="398">
      <c r="A398" s="1">
        <f>IF(Data!A398&gt;0,Data!A398,"")</f>
        <v/>
      </c>
      <c r="B398" s="1">
        <f>IF(Data!B398&gt;0,Data!B398,"")</f>
        <v/>
      </c>
      <c r="C398" s="1">
        <f>IF(Data!C398&gt;0,Data!C398,"")</f>
        <v/>
      </c>
      <c r="D398" s="1">
        <f>IF(Data!D398&gt;0,Data!D398,"")</f>
        <v/>
      </c>
      <c r="E398" s="1">
        <f>IF(Data!E398&gt;0,Data!E398,"")</f>
        <v/>
      </c>
      <c r="F398" s="1">
        <f>IF(Data!F398&gt;0,Data!F398,"")</f>
        <v/>
      </c>
      <c r="G398" s="1">
        <f>IF(Data!G398&gt;0,Data!G398,"")</f>
        <v/>
      </c>
      <c r="H398" s="1">
        <f>IF(Data!H398&gt;0,Data!H398,"")</f>
        <v/>
      </c>
      <c r="I398" s="1">
        <f>IF(Data!I398&gt;0,Data!I398,"")</f>
        <v/>
      </c>
      <c r="J398" s="1">
        <f>IF(Data!J398&gt;0,Data!J398,"")</f>
        <v/>
      </c>
      <c r="K398" s="1">
        <f>IF(Data!K398&gt;0,Data!K398,"")</f>
        <v/>
      </c>
      <c r="L398" s="1">
        <f>IF(Data!L398&gt;0,Data!L398,"")</f>
        <v/>
      </c>
      <c r="M398" s="1">
        <f>IF(Data!M398&gt;0,Data!M398,"")</f>
        <v/>
      </c>
      <c r="N398" s="1">
        <f>IF(Data!N398&gt;0,Data!N398,"")</f>
        <v/>
      </c>
      <c r="O398" s="1">
        <f>IF(Data!O398&gt;0,Data!O398,"")</f>
        <v/>
      </c>
      <c r="P398" s="1">
        <f>IF(Data!P398&gt;0,Data!P398,"")</f>
        <v/>
      </c>
      <c r="Q398" s="1">
        <f>IF(Data!Q398&gt;0,Data!Q398,"")</f>
        <v/>
      </c>
      <c r="R398" s="1">
        <f>IF(Data!R398&gt;0,Data!R398,"")</f>
        <v/>
      </c>
      <c r="S398" s="1">
        <f>IF(Data!S398&gt;0,Data!S398,"")</f>
        <v/>
      </c>
      <c r="V398" s="3">
        <f>IF(COUNT(D398,J398,K398,L398,M398,O398)&gt;0,AVERAGE(D398,J398,K398,L398,M398,O398),"")</f>
        <v/>
      </c>
      <c r="W398" s="3">
        <f>IF(COUNT(C398,F398,G398,N398,Q398)&gt;0,AVERAGE(C398,F398,G398,N398,Q398),"")</f>
        <v/>
      </c>
      <c r="X398" s="3">
        <f>IF(COUNT(B398,E398,H398,I398,P398,R398,S398)&gt;0,AVERAGE(B398,E398,H398,I398,P398,R398,S398),"")</f>
        <v/>
      </c>
      <c r="Y398" s="3" t="n"/>
      <c r="AJ398">
        <f>IFERROR(AVERAGEIF($A$4:$A$1004,AI398,$V$4:$V$1004),"")</f>
        <v/>
      </c>
      <c r="AK398">
        <f>IFERROR(AVERAGEIF($A$4:$A$1004,AI398,$W$4:$W$1004),"")</f>
        <v/>
      </c>
      <c r="AL398">
        <f>IFERROR(AVERAGEIF($A$4:$A$1004,AI398,$X$4:$X$1004),"")</f>
        <v/>
      </c>
    </row>
    <row r="399">
      <c r="A399" s="1">
        <f>IF(Data!A399&gt;0,Data!A399,"")</f>
        <v/>
      </c>
      <c r="B399" s="1">
        <f>IF(Data!B399&gt;0,Data!B399,"")</f>
        <v/>
      </c>
      <c r="C399" s="1">
        <f>IF(Data!C399&gt;0,Data!C399,"")</f>
        <v/>
      </c>
      <c r="D399" s="1">
        <f>IF(Data!D399&gt;0,Data!D399,"")</f>
        <v/>
      </c>
      <c r="E399" s="1">
        <f>IF(Data!E399&gt;0,Data!E399,"")</f>
        <v/>
      </c>
      <c r="F399" s="1">
        <f>IF(Data!F399&gt;0,Data!F399,"")</f>
        <v/>
      </c>
      <c r="G399" s="1">
        <f>IF(Data!G399&gt;0,Data!G399,"")</f>
        <v/>
      </c>
      <c r="H399" s="1">
        <f>IF(Data!H399&gt;0,Data!H399,"")</f>
        <v/>
      </c>
      <c r="I399" s="1">
        <f>IF(Data!I399&gt;0,Data!I399,"")</f>
        <v/>
      </c>
      <c r="J399" s="1">
        <f>IF(Data!J399&gt;0,Data!J399,"")</f>
        <v/>
      </c>
      <c r="K399" s="1">
        <f>IF(Data!K399&gt;0,Data!K399,"")</f>
        <v/>
      </c>
      <c r="L399" s="1">
        <f>IF(Data!L399&gt;0,Data!L399,"")</f>
        <v/>
      </c>
      <c r="M399" s="1">
        <f>IF(Data!M399&gt;0,Data!M399,"")</f>
        <v/>
      </c>
      <c r="N399" s="1">
        <f>IF(Data!N399&gt;0,Data!N399,"")</f>
        <v/>
      </c>
      <c r="O399" s="1">
        <f>IF(Data!O399&gt;0,Data!O399,"")</f>
        <v/>
      </c>
      <c r="P399" s="1">
        <f>IF(Data!P399&gt;0,Data!P399,"")</f>
        <v/>
      </c>
      <c r="Q399" s="1">
        <f>IF(Data!Q399&gt;0,Data!Q399,"")</f>
        <v/>
      </c>
      <c r="R399" s="1">
        <f>IF(Data!R399&gt;0,Data!R399,"")</f>
        <v/>
      </c>
      <c r="S399" s="1">
        <f>IF(Data!S399&gt;0,Data!S399,"")</f>
        <v/>
      </c>
      <c r="V399" s="3">
        <f>IF(COUNT(D399,J399,K399,L399,M399,O399)&gt;0,AVERAGE(D399,J399,K399,L399,M399,O399),"")</f>
        <v/>
      </c>
      <c r="W399" s="3">
        <f>IF(COUNT(C399,F399,G399,N399,Q399)&gt;0,AVERAGE(C399,F399,G399,N399,Q399),"")</f>
        <v/>
      </c>
      <c r="X399" s="3">
        <f>IF(COUNT(B399,E399,H399,I399,P399,R399,S399)&gt;0,AVERAGE(B399,E399,H399,I399,P399,R399,S399),"")</f>
        <v/>
      </c>
      <c r="Y399" s="3" t="n"/>
      <c r="AJ399">
        <f>IFERROR(AVERAGEIF($A$4:$A$1004,AI399,$V$4:$V$1004),"")</f>
        <v/>
      </c>
      <c r="AK399">
        <f>IFERROR(AVERAGEIF($A$4:$A$1004,AI399,$W$4:$W$1004),"")</f>
        <v/>
      </c>
      <c r="AL399">
        <f>IFERROR(AVERAGEIF($A$4:$A$1004,AI399,$X$4:$X$1004),"")</f>
        <v/>
      </c>
    </row>
    <row r="400">
      <c r="A400" s="1">
        <f>IF(Data!A400&gt;0,Data!A400,"")</f>
        <v/>
      </c>
      <c r="B400" s="1">
        <f>IF(Data!B400&gt;0,Data!B400,"")</f>
        <v/>
      </c>
      <c r="C400" s="1">
        <f>IF(Data!C400&gt;0,Data!C400,"")</f>
        <v/>
      </c>
      <c r="D400" s="1">
        <f>IF(Data!D400&gt;0,Data!D400,"")</f>
        <v/>
      </c>
      <c r="E400" s="1">
        <f>IF(Data!E400&gt;0,Data!E400,"")</f>
        <v/>
      </c>
      <c r="F400" s="1">
        <f>IF(Data!F400&gt;0,Data!F400,"")</f>
        <v/>
      </c>
      <c r="G400" s="1">
        <f>IF(Data!G400&gt;0,Data!G400,"")</f>
        <v/>
      </c>
      <c r="H400" s="1">
        <f>IF(Data!H400&gt;0,Data!H400,"")</f>
        <v/>
      </c>
      <c r="I400" s="1">
        <f>IF(Data!I400&gt;0,Data!I400,"")</f>
        <v/>
      </c>
      <c r="J400" s="1">
        <f>IF(Data!J400&gt;0,Data!J400,"")</f>
        <v/>
      </c>
      <c r="K400" s="1">
        <f>IF(Data!K400&gt;0,Data!K400,"")</f>
        <v/>
      </c>
      <c r="L400" s="1">
        <f>IF(Data!L400&gt;0,Data!L400,"")</f>
        <v/>
      </c>
      <c r="M400" s="1">
        <f>IF(Data!M400&gt;0,Data!M400,"")</f>
        <v/>
      </c>
      <c r="N400" s="1">
        <f>IF(Data!N400&gt;0,Data!N400,"")</f>
        <v/>
      </c>
      <c r="O400" s="1">
        <f>IF(Data!O400&gt;0,Data!O400,"")</f>
        <v/>
      </c>
      <c r="P400" s="1">
        <f>IF(Data!P400&gt;0,Data!P400,"")</f>
        <v/>
      </c>
      <c r="Q400" s="1">
        <f>IF(Data!Q400&gt;0,Data!Q400,"")</f>
        <v/>
      </c>
      <c r="R400" s="1">
        <f>IF(Data!R400&gt;0,Data!R400,"")</f>
        <v/>
      </c>
      <c r="S400" s="1">
        <f>IF(Data!S400&gt;0,Data!S400,"")</f>
        <v/>
      </c>
      <c r="V400" s="3">
        <f>IF(COUNT(D400,J400,K400,L400,M400,O400)&gt;0,AVERAGE(D400,J400,K400,L400,M400,O400),"")</f>
        <v/>
      </c>
      <c r="W400" s="3">
        <f>IF(COUNT(C400,F400,G400,N400,Q400)&gt;0,AVERAGE(C400,F400,G400,N400,Q400),"")</f>
        <v/>
      </c>
      <c r="X400" s="3">
        <f>IF(COUNT(B400,E400,H400,I400,P400,R400,S400)&gt;0,AVERAGE(B400,E400,H400,I400,P400,R400,S400),"")</f>
        <v/>
      </c>
      <c r="Y400" s="3" t="n"/>
      <c r="AJ400">
        <f>IFERROR(AVERAGEIF($A$4:$A$1004,AI400,$V$4:$V$1004),"")</f>
        <v/>
      </c>
      <c r="AK400">
        <f>IFERROR(AVERAGEIF($A$4:$A$1004,AI400,$W$4:$W$1004),"")</f>
        <v/>
      </c>
      <c r="AL400">
        <f>IFERROR(AVERAGEIF($A$4:$A$1004,AI400,$X$4:$X$1004),"")</f>
        <v/>
      </c>
    </row>
    <row r="401">
      <c r="A401" s="1">
        <f>IF(Data!A401&gt;0,Data!A401,"")</f>
        <v/>
      </c>
      <c r="B401" s="1">
        <f>IF(Data!B401&gt;0,Data!B401,"")</f>
        <v/>
      </c>
      <c r="C401" s="1">
        <f>IF(Data!C401&gt;0,Data!C401,"")</f>
        <v/>
      </c>
      <c r="D401" s="1">
        <f>IF(Data!D401&gt;0,Data!D401,"")</f>
        <v/>
      </c>
      <c r="E401" s="1">
        <f>IF(Data!E401&gt;0,Data!E401,"")</f>
        <v/>
      </c>
      <c r="F401" s="1">
        <f>IF(Data!F401&gt;0,Data!F401,"")</f>
        <v/>
      </c>
      <c r="G401" s="1">
        <f>IF(Data!G401&gt;0,Data!G401,"")</f>
        <v/>
      </c>
      <c r="H401" s="1">
        <f>IF(Data!H401&gt;0,Data!H401,"")</f>
        <v/>
      </c>
      <c r="I401" s="1">
        <f>IF(Data!I401&gt;0,Data!I401,"")</f>
        <v/>
      </c>
      <c r="J401" s="1">
        <f>IF(Data!J401&gt;0,Data!J401,"")</f>
        <v/>
      </c>
      <c r="K401" s="1">
        <f>IF(Data!K401&gt;0,Data!K401,"")</f>
        <v/>
      </c>
      <c r="L401" s="1">
        <f>IF(Data!L401&gt;0,Data!L401,"")</f>
        <v/>
      </c>
      <c r="M401" s="1">
        <f>IF(Data!M401&gt;0,Data!M401,"")</f>
        <v/>
      </c>
      <c r="N401" s="1">
        <f>IF(Data!N401&gt;0,Data!N401,"")</f>
        <v/>
      </c>
      <c r="O401" s="1">
        <f>IF(Data!O401&gt;0,Data!O401,"")</f>
        <v/>
      </c>
      <c r="P401" s="1">
        <f>IF(Data!P401&gt;0,Data!P401,"")</f>
        <v/>
      </c>
      <c r="Q401" s="1">
        <f>IF(Data!Q401&gt;0,Data!Q401,"")</f>
        <v/>
      </c>
      <c r="R401" s="1">
        <f>IF(Data!R401&gt;0,Data!R401,"")</f>
        <v/>
      </c>
      <c r="S401" s="1">
        <f>IF(Data!S401&gt;0,Data!S401,"")</f>
        <v/>
      </c>
      <c r="V401" s="3">
        <f>IF(COUNT(D401,J401,K401,L401,M401,O401)&gt;0,AVERAGE(D401,J401,K401,L401,M401,O401),"")</f>
        <v/>
      </c>
      <c r="W401" s="3">
        <f>IF(COUNT(C401,F401,G401,N401,Q401)&gt;0,AVERAGE(C401,F401,G401,N401,Q401),"")</f>
        <v/>
      </c>
      <c r="X401" s="3">
        <f>IF(COUNT(B401,E401,H401,I401,P401,R401,S401)&gt;0,AVERAGE(B401,E401,H401,I401,P401,R401,S401),"")</f>
        <v/>
      </c>
      <c r="Y401" s="3" t="n"/>
      <c r="AJ401">
        <f>IFERROR(AVERAGEIF($A$4:$A$1004,AI401,$V$4:$V$1004),"")</f>
        <v/>
      </c>
      <c r="AK401">
        <f>IFERROR(AVERAGEIF($A$4:$A$1004,AI401,$W$4:$W$1004),"")</f>
        <v/>
      </c>
      <c r="AL401">
        <f>IFERROR(AVERAGEIF($A$4:$A$1004,AI401,$X$4:$X$1004),"")</f>
        <v/>
      </c>
    </row>
    <row r="402">
      <c r="A402" s="1">
        <f>IF(Data!A402&gt;0,Data!A402,"")</f>
        <v/>
      </c>
      <c r="B402" s="1">
        <f>IF(Data!B402&gt;0,Data!B402,"")</f>
        <v/>
      </c>
      <c r="C402" s="1">
        <f>IF(Data!C402&gt;0,Data!C402,"")</f>
        <v/>
      </c>
      <c r="D402" s="1">
        <f>IF(Data!D402&gt;0,Data!D402,"")</f>
        <v/>
      </c>
      <c r="E402" s="1">
        <f>IF(Data!E402&gt;0,Data!E402,"")</f>
        <v/>
      </c>
      <c r="F402" s="1">
        <f>IF(Data!F402&gt;0,Data!F402,"")</f>
        <v/>
      </c>
      <c r="G402" s="1">
        <f>IF(Data!G402&gt;0,Data!G402,"")</f>
        <v/>
      </c>
      <c r="H402" s="1">
        <f>IF(Data!H402&gt;0,Data!H402,"")</f>
        <v/>
      </c>
      <c r="I402" s="1">
        <f>IF(Data!I402&gt;0,Data!I402,"")</f>
        <v/>
      </c>
      <c r="J402" s="1">
        <f>IF(Data!J402&gt;0,Data!J402,"")</f>
        <v/>
      </c>
      <c r="K402" s="1">
        <f>IF(Data!K402&gt;0,Data!K402,"")</f>
        <v/>
      </c>
      <c r="L402" s="1">
        <f>IF(Data!L402&gt;0,Data!L402,"")</f>
        <v/>
      </c>
      <c r="M402" s="1">
        <f>IF(Data!M402&gt;0,Data!M402,"")</f>
        <v/>
      </c>
      <c r="N402" s="1">
        <f>IF(Data!N402&gt;0,Data!N402,"")</f>
        <v/>
      </c>
      <c r="O402" s="1">
        <f>IF(Data!O402&gt;0,Data!O402,"")</f>
        <v/>
      </c>
      <c r="P402" s="1">
        <f>IF(Data!P402&gt;0,Data!P402,"")</f>
        <v/>
      </c>
      <c r="Q402" s="1">
        <f>IF(Data!Q402&gt;0,Data!Q402,"")</f>
        <v/>
      </c>
      <c r="R402" s="1">
        <f>IF(Data!R402&gt;0,Data!R402,"")</f>
        <v/>
      </c>
      <c r="S402" s="1">
        <f>IF(Data!S402&gt;0,Data!S402,"")</f>
        <v/>
      </c>
      <c r="V402" s="3">
        <f>IF(COUNT(D402,J402,K402,L402,M402,O402)&gt;0,AVERAGE(D402,J402,K402,L402,M402,O402),"")</f>
        <v/>
      </c>
      <c r="W402" s="3">
        <f>IF(COUNT(C402,F402,G402,N402,Q402)&gt;0,AVERAGE(C402,F402,G402,N402,Q402),"")</f>
        <v/>
      </c>
      <c r="X402" s="3">
        <f>IF(COUNT(B402,E402,H402,I402,P402,R402,S402)&gt;0,AVERAGE(B402,E402,H402,I402,P402,R402,S402),"")</f>
        <v/>
      </c>
      <c r="Y402" s="3" t="n"/>
      <c r="AJ402">
        <f>IFERROR(AVERAGEIF($A$4:$A$1004,AI402,$V$4:$V$1004),"")</f>
        <v/>
      </c>
      <c r="AK402">
        <f>IFERROR(AVERAGEIF($A$4:$A$1004,AI402,$W$4:$W$1004),"")</f>
        <v/>
      </c>
      <c r="AL402">
        <f>IFERROR(AVERAGEIF($A$4:$A$1004,AI402,$X$4:$X$1004),"")</f>
        <v/>
      </c>
    </row>
    <row r="403">
      <c r="A403" s="1">
        <f>IF(Data!A403&gt;0,Data!A403,"")</f>
        <v/>
      </c>
      <c r="B403" s="1">
        <f>IF(Data!B403&gt;0,Data!B403,"")</f>
        <v/>
      </c>
      <c r="C403" s="1">
        <f>IF(Data!C403&gt;0,Data!C403,"")</f>
        <v/>
      </c>
      <c r="D403" s="1">
        <f>IF(Data!D403&gt;0,Data!D403,"")</f>
        <v/>
      </c>
      <c r="E403" s="1">
        <f>IF(Data!E403&gt;0,Data!E403,"")</f>
        <v/>
      </c>
      <c r="F403" s="1">
        <f>IF(Data!F403&gt;0,Data!F403,"")</f>
        <v/>
      </c>
      <c r="G403" s="1">
        <f>IF(Data!G403&gt;0,Data!G403,"")</f>
        <v/>
      </c>
      <c r="H403" s="1">
        <f>IF(Data!H403&gt;0,Data!H403,"")</f>
        <v/>
      </c>
      <c r="I403" s="1">
        <f>IF(Data!I403&gt;0,Data!I403,"")</f>
        <v/>
      </c>
      <c r="J403" s="1">
        <f>IF(Data!J403&gt;0,Data!J403,"")</f>
        <v/>
      </c>
      <c r="K403" s="1">
        <f>IF(Data!K403&gt;0,Data!K403,"")</f>
        <v/>
      </c>
      <c r="L403" s="1">
        <f>IF(Data!L403&gt;0,Data!L403,"")</f>
        <v/>
      </c>
      <c r="M403" s="1">
        <f>IF(Data!M403&gt;0,Data!M403,"")</f>
        <v/>
      </c>
      <c r="N403" s="1">
        <f>IF(Data!N403&gt;0,Data!N403,"")</f>
        <v/>
      </c>
      <c r="O403" s="1">
        <f>IF(Data!O403&gt;0,Data!O403,"")</f>
        <v/>
      </c>
      <c r="P403" s="1">
        <f>IF(Data!P403&gt;0,Data!P403,"")</f>
        <v/>
      </c>
      <c r="Q403" s="1">
        <f>IF(Data!Q403&gt;0,Data!Q403,"")</f>
        <v/>
      </c>
      <c r="R403" s="1">
        <f>IF(Data!R403&gt;0,Data!R403,"")</f>
        <v/>
      </c>
      <c r="S403" s="1">
        <f>IF(Data!S403&gt;0,Data!S403,"")</f>
        <v/>
      </c>
      <c r="V403" s="3">
        <f>IF(COUNT(D403,J403,K403,L403,M403,O403)&gt;0,AVERAGE(D403,J403,K403,L403,M403,O403),"")</f>
        <v/>
      </c>
      <c r="W403" s="3">
        <f>IF(COUNT(C403,F403,G403,N403,Q403)&gt;0,AVERAGE(C403,F403,G403,N403,Q403),"")</f>
        <v/>
      </c>
      <c r="X403" s="3">
        <f>IF(COUNT(B403,E403,H403,I403,P403,R403,S403)&gt;0,AVERAGE(B403,E403,H403,I403,P403,R403,S403),"")</f>
        <v/>
      </c>
      <c r="Y403" s="3" t="n"/>
      <c r="AJ403">
        <f>IFERROR(AVERAGEIF($A$4:$A$1004,AI403,$V$4:$V$1004),"")</f>
        <v/>
      </c>
      <c r="AK403">
        <f>IFERROR(AVERAGEIF($A$4:$A$1004,AI403,$W$4:$W$1004),"")</f>
        <v/>
      </c>
      <c r="AL403">
        <f>IFERROR(AVERAGEIF($A$4:$A$1004,AI403,$X$4:$X$1004),"")</f>
        <v/>
      </c>
    </row>
    <row r="404">
      <c r="A404" s="1">
        <f>IF(Data!A404&gt;0,Data!A404,"")</f>
        <v/>
      </c>
      <c r="B404" s="1">
        <f>IF(Data!B404&gt;0,Data!B404,"")</f>
        <v/>
      </c>
      <c r="C404" s="1">
        <f>IF(Data!C404&gt;0,Data!C404,"")</f>
        <v/>
      </c>
      <c r="D404" s="1">
        <f>IF(Data!D404&gt;0,Data!D404,"")</f>
        <v/>
      </c>
      <c r="E404" s="1">
        <f>IF(Data!E404&gt;0,Data!E404,"")</f>
        <v/>
      </c>
      <c r="F404" s="1">
        <f>IF(Data!F404&gt;0,Data!F404,"")</f>
        <v/>
      </c>
      <c r="G404" s="1">
        <f>IF(Data!G404&gt;0,Data!G404,"")</f>
        <v/>
      </c>
      <c r="H404" s="1">
        <f>IF(Data!H404&gt;0,Data!H404,"")</f>
        <v/>
      </c>
      <c r="I404" s="1">
        <f>IF(Data!I404&gt;0,Data!I404,"")</f>
        <v/>
      </c>
      <c r="J404" s="1">
        <f>IF(Data!J404&gt;0,Data!J404,"")</f>
        <v/>
      </c>
      <c r="K404" s="1">
        <f>IF(Data!K404&gt;0,Data!K404,"")</f>
        <v/>
      </c>
      <c r="L404" s="1">
        <f>IF(Data!L404&gt;0,Data!L404,"")</f>
        <v/>
      </c>
      <c r="M404" s="1">
        <f>IF(Data!M404&gt;0,Data!M404,"")</f>
        <v/>
      </c>
      <c r="N404" s="1">
        <f>IF(Data!N404&gt;0,Data!N404,"")</f>
        <v/>
      </c>
      <c r="O404" s="1">
        <f>IF(Data!O404&gt;0,Data!O404,"")</f>
        <v/>
      </c>
      <c r="P404" s="1">
        <f>IF(Data!P404&gt;0,Data!P404,"")</f>
        <v/>
      </c>
      <c r="Q404" s="1">
        <f>IF(Data!Q404&gt;0,Data!Q404,"")</f>
        <v/>
      </c>
      <c r="R404" s="1">
        <f>IF(Data!R404&gt;0,Data!R404,"")</f>
        <v/>
      </c>
      <c r="S404" s="1">
        <f>IF(Data!S404&gt;0,Data!S404,"")</f>
        <v/>
      </c>
      <c r="V404" s="3">
        <f>IF(COUNT(D404,J404,K404,L404,M404,O404)&gt;0,AVERAGE(D404,J404,K404,L404,M404,O404),"")</f>
        <v/>
      </c>
      <c r="W404" s="3">
        <f>IF(COUNT(C404,F404,G404,N404,Q404)&gt;0,AVERAGE(C404,F404,G404,N404,Q404),"")</f>
        <v/>
      </c>
      <c r="X404" s="3">
        <f>IF(COUNT(B404,E404,H404,I404,P404,R404,S404)&gt;0,AVERAGE(B404,E404,H404,I404,P404,R404,S404),"")</f>
        <v/>
      </c>
      <c r="Y404" s="3" t="n"/>
      <c r="AJ404">
        <f>IFERROR(AVERAGEIF($A$4:$A$1004,AI404,$V$4:$V$1004),"")</f>
        <v/>
      </c>
      <c r="AK404">
        <f>IFERROR(AVERAGEIF($A$4:$A$1004,AI404,$W$4:$W$1004),"")</f>
        <v/>
      </c>
      <c r="AL404">
        <f>IFERROR(AVERAGEIF($A$4:$A$1004,AI404,$X$4:$X$1004),"")</f>
        <v/>
      </c>
    </row>
    <row r="405">
      <c r="A405" s="1">
        <f>IF(Data!A405&gt;0,Data!A405,"")</f>
        <v/>
      </c>
      <c r="B405" s="1">
        <f>IF(Data!B405&gt;0,Data!B405,"")</f>
        <v/>
      </c>
      <c r="C405" s="1">
        <f>IF(Data!C405&gt;0,Data!C405,"")</f>
        <v/>
      </c>
      <c r="D405" s="1">
        <f>IF(Data!D405&gt;0,Data!D405,"")</f>
        <v/>
      </c>
      <c r="E405" s="1">
        <f>IF(Data!E405&gt;0,Data!E405,"")</f>
        <v/>
      </c>
      <c r="F405" s="1">
        <f>IF(Data!F405&gt;0,Data!F405,"")</f>
        <v/>
      </c>
      <c r="G405" s="1">
        <f>IF(Data!G405&gt;0,Data!G405,"")</f>
        <v/>
      </c>
      <c r="H405" s="1">
        <f>IF(Data!H405&gt;0,Data!H405,"")</f>
        <v/>
      </c>
      <c r="I405" s="1">
        <f>IF(Data!I405&gt;0,Data!I405,"")</f>
        <v/>
      </c>
      <c r="J405" s="1">
        <f>IF(Data!J405&gt;0,Data!J405,"")</f>
        <v/>
      </c>
      <c r="K405" s="1">
        <f>IF(Data!K405&gt;0,Data!K405,"")</f>
        <v/>
      </c>
      <c r="L405" s="1">
        <f>IF(Data!L405&gt;0,Data!L405,"")</f>
        <v/>
      </c>
      <c r="M405" s="1">
        <f>IF(Data!M405&gt;0,Data!M405,"")</f>
        <v/>
      </c>
      <c r="N405" s="1">
        <f>IF(Data!N405&gt;0,Data!N405,"")</f>
        <v/>
      </c>
      <c r="O405" s="1">
        <f>IF(Data!O405&gt;0,Data!O405,"")</f>
        <v/>
      </c>
      <c r="P405" s="1">
        <f>IF(Data!P405&gt;0,Data!P405,"")</f>
        <v/>
      </c>
      <c r="Q405" s="1">
        <f>IF(Data!Q405&gt;0,Data!Q405,"")</f>
        <v/>
      </c>
      <c r="R405" s="1">
        <f>IF(Data!R405&gt;0,Data!R405,"")</f>
        <v/>
      </c>
      <c r="S405" s="1">
        <f>IF(Data!S405&gt;0,Data!S405,"")</f>
        <v/>
      </c>
      <c r="V405" s="3">
        <f>IF(COUNT(D405,J405,K405,L405,M405,O405)&gt;0,AVERAGE(D405,J405,K405,L405,M405,O405),"")</f>
        <v/>
      </c>
      <c r="W405" s="3">
        <f>IF(COUNT(C405,F405,G405,N405,Q405)&gt;0,AVERAGE(C405,F405,G405,N405,Q405),"")</f>
        <v/>
      </c>
      <c r="X405" s="3">
        <f>IF(COUNT(B405,E405,H405,I405,P405,R405,S405)&gt;0,AVERAGE(B405,E405,H405,I405,P405,R405,S405),"")</f>
        <v/>
      </c>
      <c r="Y405" s="3" t="n"/>
      <c r="AJ405">
        <f>IFERROR(AVERAGEIF($A$4:$A$1004,AI405,$V$4:$V$1004),"")</f>
        <v/>
      </c>
      <c r="AK405">
        <f>IFERROR(AVERAGEIF($A$4:$A$1004,AI405,$W$4:$W$1004),"")</f>
        <v/>
      </c>
      <c r="AL405">
        <f>IFERROR(AVERAGEIF($A$4:$A$1004,AI405,$X$4:$X$1004),"")</f>
        <v/>
      </c>
    </row>
    <row r="406">
      <c r="A406" s="1">
        <f>IF(Data!A406&gt;0,Data!A406,"")</f>
        <v/>
      </c>
      <c r="B406" s="1">
        <f>IF(Data!B406&gt;0,Data!B406,"")</f>
        <v/>
      </c>
      <c r="C406" s="1">
        <f>IF(Data!C406&gt;0,Data!C406,"")</f>
        <v/>
      </c>
      <c r="D406" s="1">
        <f>IF(Data!D406&gt;0,Data!D406,"")</f>
        <v/>
      </c>
      <c r="E406" s="1">
        <f>IF(Data!E406&gt;0,Data!E406,"")</f>
        <v/>
      </c>
      <c r="F406" s="1">
        <f>IF(Data!F406&gt;0,Data!F406,"")</f>
        <v/>
      </c>
      <c r="G406" s="1">
        <f>IF(Data!G406&gt;0,Data!G406,"")</f>
        <v/>
      </c>
      <c r="H406" s="1">
        <f>IF(Data!H406&gt;0,Data!H406,"")</f>
        <v/>
      </c>
      <c r="I406" s="1">
        <f>IF(Data!I406&gt;0,Data!I406,"")</f>
        <v/>
      </c>
      <c r="J406" s="1">
        <f>IF(Data!J406&gt;0,Data!J406,"")</f>
        <v/>
      </c>
      <c r="K406" s="1">
        <f>IF(Data!K406&gt;0,Data!K406,"")</f>
        <v/>
      </c>
      <c r="L406" s="1">
        <f>IF(Data!L406&gt;0,Data!L406,"")</f>
        <v/>
      </c>
      <c r="M406" s="1">
        <f>IF(Data!M406&gt;0,Data!M406,"")</f>
        <v/>
      </c>
      <c r="N406" s="1">
        <f>IF(Data!N406&gt;0,Data!N406,"")</f>
        <v/>
      </c>
      <c r="O406" s="1">
        <f>IF(Data!O406&gt;0,Data!O406,"")</f>
        <v/>
      </c>
      <c r="P406" s="1">
        <f>IF(Data!P406&gt;0,Data!P406,"")</f>
        <v/>
      </c>
      <c r="Q406" s="1">
        <f>IF(Data!Q406&gt;0,Data!Q406,"")</f>
        <v/>
      </c>
      <c r="R406" s="1">
        <f>IF(Data!R406&gt;0,Data!R406,"")</f>
        <v/>
      </c>
      <c r="S406" s="1">
        <f>IF(Data!S406&gt;0,Data!S406,"")</f>
        <v/>
      </c>
      <c r="V406" s="3">
        <f>IF(COUNT(D406,J406,K406,L406,M406,O406)&gt;0,AVERAGE(D406,J406,K406,L406,M406,O406),"")</f>
        <v/>
      </c>
      <c r="W406" s="3">
        <f>IF(COUNT(C406,F406,G406,N406,Q406)&gt;0,AVERAGE(C406,F406,G406,N406,Q406),"")</f>
        <v/>
      </c>
      <c r="X406" s="3">
        <f>IF(COUNT(B406,E406,H406,I406,P406,R406,S406)&gt;0,AVERAGE(B406,E406,H406,I406,P406,R406,S406),"")</f>
        <v/>
      </c>
      <c r="Y406" s="3" t="n"/>
      <c r="AJ406">
        <f>IFERROR(AVERAGEIF($A$4:$A$1004,AI406,$V$4:$V$1004),"")</f>
        <v/>
      </c>
      <c r="AK406">
        <f>IFERROR(AVERAGEIF($A$4:$A$1004,AI406,$W$4:$W$1004),"")</f>
        <v/>
      </c>
      <c r="AL406">
        <f>IFERROR(AVERAGEIF($A$4:$A$1004,AI406,$X$4:$X$1004),"")</f>
        <v/>
      </c>
    </row>
    <row r="407">
      <c r="A407" s="1">
        <f>IF(Data!A407&gt;0,Data!A407,"")</f>
        <v/>
      </c>
      <c r="B407" s="1">
        <f>IF(Data!B407&gt;0,Data!B407,"")</f>
        <v/>
      </c>
      <c r="C407" s="1">
        <f>IF(Data!C407&gt;0,Data!C407,"")</f>
        <v/>
      </c>
      <c r="D407" s="1">
        <f>IF(Data!D407&gt;0,Data!D407,"")</f>
        <v/>
      </c>
      <c r="E407" s="1">
        <f>IF(Data!E407&gt;0,Data!E407,"")</f>
        <v/>
      </c>
      <c r="F407" s="1">
        <f>IF(Data!F407&gt;0,Data!F407,"")</f>
        <v/>
      </c>
      <c r="G407" s="1">
        <f>IF(Data!G407&gt;0,Data!G407,"")</f>
        <v/>
      </c>
      <c r="H407" s="1">
        <f>IF(Data!H407&gt;0,Data!H407,"")</f>
        <v/>
      </c>
      <c r="I407" s="1">
        <f>IF(Data!I407&gt;0,Data!I407,"")</f>
        <v/>
      </c>
      <c r="J407" s="1">
        <f>IF(Data!J407&gt;0,Data!J407,"")</f>
        <v/>
      </c>
      <c r="K407" s="1">
        <f>IF(Data!K407&gt;0,Data!K407,"")</f>
        <v/>
      </c>
      <c r="L407" s="1">
        <f>IF(Data!L407&gt;0,Data!L407,"")</f>
        <v/>
      </c>
      <c r="M407" s="1">
        <f>IF(Data!M407&gt;0,Data!M407,"")</f>
        <v/>
      </c>
      <c r="N407" s="1">
        <f>IF(Data!N407&gt;0,Data!N407,"")</f>
        <v/>
      </c>
      <c r="O407" s="1">
        <f>IF(Data!O407&gt;0,Data!O407,"")</f>
        <v/>
      </c>
      <c r="P407" s="1">
        <f>IF(Data!P407&gt;0,Data!P407,"")</f>
        <v/>
      </c>
      <c r="Q407" s="1">
        <f>IF(Data!Q407&gt;0,Data!Q407,"")</f>
        <v/>
      </c>
      <c r="R407" s="1">
        <f>IF(Data!R407&gt;0,Data!R407,"")</f>
        <v/>
      </c>
      <c r="S407" s="1">
        <f>IF(Data!S407&gt;0,Data!S407,"")</f>
        <v/>
      </c>
      <c r="V407" s="3">
        <f>IF(COUNT(D407,J407,K407,L407,M407,O407)&gt;0,AVERAGE(D407,J407,K407,L407,M407,O407),"")</f>
        <v/>
      </c>
      <c r="W407" s="3">
        <f>IF(COUNT(C407,F407,G407,N407,Q407)&gt;0,AVERAGE(C407,F407,G407,N407,Q407),"")</f>
        <v/>
      </c>
      <c r="X407" s="3">
        <f>IF(COUNT(B407,E407,H407,I407,P407,R407,S407)&gt;0,AVERAGE(B407,E407,H407,I407,P407,R407,S407),"")</f>
        <v/>
      </c>
      <c r="Y407" s="3" t="n"/>
      <c r="AJ407">
        <f>IFERROR(AVERAGEIF($A$4:$A$1004,AI407,$V$4:$V$1004),"")</f>
        <v/>
      </c>
      <c r="AK407">
        <f>IFERROR(AVERAGEIF($A$4:$A$1004,AI407,$W$4:$W$1004),"")</f>
        <v/>
      </c>
      <c r="AL407">
        <f>IFERROR(AVERAGEIF($A$4:$A$1004,AI407,$X$4:$X$1004),"")</f>
        <v/>
      </c>
    </row>
    <row r="408">
      <c r="A408" s="1">
        <f>IF(Data!A408&gt;0,Data!A408,"")</f>
        <v/>
      </c>
      <c r="B408" s="1">
        <f>IF(Data!B408&gt;0,Data!B408,"")</f>
        <v/>
      </c>
      <c r="C408" s="1">
        <f>IF(Data!C408&gt;0,Data!C408,"")</f>
        <v/>
      </c>
      <c r="D408" s="1">
        <f>IF(Data!D408&gt;0,Data!D408,"")</f>
        <v/>
      </c>
      <c r="E408" s="1">
        <f>IF(Data!E408&gt;0,Data!E408,"")</f>
        <v/>
      </c>
      <c r="F408" s="1">
        <f>IF(Data!F408&gt;0,Data!F408,"")</f>
        <v/>
      </c>
      <c r="G408" s="1">
        <f>IF(Data!G408&gt;0,Data!G408,"")</f>
        <v/>
      </c>
      <c r="H408" s="1">
        <f>IF(Data!H408&gt;0,Data!H408,"")</f>
        <v/>
      </c>
      <c r="I408" s="1">
        <f>IF(Data!I408&gt;0,Data!I408,"")</f>
        <v/>
      </c>
      <c r="J408" s="1">
        <f>IF(Data!J408&gt;0,Data!J408,"")</f>
        <v/>
      </c>
      <c r="K408" s="1">
        <f>IF(Data!K408&gt;0,Data!K408,"")</f>
        <v/>
      </c>
      <c r="L408" s="1">
        <f>IF(Data!L408&gt;0,Data!L408,"")</f>
        <v/>
      </c>
      <c r="M408" s="1">
        <f>IF(Data!M408&gt;0,Data!M408,"")</f>
        <v/>
      </c>
      <c r="N408" s="1">
        <f>IF(Data!N408&gt;0,Data!N408,"")</f>
        <v/>
      </c>
      <c r="O408" s="1">
        <f>IF(Data!O408&gt;0,Data!O408,"")</f>
        <v/>
      </c>
      <c r="P408" s="1">
        <f>IF(Data!P408&gt;0,Data!P408,"")</f>
        <v/>
      </c>
      <c r="Q408" s="1">
        <f>IF(Data!Q408&gt;0,Data!Q408,"")</f>
        <v/>
      </c>
      <c r="R408" s="1">
        <f>IF(Data!R408&gt;0,Data!R408,"")</f>
        <v/>
      </c>
      <c r="S408" s="1">
        <f>IF(Data!S408&gt;0,Data!S408,"")</f>
        <v/>
      </c>
      <c r="V408" s="3">
        <f>IF(COUNT(D408,J408,K408,L408,M408,O408)&gt;0,AVERAGE(D408,J408,K408,L408,M408,O408),"")</f>
        <v/>
      </c>
      <c r="W408" s="3">
        <f>IF(COUNT(C408,F408,G408,N408,Q408)&gt;0,AVERAGE(C408,F408,G408,N408,Q408),"")</f>
        <v/>
      </c>
      <c r="X408" s="3">
        <f>IF(COUNT(B408,E408,H408,I408,P408,R408,S408)&gt;0,AVERAGE(B408,E408,H408,I408,P408,R408,S408),"")</f>
        <v/>
      </c>
      <c r="Y408" s="3" t="n"/>
      <c r="AJ408">
        <f>IFERROR(AVERAGEIF($A$4:$A$1004,AI408,$V$4:$V$1004),"")</f>
        <v/>
      </c>
      <c r="AK408">
        <f>IFERROR(AVERAGEIF($A$4:$A$1004,AI408,$W$4:$W$1004),"")</f>
        <v/>
      </c>
      <c r="AL408">
        <f>IFERROR(AVERAGEIF($A$4:$A$1004,AI408,$X$4:$X$1004),"")</f>
        <v/>
      </c>
    </row>
    <row r="409">
      <c r="A409" s="1">
        <f>IF(Data!A409&gt;0,Data!A409,"")</f>
        <v/>
      </c>
      <c r="B409" s="1">
        <f>IF(Data!B409&gt;0,Data!B409,"")</f>
        <v/>
      </c>
      <c r="C409" s="1">
        <f>IF(Data!C409&gt;0,Data!C409,"")</f>
        <v/>
      </c>
      <c r="D409" s="1">
        <f>IF(Data!D409&gt;0,Data!D409,"")</f>
        <v/>
      </c>
      <c r="E409" s="1">
        <f>IF(Data!E409&gt;0,Data!E409,"")</f>
        <v/>
      </c>
      <c r="F409" s="1">
        <f>IF(Data!F409&gt;0,Data!F409,"")</f>
        <v/>
      </c>
      <c r="G409" s="1">
        <f>IF(Data!G409&gt;0,Data!G409,"")</f>
        <v/>
      </c>
      <c r="H409" s="1">
        <f>IF(Data!H409&gt;0,Data!H409,"")</f>
        <v/>
      </c>
      <c r="I409" s="1">
        <f>IF(Data!I409&gt;0,Data!I409,"")</f>
        <v/>
      </c>
      <c r="J409" s="1">
        <f>IF(Data!J409&gt;0,Data!J409,"")</f>
        <v/>
      </c>
      <c r="K409" s="1">
        <f>IF(Data!K409&gt;0,Data!K409,"")</f>
        <v/>
      </c>
      <c r="L409" s="1">
        <f>IF(Data!L409&gt;0,Data!L409,"")</f>
        <v/>
      </c>
      <c r="M409" s="1">
        <f>IF(Data!M409&gt;0,Data!M409,"")</f>
        <v/>
      </c>
      <c r="N409" s="1">
        <f>IF(Data!N409&gt;0,Data!N409,"")</f>
        <v/>
      </c>
      <c r="O409" s="1">
        <f>IF(Data!O409&gt;0,Data!O409,"")</f>
        <v/>
      </c>
      <c r="P409" s="1">
        <f>IF(Data!P409&gt;0,Data!P409,"")</f>
        <v/>
      </c>
      <c r="Q409" s="1">
        <f>IF(Data!Q409&gt;0,Data!Q409,"")</f>
        <v/>
      </c>
      <c r="R409" s="1">
        <f>IF(Data!R409&gt;0,Data!R409,"")</f>
        <v/>
      </c>
      <c r="S409" s="1">
        <f>IF(Data!S409&gt;0,Data!S409,"")</f>
        <v/>
      </c>
      <c r="V409" s="3">
        <f>IF(COUNT(D409,J409,K409,L409,M409,O409)&gt;0,AVERAGE(D409,J409,K409,L409,M409,O409),"")</f>
        <v/>
      </c>
      <c r="W409" s="3">
        <f>IF(COUNT(C409,F409,G409,N409,Q409)&gt;0,AVERAGE(C409,F409,G409,N409,Q409),"")</f>
        <v/>
      </c>
      <c r="X409" s="3">
        <f>IF(COUNT(B409,E409,H409,I409,P409,R409,S409)&gt;0,AVERAGE(B409,E409,H409,I409,P409,R409,S409),"")</f>
        <v/>
      </c>
      <c r="Y409" s="3" t="n"/>
      <c r="AJ409">
        <f>IFERROR(AVERAGEIF($A$4:$A$1004,AI409,$V$4:$V$1004),"")</f>
        <v/>
      </c>
      <c r="AK409">
        <f>IFERROR(AVERAGEIF($A$4:$A$1004,AI409,$W$4:$W$1004),"")</f>
        <v/>
      </c>
      <c r="AL409">
        <f>IFERROR(AVERAGEIF($A$4:$A$1004,AI409,$X$4:$X$1004),"")</f>
        <v/>
      </c>
    </row>
    <row r="410">
      <c r="A410" s="1">
        <f>IF(Data!A410&gt;0,Data!A410,"")</f>
        <v/>
      </c>
      <c r="B410" s="1">
        <f>IF(Data!B410&gt;0,Data!B410,"")</f>
        <v/>
      </c>
      <c r="C410" s="1">
        <f>IF(Data!C410&gt;0,Data!C410,"")</f>
        <v/>
      </c>
      <c r="D410" s="1">
        <f>IF(Data!D410&gt;0,Data!D410,"")</f>
        <v/>
      </c>
      <c r="E410" s="1">
        <f>IF(Data!E410&gt;0,Data!E410,"")</f>
        <v/>
      </c>
      <c r="F410" s="1">
        <f>IF(Data!F410&gt;0,Data!F410,"")</f>
        <v/>
      </c>
      <c r="G410" s="1">
        <f>IF(Data!G410&gt;0,Data!G410,"")</f>
        <v/>
      </c>
      <c r="H410" s="1">
        <f>IF(Data!H410&gt;0,Data!H410,"")</f>
        <v/>
      </c>
      <c r="I410" s="1">
        <f>IF(Data!I410&gt;0,Data!I410,"")</f>
        <v/>
      </c>
      <c r="J410" s="1">
        <f>IF(Data!J410&gt;0,Data!J410,"")</f>
        <v/>
      </c>
      <c r="K410" s="1">
        <f>IF(Data!K410&gt;0,Data!K410,"")</f>
        <v/>
      </c>
      <c r="L410" s="1">
        <f>IF(Data!L410&gt;0,Data!L410,"")</f>
        <v/>
      </c>
      <c r="M410" s="1">
        <f>IF(Data!M410&gt;0,Data!M410,"")</f>
        <v/>
      </c>
      <c r="N410" s="1">
        <f>IF(Data!N410&gt;0,Data!N410,"")</f>
        <v/>
      </c>
      <c r="O410" s="1">
        <f>IF(Data!O410&gt;0,Data!O410,"")</f>
        <v/>
      </c>
      <c r="P410" s="1">
        <f>IF(Data!P410&gt;0,Data!P410,"")</f>
        <v/>
      </c>
      <c r="Q410" s="1">
        <f>IF(Data!Q410&gt;0,Data!Q410,"")</f>
        <v/>
      </c>
      <c r="R410" s="1">
        <f>IF(Data!R410&gt;0,Data!R410,"")</f>
        <v/>
      </c>
      <c r="S410" s="1">
        <f>IF(Data!S410&gt;0,Data!S410,"")</f>
        <v/>
      </c>
      <c r="V410" s="3">
        <f>IF(COUNT(D410,J410,K410,L410,M410,O410)&gt;0,AVERAGE(D410,J410,K410,L410,M410,O410),"")</f>
        <v/>
      </c>
      <c r="W410" s="3">
        <f>IF(COUNT(C410,F410,G410,N410,Q410)&gt;0,AVERAGE(C410,F410,G410,N410,Q410),"")</f>
        <v/>
      </c>
      <c r="X410" s="3">
        <f>IF(COUNT(B410,E410,H410,I410,P410,R410,S410)&gt;0,AVERAGE(B410,E410,H410,I410,P410,R410,S410),"")</f>
        <v/>
      </c>
      <c r="Y410" s="3" t="n"/>
      <c r="AJ410">
        <f>IFERROR(AVERAGEIF($A$4:$A$1004,AI410,$V$4:$V$1004),"")</f>
        <v/>
      </c>
      <c r="AK410">
        <f>IFERROR(AVERAGEIF($A$4:$A$1004,AI410,$W$4:$W$1004),"")</f>
        <v/>
      </c>
      <c r="AL410">
        <f>IFERROR(AVERAGEIF($A$4:$A$1004,AI410,$X$4:$X$1004),"")</f>
        <v/>
      </c>
    </row>
    <row r="411">
      <c r="A411" s="1">
        <f>IF(Data!A411&gt;0,Data!A411,"")</f>
        <v/>
      </c>
      <c r="B411" s="1">
        <f>IF(Data!B411&gt;0,Data!B411,"")</f>
        <v/>
      </c>
      <c r="C411" s="1">
        <f>IF(Data!C411&gt;0,Data!C411,"")</f>
        <v/>
      </c>
      <c r="D411" s="1">
        <f>IF(Data!D411&gt;0,Data!D411,"")</f>
        <v/>
      </c>
      <c r="E411" s="1">
        <f>IF(Data!E411&gt;0,Data!E411,"")</f>
        <v/>
      </c>
      <c r="F411" s="1">
        <f>IF(Data!F411&gt;0,Data!F411,"")</f>
        <v/>
      </c>
      <c r="G411" s="1">
        <f>IF(Data!G411&gt;0,Data!G411,"")</f>
        <v/>
      </c>
      <c r="H411" s="1">
        <f>IF(Data!H411&gt;0,Data!H411,"")</f>
        <v/>
      </c>
      <c r="I411" s="1">
        <f>IF(Data!I411&gt;0,Data!I411,"")</f>
        <v/>
      </c>
      <c r="J411" s="1">
        <f>IF(Data!J411&gt;0,Data!J411,"")</f>
        <v/>
      </c>
      <c r="K411" s="1">
        <f>IF(Data!K411&gt;0,Data!K411,"")</f>
        <v/>
      </c>
      <c r="L411" s="1">
        <f>IF(Data!L411&gt;0,Data!L411,"")</f>
        <v/>
      </c>
      <c r="M411" s="1">
        <f>IF(Data!M411&gt;0,Data!M411,"")</f>
        <v/>
      </c>
      <c r="N411" s="1">
        <f>IF(Data!N411&gt;0,Data!N411,"")</f>
        <v/>
      </c>
      <c r="O411" s="1">
        <f>IF(Data!O411&gt;0,Data!O411,"")</f>
        <v/>
      </c>
      <c r="P411" s="1">
        <f>IF(Data!P411&gt;0,Data!P411,"")</f>
        <v/>
      </c>
      <c r="Q411" s="1">
        <f>IF(Data!Q411&gt;0,Data!Q411,"")</f>
        <v/>
      </c>
      <c r="R411" s="1">
        <f>IF(Data!R411&gt;0,Data!R411,"")</f>
        <v/>
      </c>
      <c r="S411" s="1">
        <f>IF(Data!S411&gt;0,Data!S411,"")</f>
        <v/>
      </c>
      <c r="V411" s="3">
        <f>IF(COUNT(D411,J411,K411,L411,M411,O411)&gt;0,AVERAGE(D411,J411,K411,L411,M411,O411),"")</f>
        <v/>
      </c>
      <c r="W411" s="3">
        <f>IF(COUNT(C411,F411,G411,N411,Q411)&gt;0,AVERAGE(C411,F411,G411,N411,Q411),"")</f>
        <v/>
      </c>
      <c r="X411" s="3">
        <f>IF(COUNT(B411,E411,H411,I411,P411,R411,S411)&gt;0,AVERAGE(B411,E411,H411,I411,P411,R411,S411),"")</f>
        <v/>
      </c>
      <c r="Y411" s="3" t="n"/>
      <c r="AJ411">
        <f>IFERROR(AVERAGEIF($A$4:$A$1004,AI411,$V$4:$V$1004),"")</f>
        <v/>
      </c>
      <c r="AK411">
        <f>IFERROR(AVERAGEIF($A$4:$A$1004,AI411,$W$4:$W$1004),"")</f>
        <v/>
      </c>
      <c r="AL411">
        <f>IFERROR(AVERAGEIF($A$4:$A$1004,AI411,$X$4:$X$1004),"")</f>
        <v/>
      </c>
    </row>
    <row r="412">
      <c r="A412" s="1">
        <f>IF(Data!A412&gt;0,Data!A412,"")</f>
        <v/>
      </c>
      <c r="B412" s="1">
        <f>IF(Data!B412&gt;0,Data!B412,"")</f>
        <v/>
      </c>
      <c r="C412" s="1">
        <f>IF(Data!C412&gt;0,Data!C412,"")</f>
        <v/>
      </c>
      <c r="D412" s="1">
        <f>IF(Data!D412&gt;0,Data!D412,"")</f>
        <v/>
      </c>
      <c r="E412" s="1">
        <f>IF(Data!E412&gt;0,Data!E412,"")</f>
        <v/>
      </c>
      <c r="F412" s="1">
        <f>IF(Data!F412&gt;0,Data!F412,"")</f>
        <v/>
      </c>
      <c r="G412" s="1">
        <f>IF(Data!G412&gt;0,Data!G412,"")</f>
        <v/>
      </c>
      <c r="H412" s="1">
        <f>IF(Data!H412&gt;0,Data!H412,"")</f>
        <v/>
      </c>
      <c r="I412" s="1">
        <f>IF(Data!I412&gt;0,Data!I412,"")</f>
        <v/>
      </c>
      <c r="J412" s="1">
        <f>IF(Data!J412&gt;0,Data!J412,"")</f>
        <v/>
      </c>
      <c r="K412" s="1">
        <f>IF(Data!K412&gt;0,Data!K412,"")</f>
        <v/>
      </c>
      <c r="L412" s="1">
        <f>IF(Data!L412&gt;0,Data!L412,"")</f>
        <v/>
      </c>
      <c r="M412" s="1">
        <f>IF(Data!M412&gt;0,Data!M412,"")</f>
        <v/>
      </c>
      <c r="N412" s="1">
        <f>IF(Data!N412&gt;0,Data!N412,"")</f>
        <v/>
      </c>
      <c r="O412" s="1">
        <f>IF(Data!O412&gt;0,Data!O412,"")</f>
        <v/>
      </c>
      <c r="P412" s="1">
        <f>IF(Data!P412&gt;0,Data!P412,"")</f>
        <v/>
      </c>
      <c r="Q412" s="1">
        <f>IF(Data!Q412&gt;0,Data!Q412,"")</f>
        <v/>
      </c>
      <c r="R412" s="1">
        <f>IF(Data!R412&gt;0,Data!R412,"")</f>
        <v/>
      </c>
      <c r="S412" s="1">
        <f>IF(Data!S412&gt;0,Data!S412,"")</f>
        <v/>
      </c>
      <c r="V412" s="3">
        <f>IF(COUNT(D412,J412,K412,L412,M412,O412)&gt;0,AVERAGE(D412,J412,K412,L412,M412,O412),"")</f>
        <v/>
      </c>
      <c r="W412" s="3">
        <f>IF(COUNT(C412,F412,G412,N412,Q412)&gt;0,AVERAGE(C412,F412,G412,N412,Q412),"")</f>
        <v/>
      </c>
      <c r="X412" s="3">
        <f>IF(COUNT(B412,E412,H412,I412,P412,R412,S412)&gt;0,AVERAGE(B412,E412,H412,I412,P412,R412,S412),"")</f>
        <v/>
      </c>
      <c r="Y412" s="3" t="n"/>
      <c r="AJ412">
        <f>IFERROR(AVERAGEIF($A$4:$A$1004,AI412,$V$4:$V$1004),"")</f>
        <v/>
      </c>
      <c r="AK412">
        <f>IFERROR(AVERAGEIF($A$4:$A$1004,AI412,$W$4:$W$1004),"")</f>
        <v/>
      </c>
      <c r="AL412">
        <f>IFERROR(AVERAGEIF($A$4:$A$1004,AI412,$X$4:$X$1004),"")</f>
        <v/>
      </c>
    </row>
    <row r="413">
      <c r="A413" s="1">
        <f>IF(Data!A413&gt;0,Data!A413,"")</f>
        <v/>
      </c>
      <c r="B413" s="1">
        <f>IF(Data!B413&gt;0,Data!B413,"")</f>
        <v/>
      </c>
      <c r="C413" s="1">
        <f>IF(Data!C413&gt;0,Data!C413,"")</f>
        <v/>
      </c>
      <c r="D413" s="1">
        <f>IF(Data!D413&gt;0,Data!D413,"")</f>
        <v/>
      </c>
      <c r="E413" s="1">
        <f>IF(Data!E413&gt;0,Data!E413,"")</f>
        <v/>
      </c>
      <c r="F413" s="1">
        <f>IF(Data!F413&gt;0,Data!F413,"")</f>
        <v/>
      </c>
      <c r="G413" s="1">
        <f>IF(Data!G413&gt;0,Data!G413,"")</f>
        <v/>
      </c>
      <c r="H413" s="1">
        <f>IF(Data!H413&gt;0,Data!H413,"")</f>
        <v/>
      </c>
      <c r="I413" s="1">
        <f>IF(Data!I413&gt;0,Data!I413,"")</f>
        <v/>
      </c>
      <c r="J413" s="1">
        <f>IF(Data!J413&gt;0,Data!J413,"")</f>
        <v/>
      </c>
      <c r="K413" s="1">
        <f>IF(Data!K413&gt;0,Data!K413,"")</f>
        <v/>
      </c>
      <c r="L413" s="1">
        <f>IF(Data!L413&gt;0,Data!L413,"")</f>
        <v/>
      </c>
      <c r="M413" s="1">
        <f>IF(Data!M413&gt;0,Data!M413,"")</f>
        <v/>
      </c>
      <c r="N413" s="1">
        <f>IF(Data!N413&gt;0,Data!N413,"")</f>
        <v/>
      </c>
      <c r="O413" s="1">
        <f>IF(Data!O413&gt;0,Data!O413,"")</f>
        <v/>
      </c>
      <c r="P413" s="1">
        <f>IF(Data!P413&gt;0,Data!P413,"")</f>
        <v/>
      </c>
      <c r="Q413" s="1">
        <f>IF(Data!Q413&gt;0,Data!Q413,"")</f>
        <v/>
      </c>
      <c r="R413" s="1">
        <f>IF(Data!R413&gt;0,Data!R413,"")</f>
        <v/>
      </c>
      <c r="S413" s="1">
        <f>IF(Data!S413&gt;0,Data!S413,"")</f>
        <v/>
      </c>
      <c r="V413" s="3">
        <f>IF(COUNT(D413,J413,K413,L413,M413,O413)&gt;0,AVERAGE(D413,J413,K413,L413,M413,O413),"")</f>
        <v/>
      </c>
      <c r="W413" s="3">
        <f>IF(COUNT(C413,F413,G413,N413,Q413)&gt;0,AVERAGE(C413,F413,G413,N413,Q413),"")</f>
        <v/>
      </c>
      <c r="X413" s="3">
        <f>IF(COUNT(B413,E413,H413,I413,P413,R413,S413)&gt;0,AVERAGE(B413,E413,H413,I413,P413,R413,S413),"")</f>
        <v/>
      </c>
      <c r="Y413" s="3" t="n"/>
      <c r="AJ413">
        <f>IFERROR(AVERAGEIF($A$4:$A$1004,AI413,$V$4:$V$1004),"")</f>
        <v/>
      </c>
      <c r="AK413">
        <f>IFERROR(AVERAGEIF($A$4:$A$1004,AI413,$W$4:$W$1004),"")</f>
        <v/>
      </c>
      <c r="AL413">
        <f>IFERROR(AVERAGEIF($A$4:$A$1004,AI413,$X$4:$X$1004),"")</f>
        <v/>
      </c>
    </row>
    <row r="414">
      <c r="A414" s="1">
        <f>IF(Data!A414&gt;0,Data!A414,"")</f>
        <v/>
      </c>
      <c r="B414" s="1">
        <f>IF(Data!B414&gt;0,Data!B414,"")</f>
        <v/>
      </c>
      <c r="C414" s="1">
        <f>IF(Data!C414&gt;0,Data!C414,"")</f>
        <v/>
      </c>
      <c r="D414" s="1">
        <f>IF(Data!D414&gt;0,Data!D414,"")</f>
        <v/>
      </c>
      <c r="E414" s="1">
        <f>IF(Data!E414&gt;0,Data!E414,"")</f>
        <v/>
      </c>
      <c r="F414" s="1">
        <f>IF(Data!F414&gt;0,Data!F414,"")</f>
        <v/>
      </c>
      <c r="G414" s="1">
        <f>IF(Data!G414&gt;0,Data!G414,"")</f>
        <v/>
      </c>
      <c r="H414" s="1">
        <f>IF(Data!H414&gt;0,Data!H414,"")</f>
        <v/>
      </c>
      <c r="I414" s="1">
        <f>IF(Data!I414&gt;0,Data!I414,"")</f>
        <v/>
      </c>
      <c r="J414" s="1">
        <f>IF(Data!J414&gt;0,Data!J414,"")</f>
        <v/>
      </c>
      <c r="K414" s="1">
        <f>IF(Data!K414&gt;0,Data!K414,"")</f>
        <v/>
      </c>
      <c r="L414" s="1">
        <f>IF(Data!L414&gt;0,Data!L414,"")</f>
        <v/>
      </c>
      <c r="M414" s="1">
        <f>IF(Data!M414&gt;0,Data!M414,"")</f>
        <v/>
      </c>
      <c r="N414" s="1">
        <f>IF(Data!N414&gt;0,Data!N414,"")</f>
        <v/>
      </c>
      <c r="O414" s="1">
        <f>IF(Data!O414&gt;0,Data!O414,"")</f>
        <v/>
      </c>
      <c r="P414" s="1">
        <f>IF(Data!P414&gt;0,Data!P414,"")</f>
        <v/>
      </c>
      <c r="Q414" s="1">
        <f>IF(Data!Q414&gt;0,Data!Q414,"")</f>
        <v/>
      </c>
      <c r="R414" s="1">
        <f>IF(Data!R414&gt;0,Data!R414,"")</f>
        <v/>
      </c>
      <c r="S414" s="1">
        <f>IF(Data!S414&gt;0,Data!S414,"")</f>
        <v/>
      </c>
      <c r="V414" s="3">
        <f>IF(COUNT(D414,J414,K414,L414,M414,O414)&gt;0,AVERAGE(D414,J414,K414,L414,M414,O414),"")</f>
        <v/>
      </c>
      <c r="W414" s="3">
        <f>IF(COUNT(C414,F414,G414,N414,Q414)&gt;0,AVERAGE(C414,F414,G414,N414,Q414),"")</f>
        <v/>
      </c>
      <c r="X414" s="3">
        <f>IF(COUNT(B414,E414,H414,I414,P414,R414,S414)&gt;0,AVERAGE(B414,E414,H414,I414,P414,R414,S414),"")</f>
        <v/>
      </c>
      <c r="Y414" s="3" t="n"/>
      <c r="AJ414">
        <f>IFERROR(AVERAGEIF($A$4:$A$1004,AI414,$V$4:$V$1004),"")</f>
        <v/>
      </c>
      <c r="AK414">
        <f>IFERROR(AVERAGEIF($A$4:$A$1004,AI414,$W$4:$W$1004),"")</f>
        <v/>
      </c>
      <c r="AL414">
        <f>IFERROR(AVERAGEIF($A$4:$A$1004,AI414,$X$4:$X$1004),"")</f>
        <v/>
      </c>
    </row>
    <row r="415">
      <c r="A415" s="1">
        <f>IF(Data!A415&gt;0,Data!A415,"")</f>
        <v/>
      </c>
      <c r="B415" s="1">
        <f>IF(Data!B415&gt;0,Data!B415,"")</f>
        <v/>
      </c>
      <c r="C415" s="1">
        <f>IF(Data!C415&gt;0,Data!C415,"")</f>
        <v/>
      </c>
      <c r="D415" s="1">
        <f>IF(Data!D415&gt;0,Data!D415,"")</f>
        <v/>
      </c>
      <c r="E415" s="1">
        <f>IF(Data!E415&gt;0,Data!E415,"")</f>
        <v/>
      </c>
      <c r="F415" s="1">
        <f>IF(Data!F415&gt;0,Data!F415,"")</f>
        <v/>
      </c>
      <c r="G415" s="1">
        <f>IF(Data!G415&gt;0,Data!G415,"")</f>
        <v/>
      </c>
      <c r="H415" s="1">
        <f>IF(Data!H415&gt;0,Data!H415,"")</f>
        <v/>
      </c>
      <c r="I415" s="1">
        <f>IF(Data!I415&gt;0,Data!I415,"")</f>
        <v/>
      </c>
      <c r="J415" s="1">
        <f>IF(Data!J415&gt;0,Data!J415,"")</f>
        <v/>
      </c>
      <c r="K415" s="1">
        <f>IF(Data!K415&gt;0,Data!K415,"")</f>
        <v/>
      </c>
      <c r="L415" s="1">
        <f>IF(Data!L415&gt;0,Data!L415,"")</f>
        <v/>
      </c>
      <c r="M415" s="1">
        <f>IF(Data!M415&gt;0,Data!M415,"")</f>
        <v/>
      </c>
      <c r="N415" s="1">
        <f>IF(Data!N415&gt;0,Data!N415,"")</f>
        <v/>
      </c>
      <c r="O415" s="1">
        <f>IF(Data!O415&gt;0,Data!O415,"")</f>
        <v/>
      </c>
      <c r="P415" s="1">
        <f>IF(Data!P415&gt;0,Data!P415,"")</f>
        <v/>
      </c>
      <c r="Q415" s="1">
        <f>IF(Data!Q415&gt;0,Data!Q415,"")</f>
        <v/>
      </c>
      <c r="R415" s="1">
        <f>IF(Data!R415&gt;0,Data!R415,"")</f>
        <v/>
      </c>
      <c r="S415" s="1">
        <f>IF(Data!S415&gt;0,Data!S415,"")</f>
        <v/>
      </c>
      <c r="V415" s="3">
        <f>IF(COUNT(D415,J415,K415,L415,M415,O415)&gt;0,AVERAGE(D415,J415,K415,L415,M415,O415),"")</f>
        <v/>
      </c>
      <c r="W415" s="3">
        <f>IF(COUNT(C415,F415,G415,N415,Q415)&gt;0,AVERAGE(C415,F415,G415,N415,Q415),"")</f>
        <v/>
      </c>
      <c r="X415" s="3">
        <f>IF(COUNT(B415,E415,H415,I415,P415,R415,S415)&gt;0,AVERAGE(B415,E415,H415,I415,P415,R415,S415),"")</f>
        <v/>
      </c>
      <c r="Y415" s="3" t="n"/>
      <c r="AJ415">
        <f>IFERROR(AVERAGEIF($A$4:$A$1004,AI415,$V$4:$V$1004),"")</f>
        <v/>
      </c>
      <c r="AK415">
        <f>IFERROR(AVERAGEIF($A$4:$A$1004,AI415,$W$4:$W$1004),"")</f>
        <v/>
      </c>
      <c r="AL415">
        <f>IFERROR(AVERAGEIF($A$4:$A$1004,AI415,$X$4:$X$1004),"")</f>
        <v/>
      </c>
    </row>
    <row r="416">
      <c r="A416" s="1">
        <f>IF(Data!A416&gt;0,Data!A416,"")</f>
        <v/>
      </c>
      <c r="B416" s="1">
        <f>IF(Data!B416&gt;0,Data!B416,"")</f>
        <v/>
      </c>
      <c r="C416" s="1">
        <f>IF(Data!C416&gt;0,Data!C416,"")</f>
        <v/>
      </c>
      <c r="D416" s="1">
        <f>IF(Data!D416&gt;0,Data!D416,"")</f>
        <v/>
      </c>
      <c r="E416" s="1">
        <f>IF(Data!E416&gt;0,Data!E416,"")</f>
        <v/>
      </c>
      <c r="F416" s="1">
        <f>IF(Data!F416&gt;0,Data!F416,"")</f>
        <v/>
      </c>
      <c r="G416" s="1">
        <f>IF(Data!G416&gt;0,Data!G416,"")</f>
        <v/>
      </c>
      <c r="H416" s="1">
        <f>IF(Data!H416&gt;0,Data!H416,"")</f>
        <v/>
      </c>
      <c r="I416" s="1">
        <f>IF(Data!I416&gt;0,Data!I416,"")</f>
        <v/>
      </c>
      <c r="J416" s="1">
        <f>IF(Data!J416&gt;0,Data!J416,"")</f>
        <v/>
      </c>
      <c r="K416" s="1">
        <f>IF(Data!K416&gt;0,Data!K416,"")</f>
        <v/>
      </c>
      <c r="L416" s="1">
        <f>IF(Data!L416&gt;0,Data!L416,"")</f>
        <v/>
      </c>
      <c r="M416" s="1">
        <f>IF(Data!M416&gt;0,Data!M416,"")</f>
        <v/>
      </c>
      <c r="N416" s="1">
        <f>IF(Data!N416&gt;0,Data!N416,"")</f>
        <v/>
      </c>
      <c r="O416" s="1">
        <f>IF(Data!O416&gt;0,Data!O416,"")</f>
        <v/>
      </c>
      <c r="P416" s="1">
        <f>IF(Data!P416&gt;0,Data!P416,"")</f>
        <v/>
      </c>
      <c r="Q416" s="1">
        <f>IF(Data!Q416&gt;0,Data!Q416,"")</f>
        <v/>
      </c>
      <c r="R416" s="1">
        <f>IF(Data!R416&gt;0,Data!R416,"")</f>
        <v/>
      </c>
      <c r="S416" s="1">
        <f>IF(Data!S416&gt;0,Data!S416,"")</f>
        <v/>
      </c>
      <c r="V416" s="3">
        <f>IF(COUNT(D416,J416,K416,L416,M416,O416)&gt;0,AVERAGE(D416,J416,K416,L416,M416,O416),"")</f>
        <v/>
      </c>
      <c r="W416" s="3">
        <f>IF(COUNT(C416,F416,G416,N416,Q416)&gt;0,AVERAGE(C416,F416,G416,N416,Q416),"")</f>
        <v/>
      </c>
      <c r="X416" s="3">
        <f>IF(COUNT(B416,E416,H416,I416,P416,R416,S416)&gt;0,AVERAGE(B416,E416,H416,I416,P416,R416,S416),"")</f>
        <v/>
      </c>
      <c r="Y416" s="3" t="n"/>
      <c r="AJ416">
        <f>IFERROR(AVERAGEIF($A$4:$A$1004,AI416,$V$4:$V$1004),"")</f>
        <v/>
      </c>
      <c r="AK416">
        <f>IFERROR(AVERAGEIF($A$4:$A$1004,AI416,$W$4:$W$1004),"")</f>
        <v/>
      </c>
      <c r="AL416">
        <f>IFERROR(AVERAGEIF($A$4:$A$1004,AI416,$X$4:$X$1004),"")</f>
        <v/>
      </c>
    </row>
    <row r="417">
      <c r="A417" s="1">
        <f>IF(Data!A417&gt;0,Data!A417,"")</f>
        <v/>
      </c>
      <c r="B417" s="1">
        <f>IF(Data!B417&gt;0,Data!B417,"")</f>
        <v/>
      </c>
      <c r="C417" s="1">
        <f>IF(Data!C417&gt;0,Data!C417,"")</f>
        <v/>
      </c>
      <c r="D417" s="1">
        <f>IF(Data!D417&gt;0,Data!D417,"")</f>
        <v/>
      </c>
      <c r="E417" s="1">
        <f>IF(Data!E417&gt;0,Data!E417,"")</f>
        <v/>
      </c>
      <c r="F417" s="1">
        <f>IF(Data!F417&gt;0,Data!F417,"")</f>
        <v/>
      </c>
      <c r="G417" s="1">
        <f>IF(Data!G417&gt;0,Data!G417,"")</f>
        <v/>
      </c>
      <c r="H417" s="1">
        <f>IF(Data!H417&gt;0,Data!H417,"")</f>
        <v/>
      </c>
      <c r="I417" s="1">
        <f>IF(Data!I417&gt;0,Data!I417,"")</f>
        <v/>
      </c>
      <c r="J417" s="1">
        <f>IF(Data!J417&gt;0,Data!J417,"")</f>
        <v/>
      </c>
      <c r="K417" s="1">
        <f>IF(Data!K417&gt;0,Data!K417,"")</f>
        <v/>
      </c>
      <c r="L417" s="1">
        <f>IF(Data!L417&gt;0,Data!L417,"")</f>
        <v/>
      </c>
      <c r="M417" s="1">
        <f>IF(Data!M417&gt;0,Data!M417,"")</f>
        <v/>
      </c>
      <c r="N417" s="1">
        <f>IF(Data!N417&gt;0,Data!N417,"")</f>
        <v/>
      </c>
      <c r="O417" s="1">
        <f>IF(Data!O417&gt;0,Data!O417,"")</f>
        <v/>
      </c>
      <c r="P417" s="1">
        <f>IF(Data!P417&gt;0,Data!P417,"")</f>
        <v/>
      </c>
      <c r="Q417" s="1">
        <f>IF(Data!Q417&gt;0,Data!Q417,"")</f>
        <v/>
      </c>
      <c r="R417" s="1">
        <f>IF(Data!R417&gt;0,Data!R417,"")</f>
        <v/>
      </c>
      <c r="S417" s="1">
        <f>IF(Data!S417&gt;0,Data!S417,"")</f>
        <v/>
      </c>
      <c r="V417" s="3">
        <f>IF(COUNT(D417,J417,K417,L417,M417,O417)&gt;0,AVERAGE(D417,J417,K417,L417,M417,O417),"")</f>
        <v/>
      </c>
      <c r="W417" s="3">
        <f>IF(COUNT(C417,F417,G417,N417,Q417)&gt;0,AVERAGE(C417,F417,G417,N417,Q417),"")</f>
        <v/>
      </c>
      <c r="X417" s="3">
        <f>IF(COUNT(B417,E417,H417,I417,P417,R417,S417)&gt;0,AVERAGE(B417,E417,H417,I417,P417,R417,S417),"")</f>
        <v/>
      </c>
      <c r="Y417" s="3" t="n"/>
      <c r="AJ417">
        <f>IFERROR(AVERAGEIF($A$4:$A$1004,AI417,$V$4:$V$1004),"")</f>
        <v/>
      </c>
      <c r="AK417">
        <f>IFERROR(AVERAGEIF($A$4:$A$1004,AI417,$W$4:$W$1004),"")</f>
        <v/>
      </c>
      <c r="AL417">
        <f>IFERROR(AVERAGEIF($A$4:$A$1004,AI417,$X$4:$X$1004),"")</f>
        <v/>
      </c>
    </row>
    <row r="418">
      <c r="A418" s="1">
        <f>IF(Data!A418&gt;0,Data!A418,"")</f>
        <v/>
      </c>
      <c r="B418" s="1">
        <f>IF(Data!B418&gt;0,Data!B418,"")</f>
        <v/>
      </c>
      <c r="C418" s="1">
        <f>IF(Data!C418&gt;0,Data!C418,"")</f>
        <v/>
      </c>
      <c r="D418" s="1">
        <f>IF(Data!D418&gt;0,Data!D418,"")</f>
        <v/>
      </c>
      <c r="E418" s="1">
        <f>IF(Data!E418&gt;0,Data!E418,"")</f>
        <v/>
      </c>
      <c r="F418" s="1">
        <f>IF(Data!F418&gt;0,Data!F418,"")</f>
        <v/>
      </c>
      <c r="G418" s="1">
        <f>IF(Data!G418&gt;0,Data!G418,"")</f>
        <v/>
      </c>
      <c r="H418" s="1">
        <f>IF(Data!H418&gt;0,Data!H418,"")</f>
        <v/>
      </c>
      <c r="I418" s="1">
        <f>IF(Data!I418&gt;0,Data!I418,"")</f>
        <v/>
      </c>
      <c r="J418" s="1">
        <f>IF(Data!J418&gt;0,Data!J418,"")</f>
        <v/>
      </c>
      <c r="K418" s="1">
        <f>IF(Data!K418&gt;0,Data!K418,"")</f>
        <v/>
      </c>
      <c r="L418" s="1">
        <f>IF(Data!L418&gt;0,Data!L418,"")</f>
        <v/>
      </c>
      <c r="M418" s="1">
        <f>IF(Data!M418&gt;0,Data!M418,"")</f>
        <v/>
      </c>
      <c r="N418" s="1">
        <f>IF(Data!N418&gt;0,Data!N418,"")</f>
        <v/>
      </c>
      <c r="O418" s="1">
        <f>IF(Data!O418&gt;0,Data!O418,"")</f>
        <v/>
      </c>
      <c r="P418" s="1">
        <f>IF(Data!P418&gt;0,Data!P418,"")</f>
        <v/>
      </c>
      <c r="Q418" s="1">
        <f>IF(Data!Q418&gt;0,Data!Q418,"")</f>
        <v/>
      </c>
      <c r="R418" s="1">
        <f>IF(Data!R418&gt;0,Data!R418,"")</f>
        <v/>
      </c>
      <c r="S418" s="1">
        <f>IF(Data!S418&gt;0,Data!S418,"")</f>
        <v/>
      </c>
      <c r="V418" s="3">
        <f>IF(COUNT(D418,J418,K418,L418,M418,O418)&gt;0,AVERAGE(D418,J418,K418,L418,M418,O418),"")</f>
        <v/>
      </c>
      <c r="W418" s="3">
        <f>IF(COUNT(C418,F418,G418,N418,Q418)&gt;0,AVERAGE(C418,F418,G418,N418,Q418),"")</f>
        <v/>
      </c>
      <c r="X418" s="3">
        <f>IF(COUNT(B418,E418,H418,I418,P418,R418,S418)&gt;0,AVERAGE(B418,E418,H418,I418,P418,R418,S418),"")</f>
        <v/>
      </c>
      <c r="Y418" s="3" t="n"/>
      <c r="AJ418">
        <f>IFERROR(AVERAGEIF($A$4:$A$1004,AI418,$V$4:$V$1004),"")</f>
        <v/>
      </c>
      <c r="AK418">
        <f>IFERROR(AVERAGEIF($A$4:$A$1004,AI418,$W$4:$W$1004),"")</f>
        <v/>
      </c>
      <c r="AL418">
        <f>IFERROR(AVERAGEIF($A$4:$A$1004,AI418,$X$4:$X$1004),"")</f>
        <v/>
      </c>
    </row>
    <row r="419">
      <c r="A419" s="1">
        <f>IF(Data!A419&gt;0,Data!A419,"")</f>
        <v/>
      </c>
      <c r="B419" s="1">
        <f>IF(Data!B419&gt;0,Data!B419,"")</f>
        <v/>
      </c>
      <c r="C419" s="1">
        <f>IF(Data!C419&gt;0,Data!C419,"")</f>
        <v/>
      </c>
      <c r="D419" s="1">
        <f>IF(Data!D419&gt;0,Data!D419,"")</f>
        <v/>
      </c>
      <c r="E419" s="1">
        <f>IF(Data!E419&gt;0,Data!E419,"")</f>
        <v/>
      </c>
      <c r="F419" s="1">
        <f>IF(Data!F419&gt;0,Data!F419,"")</f>
        <v/>
      </c>
      <c r="G419" s="1">
        <f>IF(Data!G419&gt;0,Data!G419,"")</f>
        <v/>
      </c>
      <c r="H419" s="1">
        <f>IF(Data!H419&gt;0,Data!H419,"")</f>
        <v/>
      </c>
      <c r="I419" s="1">
        <f>IF(Data!I419&gt;0,Data!I419,"")</f>
        <v/>
      </c>
      <c r="J419" s="1">
        <f>IF(Data!J419&gt;0,Data!J419,"")</f>
        <v/>
      </c>
      <c r="K419" s="1">
        <f>IF(Data!K419&gt;0,Data!K419,"")</f>
        <v/>
      </c>
      <c r="L419" s="1">
        <f>IF(Data!L419&gt;0,Data!L419,"")</f>
        <v/>
      </c>
      <c r="M419" s="1">
        <f>IF(Data!M419&gt;0,Data!M419,"")</f>
        <v/>
      </c>
      <c r="N419" s="1">
        <f>IF(Data!N419&gt;0,Data!N419,"")</f>
        <v/>
      </c>
      <c r="O419" s="1">
        <f>IF(Data!O419&gt;0,Data!O419,"")</f>
        <v/>
      </c>
      <c r="P419" s="1">
        <f>IF(Data!P419&gt;0,Data!P419,"")</f>
        <v/>
      </c>
      <c r="Q419" s="1">
        <f>IF(Data!Q419&gt;0,Data!Q419,"")</f>
        <v/>
      </c>
      <c r="R419" s="1">
        <f>IF(Data!R419&gt;0,Data!R419,"")</f>
        <v/>
      </c>
      <c r="S419" s="1">
        <f>IF(Data!S419&gt;0,Data!S419,"")</f>
        <v/>
      </c>
      <c r="V419" s="3">
        <f>IF(COUNT(D419,J419,K419,L419,M419,O419)&gt;0,AVERAGE(D419,J419,K419,L419,M419,O419),"")</f>
        <v/>
      </c>
      <c r="W419" s="3">
        <f>IF(COUNT(C419,F419,G419,N419,Q419)&gt;0,AVERAGE(C419,F419,G419,N419,Q419),"")</f>
        <v/>
      </c>
      <c r="X419" s="3">
        <f>IF(COUNT(B419,E419,H419,I419,P419,R419,S419)&gt;0,AVERAGE(B419,E419,H419,I419,P419,R419,S419),"")</f>
        <v/>
      </c>
      <c r="Y419" s="3" t="n"/>
      <c r="AJ419">
        <f>IFERROR(AVERAGEIF($A$4:$A$1004,AI419,$V$4:$V$1004),"")</f>
        <v/>
      </c>
      <c r="AK419">
        <f>IFERROR(AVERAGEIF($A$4:$A$1004,AI419,$W$4:$W$1004),"")</f>
        <v/>
      </c>
      <c r="AL419">
        <f>IFERROR(AVERAGEIF($A$4:$A$1004,AI419,$X$4:$X$1004),"")</f>
        <v/>
      </c>
    </row>
    <row r="420">
      <c r="A420" s="1">
        <f>IF(Data!A420&gt;0,Data!A420,"")</f>
        <v/>
      </c>
      <c r="B420" s="1">
        <f>IF(Data!B420&gt;0,Data!B420,"")</f>
        <v/>
      </c>
      <c r="C420" s="1">
        <f>IF(Data!C420&gt;0,Data!C420,"")</f>
        <v/>
      </c>
      <c r="D420" s="1">
        <f>IF(Data!D420&gt;0,Data!D420,"")</f>
        <v/>
      </c>
      <c r="E420" s="1">
        <f>IF(Data!E420&gt;0,Data!E420,"")</f>
        <v/>
      </c>
      <c r="F420" s="1">
        <f>IF(Data!F420&gt;0,Data!F420,"")</f>
        <v/>
      </c>
      <c r="G420" s="1">
        <f>IF(Data!G420&gt;0,Data!G420,"")</f>
        <v/>
      </c>
      <c r="H420" s="1">
        <f>IF(Data!H420&gt;0,Data!H420,"")</f>
        <v/>
      </c>
      <c r="I420" s="1">
        <f>IF(Data!I420&gt;0,Data!I420,"")</f>
        <v/>
      </c>
      <c r="J420" s="1">
        <f>IF(Data!J420&gt;0,Data!J420,"")</f>
        <v/>
      </c>
      <c r="K420" s="1">
        <f>IF(Data!K420&gt;0,Data!K420,"")</f>
        <v/>
      </c>
      <c r="L420" s="1">
        <f>IF(Data!L420&gt;0,Data!L420,"")</f>
        <v/>
      </c>
      <c r="M420" s="1">
        <f>IF(Data!M420&gt;0,Data!M420,"")</f>
        <v/>
      </c>
      <c r="N420" s="1">
        <f>IF(Data!N420&gt;0,Data!N420,"")</f>
        <v/>
      </c>
      <c r="O420" s="1">
        <f>IF(Data!O420&gt;0,Data!O420,"")</f>
        <v/>
      </c>
      <c r="P420" s="1">
        <f>IF(Data!P420&gt;0,Data!P420,"")</f>
        <v/>
      </c>
      <c r="Q420" s="1">
        <f>IF(Data!Q420&gt;0,Data!Q420,"")</f>
        <v/>
      </c>
      <c r="R420" s="1">
        <f>IF(Data!R420&gt;0,Data!R420,"")</f>
        <v/>
      </c>
      <c r="S420" s="1">
        <f>IF(Data!S420&gt;0,Data!S420,"")</f>
        <v/>
      </c>
      <c r="V420" s="3">
        <f>IF(COUNT(D420,J420,K420,L420,M420,O420)&gt;0,AVERAGE(D420,J420,K420,L420,M420,O420),"")</f>
        <v/>
      </c>
      <c r="W420" s="3">
        <f>IF(COUNT(C420,F420,G420,N420,Q420)&gt;0,AVERAGE(C420,F420,G420,N420,Q420),"")</f>
        <v/>
      </c>
      <c r="X420" s="3">
        <f>IF(COUNT(B420,E420,H420,I420,P420,R420,S420)&gt;0,AVERAGE(B420,E420,H420,I420,P420,R420,S420),"")</f>
        <v/>
      </c>
      <c r="Y420" s="3" t="n"/>
      <c r="AJ420">
        <f>IFERROR(AVERAGEIF($A$4:$A$1004,AI420,$V$4:$V$1004),"")</f>
        <v/>
      </c>
      <c r="AK420">
        <f>IFERROR(AVERAGEIF($A$4:$A$1004,AI420,$W$4:$W$1004),"")</f>
        <v/>
      </c>
      <c r="AL420">
        <f>IFERROR(AVERAGEIF($A$4:$A$1004,AI420,$X$4:$X$1004),"")</f>
        <v/>
      </c>
    </row>
    <row r="421">
      <c r="A421" s="1">
        <f>IF(Data!A421&gt;0,Data!A421,"")</f>
        <v/>
      </c>
      <c r="B421" s="1">
        <f>IF(Data!B421&gt;0,Data!B421,"")</f>
        <v/>
      </c>
      <c r="C421" s="1">
        <f>IF(Data!C421&gt;0,Data!C421,"")</f>
        <v/>
      </c>
      <c r="D421" s="1">
        <f>IF(Data!D421&gt;0,Data!D421,"")</f>
        <v/>
      </c>
      <c r="E421" s="1">
        <f>IF(Data!E421&gt;0,Data!E421,"")</f>
        <v/>
      </c>
      <c r="F421" s="1">
        <f>IF(Data!F421&gt;0,Data!F421,"")</f>
        <v/>
      </c>
      <c r="G421" s="1">
        <f>IF(Data!G421&gt;0,Data!G421,"")</f>
        <v/>
      </c>
      <c r="H421" s="1">
        <f>IF(Data!H421&gt;0,Data!H421,"")</f>
        <v/>
      </c>
      <c r="I421" s="1">
        <f>IF(Data!I421&gt;0,Data!I421,"")</f>
        <v/>
      </c>
      <c r="J421" s="1">
        <f>IF(Data!J421&gt;0,Data!J421,"")</f>
        <v/>
      </c>
      <c r="K421" s="1">
        <f>IF(Data!K421&gt;0,Data!K421,"")</f>
        <v/>
      </c>
      <c r="L421" s="1">
        <f>IF(Data!L421&gt;0,Data!L421,"")</f>
        <v/>
      </c>
      <c r="M421" s="1">
        <f>IF(Data!M421&gt;0,Data!M421,"")</f>
        <v/>
      </c>
      <c r="N421" s="1">
        <f>IF(Data!N421&gt;0,Data!N421,"")</f>
        <v/>
      </c>
      <c r="O421" s="1">
        <f>IF(Data!O421&gt;0,Data!O421,"")</f>
        <v/>
      </c>
      <c r="P421" s="1">
        <f>IF(Data!P421&gt;0,Data!P421,"")</f>
        <v/>
      </c>
      <c r="Q421" s="1">
        <f>IF(Data!Q421&gt;0,Data!Q421,"")</f>
        <v/>
      </c>
      <c r="R421" s="1">
        <f>IF(Data!R421&gt;0,Data!R421,"")</f>
        <v/>
      </c>
      <c r="S421" s="1">
        <f>IF(Data!S421&gt;0,Data!S421,"")</f>
        <v/>
      </c>
      <c r="V421" s="3">
        <f>IF(COUNT(D421,J421,K421,L421,M421,O421)&gt;0,AVERAGE(D421,J421,K421,L421,M421,O421),"")</f>
        <v/>
      </c>
      <c r="W421" s="3">
        <f>IF(COUNT(C421,F421,G421,N421,Q421)&gt;0,AVERAGE(C421,F421,G421,N421,Q421),"")</f>
        <v/>
      </c>
      <c r="X421" s="3">
        <f>IF(COUNT(B421,E421,H421,I421,P421,R421,S421)&gt;0,AVERAGE(B421,E421,H421,I421,P421,R421,S421),"")</f>
        <v/>
      </c>
      <c r="Y421" s="3" t="n"/>
      <c r="AJ421">
        <f>IFERROR(AVERAGEIF($A$4:$A$1004,AI421,$V$4:$V$1004),"")</f>
        <v/>
      </c>
      <c r="AK421">
        <f>IFERROR(AVERAGEIF($A$4:$A$1004,AI421,$W$4:$W$1004),"")</f>
        <v/>
      </c>
      <c r="AL421">
        <f>IFERROR(AVERAGEIF($A$4:$A$1004,AI421,$X$4:$X$1004),"")</f>
        <v/>
      </c>
    </row>
    <row r="422">
      <c r="A422" s="1">
        <f>IF(Data!A422&gt;0,Data!A422,"")</f>
        <v/>
      </c>
      <c r="B422" s="1">
        <f>IF(Data!B422&gt;0,Data!B422,"")</f>
        <v/>
      </c>
      <c r="C422" s="1">
        <f>IF(Data!C422&gt;0,Data!C422,"")</f>
        <v/>
      </c>
      <c r="D422" s="1">
        <f>IF(Data!D422&gt;0,Data!D422,"")</f>
        <v/>
      </c>
      <c r="E422" s="1">
        <f>IF(Data!E422&gt;0,Data!E422,"")</f>
        <v/>
      </c>
      <c r="F422" s="1">
        <f>IF(Data!F422&gt;0,Data!F422,"")</f>
        <v/>
      </c>
      <c r="G422" s="1">
        <f>IF(Data!G422&gt;0,Data!G422,"")</f>
        <v/>
      </c>
      <c r="H422" s="1">
        <f>IF(Data!H422&gt;0,Data!H422,"")</f>
        <v/>
      </c>
      <c r="I422" s="1">
        <f>IF(Data!I422&gt;0,Data!I422,"")</f>
        <v/>
      </c>
      <c r="J422" s="1">
        <f>IF(Data!J422&gt;0,Data!J422,"")</f>
        <v/>
      </c>
      <c r="K422" s="1">
        <f>IF(Data!K422&gt;0,Data!K422,"")</f>
        <v/>
      </c>
      <c r="L422" s="1">
        <f>IF(Data!L422&gt;0,Data!L422,"")</f>
        <v/>
      </c>
      <c r="M422" s="1">
        <f>IF(Data!M422&gt;0,Data!M422,"")</f>
        <v/>
      </c>
      <c r="N422" s="1">
        <f>IF(Data!N422&gt;0,Data!N422,"")</f>
        <v/>
      </c>
      <c r="O422" s="1">
        <f>IF(Data!O422&gt;0,Data!O422,"")</f>
        <v/>
      </c>
      <c r="P422" s="1">
        <f>IF(Data!P422&gt;0,Data!P422,"")</f>
        <v/>
      </c>
      <c r="Q422" s="1">
        <f>IF(Data!Q422&gt;0,Data!Q422,"")</f>
        <v/>
      </c>
      <c r="R422" s="1">
        <f>IF(Data!R422&gt;0,Data!R422,"")</f>
        <v/>
      </c>
      <c r="S422" s="1">
        <f>IF(Data!S422&gt;0,Data!S422,"")</f>
        <v/>
      </c>
      <c r="V422" s="3">
        <f>IF(COUNT(D422,J422,K422,L422,M422,O422)&gt;0,AVERAGE(D422,J422,K422,L422,M422,O422),"")</f>
        <v/>
      </c>
      <c r="W422" s="3">
        <f>IF(COUNT(C422,F422,G422,N422,Q422)&gt;0,AVERAGE(C422,F422,G422,N422,Q422),"")</f>
        <v/>
      </c>
      <c r="X422" s="3">
        <f>IF(COUNT(B422,E422,H422,I422,P422,R422,S422)&gt;0,AVERAGE(B422,E422,H422,I422,P422,R422,S422),"")</f>
        <v/>
      </c>
      <c r="Y422" s="3" t="n"/>
      <c r="AJ422">
        <f>IFERROR(AVERAGEIF($A$4:$A$1004,AI422,$V$4:$V$1004),"")</f>
        <v/>
      </c>
      <c r="AK422">
        <f>IFERROR(AVERAGEIF($A$4:$A$1004,AI422,$W$4:$W$1004),"")</f>
        <v/>
      </c>
      <c r="AL422">
        <f>IFERROR(AVERAGEIF($A$4:$A$1004,AI422,$X$4:$X$1004),"")</f>
        <v/>
      </c>
    </row>
    <row r="423">
      <c r="A423" s="1">
        <f>IF(Data!A423&gt;0,Data!A423,"")</f>
        <v/>
      </c>
      <c r="B423" s="1">
        <f>IF(Data!B423&gt;0,Data!B423,"")</f>
        <v/>
      </c>
      <c r="C423" s="1">
        <f>IF(Data!C423&gt;0,Data!C423,"")</f>
        <v/>
      </c>
      <c r="D423" s="1">
        <f>IF(Data!D423&gt;0,Data!D423,"")</f>
        <v/>
      </c>
      <c r="E423" s="1">
        <f>IF(Data!E423&gt;0,Data!E423,"")</f>
        <v/>
      </c>
      <c r="F423" s="1">
        <f>IF(Data!F423&gt;0,Data!F423,"")</f>
        <v/>
      </c>
      <c r="G423" s="1">
        <f>IF(Data!G423&gt;0,Data!G423,"")</f>
        <v/>
      </c>
      <c r="H423" s="1">
        <f>IF(Data!H423&gt;0,Data!H423,"")</f>
        <v/>
      </c>
      <c r="I423" s="1">
        <f>IF(Data!I423&gt;0,Data!I423,"")</f>
        <v/>
      </c>
      <c r="J423" s="1">
        <f>IF(Data!J423&gt;0,Data!J423,"")</f>
        <v/>
      </c>
      <c r="K423" s="1">
        <f>IF(Data!K423&gt;0,Data!K423,"")</f>
        <v/>
      </c>
      <c r="L423" s="1">
        <f>IF(Data!L423&gt;0,Data!L423,"")</f>
        <v/>
      </c>
      <c r="M423" s="1">
        <f>IF(Data!M423&gt;0,Data!M423,"")</f>
        <v/>
      </c>
      <c r="N423" s="1">
        <f>IF(Data!N423&gt;0,Data!N423,"")</f>
        <v/>
      </c>
      <c r="O423" s="1">
        <f>IF(Data!O423&gt;0,Data!O423,"")</f>
        <v/>
      </c>
      <c r="P423" s="1">
        <f>IF(Data!P423&gt;0,Data!P423,"")</f>
        <v/>
      </c>
      <c r="Q423" s="1">
        <f>IF(Data!Q423&gt;0,Data!Q423,"")</f>
        <v/>
      </c>
      <c r="R423" s="1">
        <f>IF(Data!R423&gt;0,Data!R423,"")</f>
        <v/>
      </c>
      <c r="S423" s="1">
        <f>IF(Data!S423&gt;0,Data!S423,"")</f>
        <v/>
      </c>
      <c r="V423" s="3">
        <f>IF(COUNT(D423,J423,K423,L423,M423,O423)&gt;0,AVERAGE(D423,J423,K423,L423,M423,O423),"")</f>
        <v/>
      </c>
      <c r="W423" s="3">
        <f>IF(COUNT(C423,F423,G423,N423,Q423)&gt;0,AVERAGE(C423,F423,G423,N423,Q423),"")</f>
        <v/>
      </c>
      <c r="X423" s="3">
        <f>IF(COUNT(B423,E423,H423,I423,P423,R423,S423)&gt;0,AVERAGE(B423,E423,H423,I423,P423,R423,S423),"")</f>
        <v/>
      </c>
      <c r="Y423" s="3" t="n"/>
      <c r="AJ423">
        <f>IFERROR(AVERAGEIF($A$4:$A$1004,AI423,$V$4:$V$1004),"")</f>
        <v/>
      </c>
      <c r="AK423">
        <f>IFERROR(AVERAGEIF($A$4:$A$1004,AI423,$W$4:$W$1004),"")</f>
        <v/>
      </c>
      <c r="AL423">
        <f>IFERROR(AVERAGEIF($A$4:$A$1004,AI423,$X$4:$X$1004),"")</f>
        <v/>
      </c>
    </row>
    <row r="424">
      <c r="A424" s="1">
        <f>IF(Data!A424&gt;0,Data!A424,"")</f>
        <v/>
      </c>
      <c r="B424" s="1">
        <f>IF(Data!B424&gt;0,Data!B424,"")</f>
        <v/>
      </c>
      <c r="C424" s="1">
        <f>IF(Data!C424&gt;0,Data!C424,"")</f>
        <v/>
      </c>
      <c r="D424" s="1">
        <f>IF(Data!D424&gt;0,Data!D424,"")</f>
        <v/>
      </c>
      <c r="E424" s="1">
        <f>IF(Data!E424&gt;0,Data!E424,"")</f>
        <v/>
      </c>
      <c r="F424" s="1">
        <f>IF(Data!F424&gt;0,Data!F424,"")</f>
        <v/>
      </c>
      <c r="G424" s="1">
        <f>IF(Data!G424&gt;0,Data!G424,"")</f>
        <v/>
      </c>
      <c r="H424" s="1">
        <f>IF(Data!H424&gt;0,Data!H424,"")</f>
        <v/>
      </c>
      <c r="I424" s="1">
        <f>IF(Data!I424&gt;0,Data!I424,"")</f>
        <v/>
      </c>
      <c r="J424" s="1">
        <f>IF(Data!J424&gt;0,Data!J424,"")</f>
        <v/>
      </c>
      <c r="K424" s="1">
        <f>IF(Data!K424&gt;0,Data!K424,"")</f>
        <v/>
      </c>
      <c r="L424" s="1">
        <f>IF(Data!L424&gt;0,Data!L424,"")</f>
        <v/>
      </c>
      <c r="M424" s="1">
        <f>IF(Data!M424&gt;0,Data!M424,"")</f>
        <v/>
      </c>
      <c r="N424" s="1">
        <f>IF(Data!N424&gt;0,Data!N424,"")</f>
        <v/>
      </c>
      <c r="O424" s="1">
        <f>IF(Data!O424&gt;0,Data!O424,"")</f>
        <v/>
      </c>
      <c r="P424" s="1">
        <f>IF(Data!P424&gt;0,Data!P424,"")</f>
        <v/>
      </c>
      <c r="Q424" s="1">
        <f>IF(Data!Q424&gt;0,Data!Q424,"")</f>
        <v/>
      </c>
      <c r="R424" s="1">
        <f>IF(Data!R424&gt;0,Data!R424,"")</f>
        <v/>
      </c>
      <c r="S424" s="1">
        <f>IF(Data!S424&gt;0,Data!S424,"")</f>
        <v/>
      </c>
      <c r="V424" s="3">
        <f>IF(COUNT(D424,J424,K424,L424,M424,O424)&gt;0,AVERAGE(D424,J424,K424,L424,M424,O424),"")</f>
        <v/>
      </c>
      <c r="W424" s="3">
        <f>IF(COUNT(C424,F424,G424,N424,Q424)&gt;0,AVERAGE(C424,F424,G424,N424,Q424),"")</f>
        <v/>
      </c>
      <c r="X424" s="3">
        <f>IF(COUNT(B424,E424,H424,I424,P424,R424,S424)&gt;0,AVERAGE(B424,E424,H424,I424,P424,R424,S424),"")</f>
        <v/>
      </c>
      <c r="Y424" s="3" t="n"/>
      <c r="AJ424">
        <f>IFERROR(AVERAGEIF($A$4:$A$1004,AI424,$V$4:$V$1004),"")</f>
        <v/>
      </c>
      <c r="AK424">
        <f>IFERROR(AVERAGEIF($A$4:$A$1004,AI424,$W$4:$W$1004),"")</f>
        <v/>
      </c>
      <c r="AL424">
        <f>IFERROR(AVERAGEIF($A$4:$A$1004,AI424,$X$4:$X$1004),"")</f>
        <v/>
      </c>
    </row>
    <row r="425">
      <c r="A425" s="1">
        <f>IF(Data!A425&gt;0,Data!A425,"")</f>
        <v/>
      </c>
      <c r="B425" s="1">
        <f>IF(Data!B425&gt;0,Data!B425,"")</f>
        <v/>
      </c>
      <c r="C425" s="1">
        <f>IF(Data!C425&gt;0,Data!C425,"")</f>
        <v/>
      </c>
      <c r="D425" s="1">
        <f>IF(Data!D425&gt;0,Data!D425,"")</f>
        <v/>
      </c>
      <c r="E425" s="1">
        <f>IF(Data!E425&gt;0,Data!E425,"")</f>
        <v/>
      </c>
      <c r="F425" s="1">
        <f>IF(Data!F425&gt;0,Data!F425,"")</f>
        <v/>
      </c>
      <c r="G425" s="1">
        <f>IF(Data!G425&gt;0,Data!G425,"")</f>
        <v/>
      </c>
      <c r="H425" s="1">
        <f>IF(Data!H425&gt;0,Data!H425,"")</f>
        <v/>
      </c>
      <c r="I425" s="1">
        <f>IF(Data!I425&gt;0,Data!I425,"")</f>
        <v/>
      </c>
      <c r="J425" s="1">
        <f>IF(Data!J425&gt;0,Data!J425,"")</f>
        <v/>
      </c>
      <c r="K425" s="1">
        <f>IF(Data!K425&gt;0,Data!K425,"")</f>
        <v/>
      </c>
      <c r="L425" s="1">
        <f>IF(Data!L425&gt;0,Data!L425,"")</f>
        <v/>
      </c>
      <c r="M425" s="1">
        <f>IF(Data!M425&gt;0,Data!M425,"")</f>
        <v/>
      </c>
      <c r="N425" s="1">
        <f>IF(Data!N425&gt;0,Data!N425,"")</f>
        <v/>
      </c>
      <c r="O425" s="1">
        <f>IF(Data!O425&gt;0,Data!O425,"")</f>
        <v/>
      </c>
      <c r="P425" s="1">
        <f>IF(Data!P425&gt;0,Data!P425,"")</f>
        <v/>
      </c>
      <c r="Q425" s="1">
        <f>IF(Data!Q425&gt;0,Data!Q425,"")</f>
        <v/>
      </c>
      <c r="R425" s="1">
        <f>IF(Data!R425&gt;0,Data!R425,"")</f>
        <v/>
      </c>
      <c r="S425" s="1">
        <f>IF(Data!S425&gt;0,Data!S425,"")</f>
        <v/>
      </c>
      <c r="V425" s="3">
        <f>IF(COUNT(D425,J425,K425,L425,M425,O425)&gt;0,AVERAGE(D425,J425,K425,L425,M425,O425),"")</f>
        <v/>
      </c>
      <c r="W425" s="3">
        <f>IF(COUNT(C425,F425,G425,N425,Q425)&gt;0,AVERAGE(C425,F425,G425,N425,Q425),"")</f>
        <v/>
      </c>
      <c r="X425" s="3">
        <f>IF(COUNT(B425,E425,H425,I425,P425,R425,S425)&gt;0,AVERAGE(B425,E425,H425,I425,P425,R425,S425),"")</f>
        <v/>
      </c>
      <c r="Y425" s="3" t="n"/>
      <c r="AJ425">
        <f>IFERROR(AVERAGEIF($A$4:$A$1004,AI425,$V$4:$V$1004),"")</f>
        <v/>
      </c>
      <c r="AK425">
        <f>IFERROR(AVERAGEIF($A$4:$A$1004,AI425,$W$4:$W$1004),"")</f>
        <v/>
      </c>
      <c r="AL425">
        <f>IFERROR(AVERAGEIF($A$4:$A$1004,AI425,$X$4:$X$1004),"")</f>
        <v/>
      </c>
    </row>
    <row r="426">
      <c r="A426" s="1">
        <f>IF(Data!A426&gt;0,Data!A426,"")</f>
        <v/>
      </c>
      <c r="B426" s="1">
        <f>IF(Data!B426&gt;0,Data!B426,"")</f>
        <v/>
      </c>
      <c r="C426" s="1">
        <f>IF(Data!C426&gt;0,Data!C426,"")</f>
        <v/>
      </c>
      <c r="D426" s="1">
        <f>IF(Data!D426&gt;0,Data!D426,"")</f>
        <v/>
      </c>
      <c r="E426" s="1">
        <f>IF(Data!E426&gt;0,Data!E426,"")</f>
        <v/>
      </c>
      <c r="F426" s="1">
        <f>IF(Data!F426&gt;0,Data!F426,"")</f>
        <v/>
      </c>
      <c r="G426" s="1">
        <f>IF(Data!G426&gt;0,Data!G426,"")</f>
        <v/>
      </c>
      <c r="H426" s="1">
        <f>IF(Data!H426&gt;0,Data!H426,"")</f>
        <v/>
      </c>
      <c r="I426" s="1">
        <f>IF(Data!I426&gt;0,Data!I426,"")</f>
        <v/>
      </c>
      <c r="J426" s="1">
        <f>IF(Data!J426&gt;0,Data!J426,"")</f>
        <v/>
      </c>
      <c r="K426" s="1">
        <f>IF(Data!K426&gt;0,Data!K426,"")</f>
        <v/>
      </c>
      <c r="L426" s="1">
        <f>IF(Data!L426&gt;0,Data!L426,"")</f>
        <v/>
      </c>
      <c r="M426" s="1">
        <f>IF(Data!M426&gt;0,Data!M426,"")</f>
        <v/>
      </c>
      <c r="N426" s="1">
        <f>IF(Data!N426&gt;0,Data!N426,"")</f>
        <v/>
      </c>
      <c r="O426" s="1">
        <f>IF(Data!O426&gt;0,Data!O426,"")</f>
        <v/>
      </c>
      <c r="P426" s="1">
        <f>IF(Data!P426&gt;0,Data!P426,"")</f>
        <v/>
      </c>
      <c r="Q426" s="1">
        <f>IF(Data!Q426&gt;0,Data!Q426,"")</f>
        <v/>
      </c>
      <c r="R426" s="1">
        <f>IF(Data!R426&gt;0,Data!R426,"")</f>
        <v/>
      </c>
      <c r="S426" s="1">
        <f>IF(Data!S426&gt;0,Data!S426,"")</f>
        <v/>
      </c>
      <c r="V426" s="3">
        <f>IF(COUNT(D426,J426,K426,L426,M426,O426)&gt;0,AVERAGE(D426,J426,K426,L426,M426,O426),"")</f>
        <v/>
      </c>
      <c r="W426" s="3">
        <f>IF(COUNT(C426,F426,G426,N426,Q426)&gt;0,AVERAGE(C426,F426,G426,N426,Q426),"")</f>
        <v/>
      </c>
      <c r="X426" s="3">
        <f>IF(COUNT(B426,E426,H426,I426,P426,R426,S426)&gt;0,AVERAGE(B426,E426,H426,I426,P426,R426,S426),"")</f>
        <v/>
      </c>
      <c r="Y426" s="3" t="n"/>
      <c r="AJ426">
        <f>IFERROR(AVERAGEIF($A$4:$A$1004,AI426,$V$4:$V$1004),"")</f>
        <v/>
      </c>
      <c r="AK426">
        <f>IFERROR(AVERAGEIF($A$4:$A$1004,AI426,$W$4:$W$1004),"")</f>
        <v/>
      </c>
      <c r="AL426">
        <f>IFERROR(AVERAGEIF($A$4:$A$1004,AI426,$X$4:$X$1004),"")</f>
        <v/>
      </c>
    </row>
    <row r="427">
      <c r="A427" s="1">
        <f>IF(Data!A427&gt;0,Data!A427,"")</f>
        <v/>
      </c>
      <c r="B427" s="1">
        <f>IF(Data!B427&gt;0,Data!B427,"")</f>
        <v/>
      </c>
      <c r="C427" s="1">
        <f>IF(Data!C427&gt;0,Data!C427,"")</f>
        <v/>
      </c>
      <c r="D427" s="1">
        <f>IF(Data!D427&gt;0,Data!D427,"")</f>
        <v/>
      </c>
      <c r="E427" s="1">
        <f>IF(Data!E427&gt;0,Data!E427,"")</f>
        <v/>
      </c>
      <c r="F427" s="1">
        <f>IF(Data!F427&gt;0,Data!F427,"")</f>
        <v/>
      </c>
      <c r="G427" s="1">
        <f>IF(Data!G427&gt;0,Data!G427,"")</f>
        <v/>
      </c>
      <c r="H427" s="1">
        <f>IF(Data!H427&gt;0,Data!H427,"")</f>
        <v/>
      </c>
      <c r="I427" s="1">
        <f>IF(Data!I427&gt;0,Data!I427,"")</f>
        <v/>
      </c>
      <c r="J427" s="1">
        <f>IF(Data!J427&gt;0,Data!J427,"")</f>
        <v/>
      </c>
      <c r="K427" s="1">
        <f>IF(Data!K427&gt;0,Data!K427,"")</f>
        <v/>
      </c>
      <c r="L427" s="1">
        <f>IF(Data!L427&gt;0,Data!L427,"")</f>
        <v/>
      </c>
      <c r="M427" s="1">
        <f>IF(Data!M427&gt;0,Data!M427,"")</f>
        <v/>
      </c>
      <c r="N427" s="1">
        <f>IF(Data!N427&gt;0,Data!N427,"")</f>
        <v/>
      </c>
      <c r="O427" s="1">
        <f>IF(Data!O427&gt;0,Data!O427,"")</f>
        <v/>
      </c>
      <c r="P427" s="1">
        <f>IF(Data!P427&gt;0,Data!P427,"")</f>
        <v/>
      </c>
      <c r="Q427" s="1">
        <f>IF(Data!Q427&gt;0,Data!Q427,"")</f>
        <v/>
      </c>
      <c r="R427" s="1">
        <f>IF(Data!R427&gt;0,Data!R427,"")</f>
        <v/>
      </c>
      <c r="S427" s="1">
        <f>IF(Data!S427&gt;0,Data!S427,"")</f>
        <v/>
      </c>
      <c r="V427" s="3">
        <f>IF(COUNT(D427,J427,K427,L427,M427,O427)&gt;0,AVERAGE(D427,J427,K427,L427,M427,O427),"")</f>
        <v/>
      </c>
      <c r="W427" s="3">
        <f>IF(COUNT(C427,F427,G427,N427,Q427)&gt;0,AVERAGE(C427,F427,G427,N427,Q427),"")</f>
        <v/>
      </c>
      <c r="X427" s="3">
        <f>IF(COUNT(B427,E427,H427,I427,P427,R427,S427)&gt;0,AVERAGE(B427,E427,H427,I427,P427,R427,S427),"")</f>
        <v/>
      </c>
      <c r="Y427" s="3" t="n"/>
      <c r="AJ427">
        <f>IFERROR(AVERAGEIF($A$4:$A$1004,AI427,$V$4:$V$1004),"")</f>
        <v/>
      </c>
      <c r="AK427">
        <f>IFERROR(AVERAGEIF($A$4:$A$1004,AI427,$W$4:$W$1004),"")</f>
        <v/>
      </c>
      <c r="AL427">
        <f>IFERROR(AVERAGEIF($A$4:$A$1004,AI427,$X$4:$X$1004),"")</f>
        <v/>
      </c>
    </row>
    <row r="428">
      <c r="A428" s="1">
        <f>IF(Data!A428&gt;0,Data!A428,"")</f>
        <v/>
      </c>
      <c r="B428" s="1">
        <f>IF(Data!B428&gt;0,Data!B428,"")</f>
        <v/>
      </c>
      <c r="C428" s="1">
        <f>IF(Data!C428&gt;0,Data!C428,"")</f>
        <v/>
      </c>
      <c r="D428" s="1">
        <f>IF(Data!D428&gt;0,Data!D428,"")</f>
        <v/>
      </c>
      <c r="E428" s="1">
        <f>IF(Data!E428&gt;0,Data!E428,"")</f>
        <v/>
      </c>
      <c r="F428" s="1">
        <f>IF(Data!F428&gt;0,Data!F428,"")</f>
        <v/>
      </c>
      <c r="G428" s="1">
        <f>IF(Data!G428&gt;0,Data!G428,"")</f>
        <v/>
      </c>
      <c r="H428" s="1">
        <f>IF(Data!H428&gt;0,Data!H428,"")</f>
        <v/>
      </c>
      <c r="I428" s="1">
        <f>IF(Data!I428&gt;0,Data!I428,"")</f>
        <v/>
      </c>
      <c r="J428" s="1">
        <f>IF(Data!J428&gt;0,Data!J428,"")</f>
        <v/>
      </c>
      <c r="K428" s="1">
        <f>IF(Data!K428&gt;0,Data!K428,"")</f>
        <v/>
      </c>
      <c r="L428" s="1">
        <f>IF(Data!L428&gt;0,Data!L428,"")</f>
        <v/>
      </c>
      <c r="M428" s="1">
        <f>IF(Data!M428&gt;0,Data!M428,"")</f>
        <v/>
      </c>
      <c r="N428" s="1">
        <f>IF(Data!N428&gt;0,Data!N428,"")</f>
        <v/>
      </c>
      <c r="O428" s="1">
        <f>IF(Data!O428&gt;0,Data!O428,"")</f>
        <v/>
      </c>
      <c r="P428" s="1">
        <f>IF(Data!P428&gt;0,Data!P428,"")</f>
        <v/>
      </c>
      <c r="Q428" s="1">
        <f>IF(Data!Q428&gt;0,Data!Q428,"")</f>
        <v/>
      </c>
      <c r="R428" s="1">
        <f>IF(Data!R428&gt;0,Data!R428,"")</f>
        <v/>
      </c>
      <c r="S428" s="1">
        <f>IF(Data!S428&gt;0,Data!S428,"")</f>
        <v/>
      </c>
      <c r="V428" s="3">
        <f>IF(COUNT(D428,J428,K428,L428,M428,O428)&gt;0,AVERAGE(D428,J428,K428,L428,M428,O428),"")</f>
        <v/>
      </c>
      <c r="W428" s="3">
        <f>IF(COUNT(C428,F428,G428,N428,Q428)&gt;0,AVERAGE(C428,F428,G428,N428,Q428),"")</f>
        <v/>
      </c>
      <c r="X428" s="3">
        <f>IF(COUNT(B428,E428,H428,I428,P428,R428,S428)&gt;0,AVERAGE(B428,E428,H428,I428,P428,R428,S428),"")</f>
        <v/>
      </c>
      <c r="Y428" s="3" t="n"/>
      <c r="AJ428">
        <f>IFERROR(AVERAGEIF($A$4:$A$1004,AI428,$V$4:$V$1004),"")</f>
        <v/>
      </c>
      <c r="AK428">
        <f>IFERROR(AVERAGEIF($A$4:$A$1004,AI428,$W$4:$W$1004),"")</f>
        <v/>
      </c>
      <c r="AL428">
        <f>IFERROR(AVERAGEIF($A$4:$A$1004,AI428,$X$4:$X$1004),"")</f>
        <v/>
      </c>
    </row>
    <row r="429">
      <c r="A429" s="1">
        <f>IF(Data!A429&gt;0,Data!A429,"")</f>
        <v/>
      </c>
      <c r="B429" s="1">
        <f>IF(Data!B429&gt;0,Data!B429,"")</f>
        <v/>
      </c>
      <c r="C429" s="1">
        <f>IF(Data!C429&gt;0,Data!C429,"")</f>
        <v/>
      </c>
      <c r="D429" s="1">
        <f>IF(Data!D429&gt;0,Data!D429,"")</f>
        <v/>
      </c>
      <c r="E429" s="1">
        <f>IF(Data!E429&gt;0,Data!E429,"")</f>
        <v/>
      </c>
      <c r="F429" s="1">
        <f>IF(Data!F429&gt;0,Data!F429,"")</f>
        <v/>
      </c>
      <c r="G429" s="1">
        <f>IF(Data!G429&gt;0,Data!G429,"")</f>
        <v/>
      </c>
      <c r="H429" s="1">
        <f>IF(Data!H429&gt;0,Data!H429,"")</f>
        <v/>
      </c>
      <c r="I429" s="1">
        <f>IF(Data!I429&gt;0,Data!I429,"")</f>
        <v/>
      </c>
      <c r="J429" s="1">
        <f>IF(Data!J429&gt;0,Data!J429,"")</f>
        <v/>
      </c>
      <c r="K429" s="1">
        <f>IF(Data!K429&gt;0,Data!K429,"")</f>
        <v/>
      </c>
      <c r="L429" s="1">
        <f>IF(Data!L429&gt;0,Data!L429,"")</f>
        <v/>
      </c>
      <c r="M429" s="1">
        <f>IF(Data!M429&gt;0,Data!M429,"")</f>
        <v/>
      </c>
      <c r="N429" s="1">
        <f>IF(Data!N429&gt;0,Data!N429,"")</f>
        <v/>
      </c>
      <c r="O429" s="1">
        <f>IF(Data!O429&gt;0,Data!O429,"")</f>
        <v/>
      </c>
      <c r="P429" s="1">
        <f>IF(Data!P429&gt;0,Data!P429,"")</f>
        <v/>
      </c>
      <c r="Q429" s="1">
        <f>IF(Data!Q429&gt;0,Data!Q429,"")</f>
        <v/>
      </c>
      <c r="R429" s="1">
        <f>IF(Data!R429&gt;0,Data!R429,"")</f>
        <v/>
      </c>
      <c r="S429" s="1">
        <f>IF(Data!S429&gt;0,Data!S429,"")</f>
        <v/>
      </c>
      <c r="V429" s="3">
        <f>IF(COUNT(D429,J429,K429,L429,M429,O429)&gt;0,AVERAGE(D429,J429,K429,L429,M429,O429),"")</f>
        <v/>
      </c>
      <c r="W429" s="3">
        <f>IF(COUNT(C429,F429,G429,N429,Q429)&gt;0,AVERAGE(C429,F429,G429,N429,Q429),"")</f>
        <v/>
      </c>
      <c r="X429" s="3">
        <f>IF(COUNT(B429,E429,H429,I429,P429,R429,S429)&gt;0,AVERAGE(B429,E429,H429,I429,P429,R429,S429),"")</f>
        <v/>
      </c>
      <c r="Y429" s="3" t="n"/>
      <c r="AJ429">
        <f>IFERROR(AVERAGEIF($A$4:$A$1004,AI429,$V$4:$V$1004),"")</f>
        <v/>
      </c>
      <c r="AK429">
        <f>IFERROR(AVERAGEIF($A$4:$A$1004,AI429,$W$4:$W$1004),"")</f>
        <v/>
      </c>
      <c r="AL429">
        <f>IFERROR(AVERAGEIF($A$4:$A$1004,AI429,$X$4:$X$1004),"")</f>
        <v/>
      </c>
    </row>
    <row r="430">
      <c r="A430" s="1">
        <f>IF(Data!A430&gt;0,Data!A430,"")</f>
        <v/>
      </c>
      <c r="B430" s="1">
        <f>IF(Data!B430&gt;0,Data!B430,"")</f>
        <v/>
      </c>
      <c r="C430" s="1">
        <f>IF(Data!C430&gt;0,Data!C430,"")</f>
        <v/>
      </c>
      <c r="D430" s="1">
        <f>IF(Data!D430&gt;0,Data!D430,"")</f>
        <v/>
      </c>
      <c r="E430" s="1">
        <f>IF(Data!E430&gt;0,Data!E430,"")</f>
        <v/>
      </c>
      <c r="F430" s="1">
        <f>IF(Data!F430&gt;0,Data!F430,"")</f>
        <v/>
      </c>
      <c r="G430" s="1">
        <f>IF(Data!G430&gt;0,Data!G430,"")</f>
        <v/>
      </c>
      <c r="H430" s="1">
        <f>IF(Data!H430&gt;0,Data!H430,"")</f>
        <v/>
      </c>
      <c r="I430" s="1">
        <f>IF(Data!I430&gt;0,Data!I430,"")</f>
        <v/>
      </c>
      <c r="J430" s="1">
        <f>IF(Data!J430&gt;0,Data!J430,"")</f>
        <v/>
      </c>
      <c r="K430" s="1">
        <f>IF(Data!K430&gt;0,Data!K430,"")</f>
        <v/>
      </c>
      <c r="L430" s="1">
        <f>IF(Data!L430&gt;0,Data!L430,"")</f>
        <v/>
      </c>
      <c r="M430" s="1">
        <f>IF(Data!M430&gt;0,Data!M430,"")</f>
        <v/>
      </c>
      <c r="N430" s="1">
        <f>IF(Data!N430&gt;0,Data!N430,"")</f>
        <v/>
      </c>
      <c r="O430" s="1">
        <f>IF(Data!O430&gt;0,Data!O430,"")</f>
        <v/>
      </c>
      <c r="P430" s="1">
        <f>IF(Data!P430&gt;0,Data!P430,"")</f>
        <v/>
      </c>
      <c r="Q430" s="1">
        <f>IF(Data!Q430&gt;0,Data!Q430,"")</f>
        <v/>
      </c>
      <c r="R430" s="1">
        <f>IF(Data!R430&gt;0,Data!R430,"")</f>
        <v/>
      </c>
      <c r="S430" s="1">
        <f>IF(Data!S430&gt;0,Data!S430,"")</f>
        <v/>
      </c>
      <c r="V430" s="3">
        <f>IF(COUNT(D430,J430,K430,L430,M430,O430)&gt;0,AVERAGE(D430,J430,K430,L430,M430,O430),"")</f>
        <v/>
      </c>
      <c r="W430" s="3">
        <f>IF(COUNT(C430,F430,G430,N430,Q430)&gt;0,AVERAGE(C430,F430,G430,N430,Q430),"")</f>
        <v/>
      </c>
      <c r="X430" s="3">
        <f>IF(COUNT(B430,E430,H430,I430,P430,R430,S430)&gt;0,AVERAGE(B430,E430,H430,I430,P430,R430,S430),"")</f>
        <v/>
      </c>
      <c r="Y430" s="3" t="n"/>
      <c r="AJ430">
        <f>IFERROR(AVERAGEIF($A$4:$A$1004,AI430,$V$4:$V$1004),"")</f>
        <v/>
      </c>
      <c r="AK430">
        <f>IFERROR(AVERAGEIF($A$4:$A$1004,AI430,$W$4:$W$1004),"")</f>
        <v/>
      </c>
      <c r="AL430">
        <f>IFERROR(AVERAGEIF($A$4:$A$1004,AI430,$X$4:$X$1004),"")</f>
        <v/>
      </c>
    </row>
    <row r="431">
      <c r="A431" s="1">
        <f>IF(Data!A431&gt;0,Data!A431,"")</f>
        <v/>
      </c>
      <c r="B431" s="1">
        <f>IF(Data!B431&gt;0,Data!B431,"")</f>
        <v/>
      </c>
      <c r="C431" s="1">
        <f>IF(Data!C431&gt;0,Data!C431,"")</f>
        <v/>
      </c>
      <c r="D431" s="1">
        <f>IF(Data!D431&gt;0,Data!D431,"")</f>
        <v/>
      </c>
      <c r="E431" s="1">
        <f>IF(Data!E431&gt;0,Data!E431,"")</f>
        <v/>
      </c>
      <c r="F431" s="1">
        <f>IF(Data!F431&gt;0,Data!F431,"")</f>
        <v/>
      </c>
      <c r="G431" s="1">
        <f>IF(Data!G431&gt;0,Data!G431,"")</f>
        <v/>
      </c>
      <c r="H431" s="1">
        <f>IF(Data!H431&gt;0,Data!H431,"")</f>
        <v/>
      </c>
      <c r="I431" s="1">
        <f>IF(Data!I431&gt;0,Data!I431,"")</f>
        <v/>
      </c>
      <c r="J431" s="1">
        <f>IF(Data!J431&gt;0,Data!J431,"")</f>
        <v/>
      </c>
      <c r="K431" s="1">
        <f>IF(Data!K431&gt;0,Data!K431,"")</f>
        <v/>
      </c>
      <c r="L431" s="1">
        <f>IF(Data!L431&gt;0,Data!L431,"")</f>
        <v/>
      </c>
      <c r="M431" s="1">
        <f>IF(Data!M431&gt;0,Data!M431,"")</f>
        <v/>
      </c>
      <c r="N431" s="1">
        <f>IF(Data!N431&gt;0,Data!N431,"")</f>
        <v/>
      </c>
      <c r="O431" s="1">
        <f>IF(Data!O431&gt;0,Data!O431,"")</f>
        <v/>
      </c>
      <c r="P431" s="1">
        <f>IF(Data!P431&gt;0,Data!P431,"")</f>
        <v/>
      </c>
      <c r="Q431" s="1">
        <f>IF(Data!Q431&gt;0,Data!Q431,"")</f>
        <v/>
      </c>
      <c r="R431" s="1">
        <f>IF(Data!R431&gt;0,Data!R431,"")</f>
        <v/>
      </c>
      <c r="S431" s="1">
        <f>IF(Data!S431&gt;0,Data!S431,"")</f>
        <v/>
      </c>
      <c r="V431" s="3">
        <f>IF(COUNT(D431,J431,K431,L431,M431,O431)&gt;0,AVERAGE(D431,J431,K431,L431,M431,O431),"")</f>
        <v/>
      </c>
      <c r="W431" s="3">
        <f>IF(COUNT(C431,F431,G431,N431,Q431)&gt;0,AVERAGE(C431,F431,G431,N431,Q431),"")</f>
        <v/>
      </c>
      <c r="X431" s="3">
        <f>IF(COUNT(B431,E431,H431,I431,P431,R431,S431)&gt;0,AVERAGE(B431,E431,H431,I431,P431,R431,S431),"")</f>
        <v/>
      </c>
      <c r="Y431" s="3" t="n"/>
      <c r="AJ431">
        <f>IFERROR(AVERAGEIF($A$4:$A$1004,AI431,$V$4:$V$1004),"")</f>
        <v/>
      </c>
      <c r="AK431">
        <f>IFERROR(AVERAGEIF($A$4:$A$1004,AI431,$W$4:$W$1004),"")</f>
        <v/>
      </c>
      <c r="AL431">
        <f>IFERROR(AVERAGEIF($A$4:$A$1004,AI431,$X$4:$X$1004),"")</f>
        <v/>
      </c>
    </row>
    <row r="432">
      <c r="A432" s="1">
        <f>IF(Data!A432&gt;0,Data!A432,"")</f>
        <v/>
      </c>
      <c r="B432" s="1">
        <f>IF(Data!B432&gt;0,Data!B432,"")</f>
        <v/>
      </c>
      <c r="C432" s="1">
        <f>IF(Data!C432&gt;0,Data!C432,"")</f>
        <v/>
      </c>
      <c r="D432" s="1">
        <f>IF(Data!D432&gt;0,Data!D432,"")</f>
        <v/>
      </c>
      <c r="E432" s="1">
        <f>IF(Data!E432&gt;0,Data!E432,"")</f>
        <v/>
      </c>
      <c r="F432" s="1">
        <f>IF(Data!F432&gt;0,Data!F432,"")</f>
        <v/>
      </c>
      <c r="G432" s="1">
        <f>IF(Data!G432&gt;0,Data!G432,"")</f>
        <v/>
      </c>
      <c r="H432" s="1">
        <f>IF(Data!H432&gt;0,Data!H432,"")</f>
        <v/>
      </c>
      <c r="I432" s="1">
        <f>IF(Data!I432&gt;0,Data!I432,"")</f>
        <v/>
      </c>
      <c r="J432" s="1">
        <f>IF(Data!J432&gt;0,Data!J432,"")</f>
        <v/>
      </c>
      <c r="K432" s="1">
        <f>IF(Data!K432&gt;0,Data!K432,"")</f>
        <v/>
      </c>
      <c r="L432" s="1">
        <f>IF(Data!L432&gt;0,Data!L432,"")</f>
        <v/>
      </c>
      <c r="M432" s="1">
        <f>IF(Data!M432&gt;0,Data!M432,"")</f>
        <v/>
      </c>
      <c r="N432" s="1">
        <f>IF(Data!N432&gt;0,Data!N432,"")</f>
        <v/>
      </c>
      <c r="O432" s="1">
        <f>IF(Data!O432&gt;0,Data!O432,"")</f>
        <v/>
      </c>
      <c r="P432" s="1">
        <f>IF(Data!P432&gt;0,Data!P432,"")</f>
        <v/>
      </c>
      <c r="Q432" s="1">
        <f>IF(Data!Q432&gt;0,Data!Q432,"")</f>
        <v/>
      </c>
      <c r="R432" s="1">
        <f>IF(Data!R432&gt;0,Data!R432,"")</f>
        <v/>
      </c>
      <c r="S432" s="1">
        <f>IF(Data!S432&gt;0,Data!S432,"")</f>
        <v/>
      </c>
      <c r="V432" s="3">
        <f>IF(COUNT(D432,J432,K432,L432,M432,O432)&gt;0,AVERAGE(D432,J432,K432,L432,M432,O432),"")</f>
        <v/>
      </c>
      <c r="W432" s="3">
        <f>IF(COUNT(C432,F432,G432,N432,Q432)&gt;0,AVERAGE(C432,F432,G432,N432,Q432),"")</f>
        <v/>
      </c>
      <c r="X432" s="3">
        <f>IF(COUNT(B432,E432,H432,I432,P432,R432,S432)&gt;0,AVERAGE(B432,E432,H432,I432,P432,R432,S432),"")</f>
        <v/>
      </c>
      <c r="Y432" s="3" t="n"/>
      <c r="AJ432">
        <f>IFERROR(AVERAGEIF($A$4:$A$1004,AI432,$V$4:$V$1004),"")</f>
        <v/>
      </c>
      <c r="AK432">
        <f>IFERROR(AVERAGEIF($A$4:$A$1004,AI432,$W$4:$W$1004),"")</f>
        <v/>
      </c>
      <c r="AL432">
        <f>IFERROR(AVERAGEIF($A$4:$A$1004,AI432,$X$4:$X$1004),"")</f>
        <v/>
      </c>
    </row>
    <row r="433">
      <c r="A433" s="1">
        <f>IF(Data!A433&gt;0,Data!A433,"")</f>
        <v/>
      </c>
      <c r="B433" s="1">
        <f>IF(Data!B433&gt;0,Data!B433,"")</f>
        <v/>
      </c>
      <c r="C433" s="1">
        <f>IF(Data!C433&gt;0,Data!C433,"")</f>
        <v/>
      </c>
      <c r="D433" s="1">
        <f>IF(Data!D433&gt;0,Data!D433,"")</f>
        <v/>
      </c>
      <c r="E433" s="1">
        <f>IF(Data!E433&gt;0,Data!E433,"")</f>
        <v/>
      </c>
      <c r="F433" s="1">
        <f>IF(Data!F433&gt;0,Data!F433,"")</f>
        <v/>
      </c>
      <c r="G433" s="1">
        <f>IF(Data!G433&gt;0,Data!G433,"")</f>
        <v/>
      </c>
      <c r="H433" s="1">
        <f>IF(Data!H433&gt;0,Data!H433,"")</f>
        <v/>
      </c>
      <c r="I433" s="1">
        <f>IF(Data!I433&gt;0,Data!I433,"")</f>
        <v/>
      </c>
      <c r="J433" s="1">
        <f>IF(Data!J433&gt;0,Data!J433,"")</f>
        <v/>
      </c>
      <c r="K433" s="1">
        <f>IF(Data!K433&gt;0,Data!K433,"")</f>
        <v/>
      </c>
      <c r="L433" s="1">
        <f>IF(Data!L433&gt;0,Data!L433,"")</f>
        <v/>
      </c>
      <c r="M433" s="1">
        <f>IF(Data!M433&gt;0,Data!M433,"")</f>
        <v/>
      </c>
      <c r="N433" s="1">
        <f>IF(Data!N433&gt;0,Data!N433,"")</f>
        <v/>
      </c>
      <c r="O433" s="1">
        <f>IF(Data!O433&gt;0,Data!O433,"")</f>
        <v/>
      </c>
      <c r="P433" s="1">
        <f>IF(Data!P433&gt;0,Data!P433,"")</f>
        <v/>
      </c>
      <c r="Q433" s="1">
        <f>IF(Data!Q433&gt;0,Data!Q433,"")</f>
        <v/>
      </c>
      <c r="R433" s="1">
        <f>IF(Data!R433&gt;0,Data!R433,"")</f>
        <v/>
      </c>
      <c r="S433" s="1">
        <f>IF(Data!S433&gt;0,Data!S433,"")</f>
        <v/>
      </c>
      <c r="V433" s="3">
        <f>IF(COUNT(D433,J433,K433,L433,M433,O433)&gt;0,AVERAGE(D433,J433,K433,L433,M433,O433),"")</f>
        <v/>
      </c>
      <c r="W433" s="3">
        <f>IF(COUNT(C433,F433,G433,N433,Q433)&gt;0,AVERAGE(C433,F433,G433,N433,Q433),"")</f>
        <v/>
      </c>
      <c r="X433" s="3">
        <f>IF(COUNT(B433,E433,H433,I433,P433,R433,S433)&gt;0,AVERAGE(B433,E433,H433,I433,P433,R433,S433),"")</f>
        <v/>
      </c>
      <c r="Y433" s="3" t="n"/>
      <c r="AJ433">
        <f>IFERROR(AVERAGEIF($A$4:$A$1004,AI433,$V$4:$V$1004),"")</f>
        <v/>
      </c>
      <c r="AK433">
        <f>IFERROR(AVERAGEIF($A$4:$A$1004,AI433,$W$4:$W$1004),"")</f>
        <v/>
      </c>
      <c r="AL433">
        <f>IFERROR(AVERAGEIF($A$4:$A$1004,AI433,$X$4:$X$1004),"")</f>
        <v/>
      </c>
    </row>
    <row r="434">
      <c r="A434" s="1">
        <f>IF(Data!A434&gt;0,Data!A434,"")</f>
        <v/>
      </c>
      <c r="B434" s="1">
        <f>IF(Data!B434&gt;0,Data!B434,"")</f>
        <v/>
      </c>
      <c r="C434" s="1">
        <f>IF(Data!C434&gt;0,Data!C434,"")</f>
        <v/>
      </c>
      <c r="D434" s="1">
        <f>IF(Data!D434&gt;0,Data!D434,"")</f>
        <v/>
      </c>
      <c r="E434" s="1">
        <f>IF(Data!E434&gt;0,Data!E434,"")</f>
        <v/>
      </c>
      <c r="F434" s="1">
        <f>IF(Data!F434&gt;0,Data!F434,"")</f>
        <v/>
      </c>
      <c r="G434" s="1">
        <f>IF(Data!G434&gt;0,Data!G434,"")</f>
        <v/>
      </c>
      <c r="H434" s="1">
        <f>IF(Data!H434&gt;0,Data!H434,"")</f>
        <v/>
      </c>
      <c r="I434" s="1">
        <f>IF(Data!I434&gt;0,Data!I434,"")</f>
        <v/>
      </c>
      <c r="J434" s="1">
        <f>IF(Data!J434&gt;0,Data!J434,"")</f>
        <v/>
      </c>
      <c r="K434" s="1">
        <f>IF(Data!K434&gt;0,Data!K434,"")</f>
        <v/>
      </c>
      <c r="L434" s="1">
        <f>IF(Data!L434&gt;0,Data!L434,"")</f>
        <v/>
      </c>
      <c r="M434" s="1">
        <f>IF(Data!M434&gt;0,Data!M434,"")</f>
        <v/>
      </c>
      <c r="N434" s="1">
        <f>IF(Data!N434&gt;0,Data!N434,"")</f>
        <v/>
      </c>
      <c r="O434" s="1">
        <f>IF(Data!O434&gt;0,Data!O434,"")</f>
        <v/>
      </c>
      <c r="P434" s="1">
        <f>IF(Data!P434&gt;0,Data!P434,"")</f>
        <v/>
      </c>
      <c r="Q434" s="1">
        <f>IF(Data!Q434&gt;0,Data!Q434,"")</f>
        <v/>
      </c>
      <c r="R434" s="1">
        <f>IF(Data!R434&gt;0,Data!R434,"")</f>
        <v/>
      </c>
      <c r="S434" s="1">
        <f>IF(Data!S434&gt;0,Data!S434,"")</f>
        <v/>
      </c>
      <c r="V434" s="3">
        <f>IF(COUNT(D434,J434,K434,L434,M434,O434)&gt;0,AVERAGE(D434,J434,K434,L434,M434,O434),"")</f>
        <v/>
      </c>
      <c r="W434" s="3">
        <f>IF(COUNT(C434,F434,G434,N434,Q434)&gt;0,AVERAGE(C434,F434,G434,N434,Q434),"")</f>
        <v/>
      </c>
      <c r="X434" s="3">
        <f>IF(COUNT(B434,E434,H434,I434,P434,R434,S434)&gt;0,AVERAGE(B434,E434,H434,I434,P434,R434,S434),"")</f>
        <v/>
      </c>
      <c r="Y434" s="3" t="n"/>
      <c r="AJ434">
        <f>IFERROR(AVERAGEIF($A$4:$A$1004,AI434,$V$4:$V$1004),"")</f>
        <v/>
      </c>
      <c r="AK434">
        <f>IFERROR(AVERAGEIF($A$4:$A$1004,AI434,$W$4:$W$1004),"")</f>
        <v/>
      </c>
      <c r="AL434">
        <f>IFERROR(AVERAGEIF($A$4:$A$1004,AI434,$X$4:$X$1004),"")</f>
        <v/>
      </c>
    </row>
    <row r="435">
      <c r="A435" s="1">
        <f>IF(Data!A435&gt;0,Data!A435,"")</f>
        <v/>
      </c>
      <c r="B435" s="1">
        <f>IF(Data!B435&gt;0,Data!B435,"")</f>
        <v/>
      </c>
      <c r="C435" s="1">
        <f>IF(Data!C435&gt;0,Data!C435,"")</f>
        <v/>
      </c>
      <c r="D435" s="1">
        <f>IF(Data!D435&gt;0,Data!D435,"")</f>
        <v/>
      </c>
      <c r="E435" s="1">
        <f>IF(Data!E435&gt;0,Data!E435,"")</f>
        <v/>
      </c>
      <c r="F435" s="1">
        <f>IF(Data!F435&gt;0,Data!F435,"")</f>
        <v/>
      </c>
      <c r="G435" s="1">
        <f>IF(Data!G435&gt;0,Data!G435,"")</f>
        <v/>
      </c>
      <c r="H435" s="1">
        <f>IF(Data!H435&gt;0,Data!H435,"")</f>
        <v/>
      </c>
      <c r="I435" s="1">
        <f>IF(Data!I435&gt;0,Data!I435,"")</f>
        <v/>
      </c>
      <c r="J435" s="1">
        <f>IF(Data!J435&gt;0,Data!J435,"")</f>
        <v/>
      </c>
      <c r="K435" s="1">
        <f>IF(Data!K435&gt;0,Data!K435,"")</f>
        <v/>
      </c>
      <c r="L435" s="1">
        <f>IF(Data!L435&gt;0,Data!L435,"")</f>
        <v/>
      </c>
      <c r="M435" s="1">
        <f>IF(Data!M435&gt;0,Data!M435,"")</f>
        <v/>
      </c>
      <c r="N435" s="1">
        <f>IF(Data!N435&gt;0,Data!N435,"")</f>
        <v/>
      </c>
      <c r="O435" s="1">
        <f>IF(Data!O435&gt;0,Data!O435,"")</f>
        <v/>
      </c>
      <c r="P435" s="1">
        <f>IF(Data!P435&gt;0,Data!P435,"")</f>
        <v/>
      </c>
      <c r="Q435" s="1">
        <f>IF(Data!Q435&gt;0,Data!Q435,"")</f>
        <v/>
      </c>
      <c r="R435" s="1">
        <f>IF(Data!R435&gt;0,Data!R435,"")</f>
        <v/>
      </c>
      <c r="S435" s="1">
        <f>IF(Data!S435&gt;0,Data!S435,"")</f>
        <v/>
      </c>
      <c r="V435" s="3">
        <f>IF(COUNT(D435,J435,K435,L435,M435,O435)&gt;0,AVERAGE(D435,J435,K435,L435,M435,O435),"")</f>
        <v/>
      </c>
      <c r="W435" s="3">
        <f>IF(COUNT(C435,F435,G435,N435,Q435)&gt;0,AVERAGE(C435,F435,G435,N435,Q435),"")</f>
        <v/>
      </c>
      <c r="X435" s="3">
        <f>IF(COUNT(B435,E435,H435,I435,P435,R435,S435)&gt;0,AVERAGE(B435,E435,H435,I435,P435,R435,S435),"")</f>
        <v/>
      </c>
      <c r="Y435" s="3" t="n"/>
      <c r="AJ435">
        <f>IFERROR(AVERAGEIF($A$4:$A$1004,AI435,$V$4:$V$1004),"")</f>
        <v/>
      </c>
      <c r="AK435">
        <f>IFERROR(AVERAGEIF($A$4:$A$1004,AI435,$W$4:$W$1004),"")</f>
        <v/>
      </c>
      <c r="AL435">
        <f>IFERROR(AVERAGEIF($A$4:$A$1004,AI435,$X$4:$X$1004),"")</f>
        <v/>
      </c>
    </row>
    <row r="436">
      <c r="A436" s="1">
        <f>IF(Data!A436&gt;0,Data!A436,"")</f>
        <v/>
      </c>
      <c r="B436" s="1">
        <f>IF(Data!B436&gt;0,Data!B436,"")</f>
        <v/>
      </c>
      <c r="C436" s="1">
        <f>IF(Data!C436&gt;0,Data!C436,"")</f>
        <v/>
      </c>
      <c r="D436" s="1">
        <f>IF(Data!D436&gt;0,Data!D436,"")</f>
        <v/>
      </c>
      <c r="E436" s="1">
        <f>IF(Data!E436&gt;0,Data!E436,"")</f>
        <v/>
      </c>
      <c r="F436" s="1">
        <f>IF(Data!F436&gt;0,Data!F436,"")</f>
        <v/>
      </c>
      <c r="G436" s="1">
        <f>IF(Data!G436&gt;0,Data!G436,"")</f>
        <v/>
      </c>
      <c r="H436" s="1">
        <f>IF(Data!H436&gt;0,Data!H436,"")</f>
        <v/>
      </c>
      <c r="I436" s="1">
        <f>IF(Data!I436&gt;0,Data!I436,"")</f>
        <v/>
      </c>
      <c r="J436" s="1">
        <f>IF(Data!J436&gt;0,Data!J436,"")</f>
        <v/>
      </c>
      <c r="K436" s="1">
        <f>IF(Data!K436&gt;0,Data!K436,"")</f>
        <v/>
      </c>
      <c r="L436" s="1">
        <f>IF(Data!L436&gt;0,Data!L436,"")</f>
        <v/>
      </c>
      <c r="M436" s="1">
        <f>IF(Data!M436&gt;0,Data!M436,"")</f>
        <v/>
      </c>
      <c r="N436" s="1">
        <f>IF(Data!N436&gt;0,Data!N436,"")</f>
        <v/>
      </c>
      <c r="O436" s="1">
        <f>IF(Data!O436&gt;0,Data!O436,"")</f>
        <v/>
      </c>
      <c r="P436" s="1">
        <f>IF(Data!P436&gt;0,Data!P436,"")</f>
        <v/>
      </c>
      <c r="Q436" s="1">
        <f>IF(Data!Q436&gt;0,Data!Q436,"")</f>
        <v/>
      </c>
      <c r="R436" s="1">
        <f>IF(Data!R436&gt;0,Data!R436,"")</f>
        <v/>
      </c>
      <c r="S436" s="1">
        <f>IF(Data!S436&gt;0,Data!S436,"")</f>
        <v/>
      </c>
      <c r="V436" s="3">
        <f>IF(COUNT(D436,J436,K436,L436,M436,O436)&gt;0,AVERAGE(D436,J436,K436,L436,M436,O436),"")</f>
        <v/>
      </c>
      <c r="W436" s="3">
        <f>IF(COUNT(C436,F436,G436,N436,Q436)&gt;0,AVERAGE(C436,F436,G436,N436,Q436),"")</f>
        <v/>
      </c>
      <c r="X436" s="3">
        <f>IF(COUNT(B436,E436,H436,I436,P436,R436,S436)&gt;0,AVERAGE(B436,E436,H436,I436,P436,R436,S436),"")</f>
        <v/>
      </c>
      <c r="Y436" s="3" t="n"/>
      <c r="AJ436">
        <f>IFERROR(AVERAGEIF($A$4:$A$1004,AI436,$V$4:$V$1004),"")</f>
        <v/>
      </c>
      <c r="AK436">
        <f>IFERROR(AVERAGEIF($A$4:$A$1004,AI436,$W$4:$W$1004),"")</f>
        <v/>
      </c>
      <c r="AL436">
        <f>IFERROR(AVERAGEIF($A$4:$A$1004,AI436,$X$4:$X$1004),"")</f>
        <v/>
      </c>
    </row>
    <row r="437">
      <c r="A437" s="1">
        <f>IF(Data!A437&gt;0,Data!A437,"")</f>
        <v/>
      </c>
      <c r="B437" s="1">
        <f>IF(Data!B437&gt;0,Data!B437,"")</f>
        <v/>
      </c>
      <c r="C437" s="1">
        <f>IF(Data!C437&gt;0,Data!C437,"")</f>
        <v/>
      </c>
      <c r="D437" s="1">
        <f>IF(Data!D437&gt;0,Data!D437,"")</f>
        <v/>
      </c>
      <c r="E437" s="1">
        <f>IF(Data!E437&gt;0,Data!E437,"")</f>
        <v/>
      </c>
      <c r="F437" s="1">
        <f>IF(Data!F437&gt;0,Data!F437,"")</f>
        <v/>
      </c>
      <c r="G437" s="1">
        <f>IF(Data!G437&gt;0,Data!G437,"")</f>
        <v/>
      </c>
      <c r="H437" s="1">
        <f>IF(Data!H437&gt;0,Data!H437,"")</f>
        <v/>
      </c>
      <c r="I437" s="1">
        <f>IF(Data!I437&gt;0,Data!I437,"")</f>
        <v/>
      </c>
      <c r="J437" s="1">
        <f>IF(Data!J437&gt;0,Data!J437,"")</f>
        <v/>
      </c>
      <c r="K437" s="1">
        <f>IF(Data!K437&gt;0,Data!K437,"")</f>
        <v/>
      </c>
      <c r="L437" s="1">
        <f>IF(Data!L437&gt;0,Data!L437,"")</f>
        <v/>
      </c>
      <c r="M437" s="1">
        <f>IF(Data!M437&gt;0,Data!M437,"")</f>
        <v/>
      </c>
      <c r="N437" s="1">
        <f>IF(Data!N437&gt;0,Data!N437,"")</f>
        <v/>
      </c>
      <c r="O437" s="1">
        <f>IF(Data!O437&gt;0,Data!O437,"")</f>
        <v/>
      </c>
      <c r="P437" s="1">
        <f>IF(Data!P437&gt;0,Data!P437,"")</f>
        <v/>
      </c>
      <c r="Q437" s="1">
        <f>IF(Data!Q437&gt;0,Data!Q437,"")</f>
        <v/>
      </c>
      <c r="R437" s="1">
        <f>IF(Data!R437&gt;0,Data!R437,"")</f>
        <v/>
      </c>
      <c r="S437" s="1">
        <f>IF(Data!S437&gt;0,Data!S437,"")</f>
        <v/>
      </c>
      <c r="V437" s="3">
        <f>IF(COUNT(D437,J437,K437,L437,M437,O437)&gt;0,AVERAGE(D437,J437,K437,L437,M437,O437),"")</f>
        <v/>
      </c>
      <c r="W437" s="3">
        <f>IF(COUNT(C437,F437,G437,N437,Q437)&gt;0,AVERAGE(C437,F437,G437,N437,Q437),"")</f>
        <v/>
      </c>
      <c r="X437" s="3">
        <f>IF(COUNT(B437,E437,H437,I437,P437,R437,S437)&gt;0,AVERAGE(B437,E437,H437,I437,P437,R437,S437),"")</f>
        <v/>
      </c>
      <c r="Y437" s="3" t="n"/>
      <c r="AJ437">
        <f>IFERROR(AVERAGEIF($A$4:$A$1004,AI437,$V$4:$V$1004),"")</f>
        <v/>
      </c>
      <c r="AK437">
        <f>IFERROR(AVERAGEIF($A$4:$A$1004,AI437,$W$4:$W$1004),"")</f>
        <v/>
      </c>
      <c r="AL437">
        <f>IFERROR(AVERAGEIF($A$4:$A$1004,AI437,$X$4:$X$1004),"")</f>
        <v/>
      </c>
    </row>
    <row r="438">
      <c r="A438" s="1">
        <f>IF(Data!A438&gt;0,Data!A438,"")</f>
        <v/>
      </c>
      <c r="B438" s="1">
        <f>IF(Data!B438&gt;0,Data!B438,"")</f>
        <v/>
      </c>
      <c r="C438" s="1">
        <f>IF(Data!C438&gt;0,Data!C438,"")</f>
        <v/>
      </c>
      <c r="D438" s="1">
        <f>IF(Data!D438&gt;0,Data!D438,"")</f>
        <v/>
      </c>
      <c r="E438" s="1">
        <f>IF(Data!E438&gt;0,Data!E438,"")</f>
        <v/>
      </c>
      <c r="F438" s="1">
        <f>IF(Data!F438&gt;0,Data!F438,"")</f>
        <v/>
      </c>
      <c r="G438" s="1">
        <f>IF(Data!G438&gt;0,Data!G438,"")</f>
        <v/>
      </c>
      <c r="H438" s="1">
        <f>IF(Data!H438&gt;0,Data!H438,"")</f>
        <v/>
      </c>
      <c r="I438" s="1">
        <f>IF(Data!I438&gt;0,Data!I438,"")</f>
        <v/>
      </c>
      <c r="J438" s="1">
        <f>IF(Data!J438&gt;0,Data!J438,"")</f>
        <v/>
      </c>
      <c r="K438" s="1">
        <f>IF(Data!K438&gt;0,Data!K438,"")</f>
        <v/>
      </c>
      <c r="L438" s="1">
        <f>IF(Data!L438&gt;0,Data!L438,"")</f>
        <v/>
      </c>
      <c r="M438" s="1">
        <f>IF(Data!M438&gt;0,Data!M438,"")</f>
        <v/>
      </c>
      <c r="N438" s="1">
        <f>IF(Data!N438&gt;0,Data!N438,"")</f>
        <v/>
      </c>
      <c r="O438" s="1">
        <f>IF(Data!O438&gt;0,Data!O438,"")</f>
        <v/>
      </c>
      <c r="P438" s="1">
        <f>IF(Data!P438&gt;0,Data!P438,"")</f>
        <v/>
      </c>
      <c r="Q438" s="1">
        <f>IF(Data!Q438&gt;0,Data!Q438,"")</f>
        <v/>
      </c>
      <c r="R438" s="1">
        <f>IF(Data!R438&gt;0,Data!R438,"")</f>
        <v/>
      </c>
      <c r="S438" s="1">
        <f>IF(Data!S438&gt;0,Data!S438,"")</f>
        <v/>
      </c>
      <c r="V438" s="3">
        <f>IF(COUNT(D438,J438,K438,L438,M438,O438)&gt;0,AVERAGE(D438,J438,K438,L438,M438,O438),"")</f>
        <v/>
      </c>
      <c r="W438" s="3">
        <f>IF(COUNT(C438,F438,G438,N438,Q438)&gt;0,AVERAGE(C438,F438,G438,N438,Q438),"")</f>
        <v/>
      </c>
      <c r="X438" s="3">
        <f>IF(COUNT(B438,E438,H438,I438,P438,R438,S438)&gt;0,AVERAGE(B438,E438,H438,I438,P438,R438,S438),"")</f>
        <v/>
      </c>
      <c r="Y438" s="3" t="n"/>
      <c r="AJ438">
        <f>IFERROR(AVERAGEIF($A$4:$A$1004,AI438,$V$4:$V$1004),"")</f>
        <v/>
      </c>
      <c r="AK438">
        <f>IFERROR(AVERAGEIF($A$4:$A$1004,AI438,$W$4:$W$1004),"")</f>
        <v/>
      </c>
      <c r="AL438">
        <f>IFERROR(AVERAGEIF($A$4:$A$1004,AI438,$X$4:$X$1004),"")</f>
        <v/>
      </c>
    </row>
    <row r="439">
      <c r="A439" s="1">
        <f>IF(Data!A439&gt;0,Data!A439,"")</f>
        <v/>
      </c>
      <c r="B439" s="1">
        <f>IF(Data!B439&gt;0,Data!B439,"")</f>
        <v/>
      </c>
      <c r="C439" s="1">
        <f>IF(Data!C439&gt;0,Data!C439,"")</f>
        <v/>
      </c>
      <c r="D439" s="1">
        <f>IF(Data!D439&gt;0,Data!D439,"")</f>
        <v/>
      </c>
      <c r="E439" s="1">
        <f>IF(Data!E439&gt;0,Data!E439,"")</f>
        <v/>
      </c>
      <c r="F439" s="1">
        <f>IF(Data!F439&gt;0,Data!F439,"")</f>
        <v/>
      </c>
      <c r="G439" s="1">
        <f>IF(Data!G439&gt;0,Data!G439,"")</f>
        <v/>
      </c>
      <c r="H439" s="1">
        <f>IF(Data!H439&gt;0,Data!H439,"")</f>
        <v/>
      </c>
      <c r="I439" s="1">
        <f>IF(Data!I439&gt;0,Data!I439,"")</f>
        <v/>
      </c>
      <c r="J439" s="1">
        <f>IF(Data!J439&gt;0,Data!J439,"")</f>
        <v/>
      </c>
      <c r="K439" s="1">
        <f>IF(Data!K439&gt;0,Data!K439,"")</f>
        <v/>
      </c>
      <c r="L439" s="1">
        <f>IF(Data!L439&gt;0,Data!L439,"")</f>
        <v/>
      </c>
      <c r="M439" s="1">
        <f>IF(Data!M439&gt;0,Data!M439,"")</f>
        <v/>
      </c>
      <c r="N439" s="1">
        <f>IF(Data!N439&gt;0,Data!N439,"")</f>
        <v/>
      </c>
      <c r="O439" s="1">
        <f>IF(Data!O439&gt;0,Data!O439,"")</f>
        <v/>
      </c>
      <c r="P439" s="1">
        <f>IF(Data!P439&gt;0,Data!P439,"")</f>
        <v/>
      </c>
      <c r="Q439" s="1">
        <f>IF(Data!Q439&gt;0,Data!Q439,"")</f>
        <v/>
      </c>
      <c r="R439" s="1">
        <f>IF(Data!R439&gt;0,Data!R439,"")</f>
        <v/>
      </c>
      <c r="S439" s="1">
        <f>IF(Data!S439&gt;0,Data!S439,"")</f>
        <v/>
      </c>
      <c r="V439" s="3">
        <f>IF(COUNT(D439,J439,K439,L439,M439,O439)&gt;0,AVERAGE(D439,J439,K439,L439,M439,O439),"")</f>
        <v/>
      </c>
      <c r="W439" s="3">
        <f>IF(COUNT(C439,F439,G439,N439,Q439)&gt;0,AVERAGE(C439,F439,G439,N439,Q439),"")</f>
        <v/>
      </c>
      <c r="X439" s="3">
        <f>IF(COUNT(B439,E439,H439,I439,P439,R439,S439)&gt;0,AVERAGE(B439,E439,H439,I439,P439,R439,S439),"")</f>
        <v/>
      </c>
      <c r="Y439" s="3" t="n"/>
      <c r="AJ439">
        <f>IFERROR(AVERAGEIF($A$4:$A$1004,AI439,$V$4:$V$1004),"")</f>
        <v/>
      </c>
      <c r="AK439">
        <f>IFERROR(AVERAGEIF($A$4:$A$1004,AI439,$W$4:$W$1004),"")</f>
        <v/>
      </c>
      <c r="AL439">
        <f>IFERROR(AVERAGEIF($A$4:$A$1004,AI439,$X$4:$X$1004),"")</f>
        <v/>
      </c>
    </row>
    <row r="440">
      <c r="A440" s="1">
        <f>IF(Data!A440&gt;0,Data!A440,"")</f>
        <v/>
      </c>
      <c r="B440" s="1">
        <f>IF(Data!B440&gt;0,Data!B440,"")</f>
        <v/>
      </c>
      <c r="C440" s="1">
        <f>IF(Data!C440&gt;0,Data!C440,"")</f>
        <v/>
      </c>
      <c r="D440" s="1">
        <f>IF(Data!D440&gt;0,Data!D440,"")</f>
        <v/>
      </c>
      <c r="E440" s="1">
        <f>IF(Data!E440&gt;0,Data!E440,"")</f>
        <v/>
      </c>
      <c r="F440" s="1">
        <f>IF(Data!F440&gt;0,Data!F440,"")</f>
        <v/>
      </c>
      <c r="G440" s="1">
        <f>IF(Data!G440&gt;0,Data!G440,"")</f>
        <v/>
      </c>
      <c r="H440" s="1">
        <f>IF(Data!H440&gt;0,Data!H440,"")</f>
        <v/>
      </c>
      <c r="I440" s="1">
        <f>IF(Data!I440&gt;0,Data!I440,"")</f>
        <v/>
      </c>
      <c r="J440" s="1">
        <f>IF(Data!J440&gt;0,Data!J440,"")</f>
        <v/>
      </c>
      <c r="K440" s="1">
        <f>IF(Data!K440&gt;0,Data!K440,"")</f>
        <v/>
      </c>
      <c r="L440" s="1">
        <f>IF(Data!L440&gt;0,Data!L440,"")</f>
        <v/>
      </c>
      <c r="M440" s="1">
        <f>IF(Data!M440&gt;0,Data!M440,"")</f>
        <v/>
      </c>
      <c r="N440" s="1">
        <f>IF(Data!N440&gt;0,Data!N440,"")</f>
        <v/>
      </c>
      <c r="O440" s="1">
        <f>IF(Data!O440&gt;0,Data!O440,"")</f>
        <v/>
      </c>
      <c r="P440" s="1">
        <f>IF(Data!P440&gt;0,Data!P440,"")</f>
        <v/>
      </c>
      <c r="Q440" s="1">
        <f>IF(Data!Q440&gt;0,Data!Q440,"")</f>
        <v/>
      </c>
      <c r="R440" s="1">
        <f>IF(Data!R440&gt;0,Data!R440,"")</f>
        <v/>
      </c>
      <c r="S440" s="1">
        <f>IF(Data!S440&gt;0,Data!S440,"")</f>
        <v/>
      </c>
      <c r="V440" s="3">
        <f>IF(COUNT(D440,J440,K440,L440,M440,O440)&gt;0,AVERAGE(D440,J440,K440,L440,M440,O440),"")</f>
        <v/>
      </c>
      <c r="W440" s="3">
        <f>IF(COUNT(C440,F440,G440,N440,Q440)&gt;0,AVERAGE(C440,F440,G440,N440,Q440),"")</f>
        <v/>
      </c>
      <c r="X440" s="3">
        <f>IF(COUNT(B440,E440,H440,I440,P440,R440,S440)&gt;0,AVERAGE(B440,E440,H440,I440,P440,R440,S440),"")</f>
        <v/>
      </c>
      <c r="Y440" s="3" t="n"/>
      <c r="AJ440">
        <f>IFERROR(AVERAGEIF($A$4:$A$1004,AI440,$V$4:$V$1004),"")</f>
        <v/>
      </c>
      <c r="AK440">
        <f>IFERROR(AVERAGEIF($A$4:$A$1004,AI440,$W$4:$W$1004),"")</f>
        <v/>
      </c>
      <c r="AL440">
        <f>IFERROR(AVERAGEIF($A$4:$A$1004,AI440,$X$4:$X$1004),"")</f>
        <v/>
      </c>
    </row>
    <row r="441">
      <c r="A441" s="1">
        <f>IF(Data!A441&gt;0,Data!A441,"")</f>
        <v/>
      </c>
      <c r="B441" s="1">
        <f>IF(Data!B441&gt;0,Data!B441,"")</f>
        <v/>
      </c>
      <c r="C441" s="1">
        <f>IF(Data!C441&gt;0,Data!C441,"")</f>
        <v/>
      </c>
      <c r="D441" s="1">
        <f>IF(Data!D441&gt;0,Data!D441,"")</f>
        <v/>
      </c>
      <c r="E441" s="1">
        <f>IF(Data!E441&gt;0,Data!E441,"")</f>
        <v/>
      </c>
      <c r="F441" s="1">
        <f>IF(Data!F441&gt;0,Data!F441,"")</f>
        <v/>
      </c>
      <c r="G441" s="1">
        <f>IF(Data!G441&gt;0,Data!G441,"")</f>
        <v/>
      </c>
      <c r="H441" s="1">
        <f>IF(Data!H441&gt;0,Data!H441,"")</f>
        <v/>
      </c>
      <c r="I441" s="1">
        <f>IF(Data!I441&gt;0,Data!I441,"")</f>
        <v/>
      </c>
      <c r="J441" s="1">
        <f>IF(Data!J441&gt;0,Data!J441,"")</f>
        <v/>
      </c>
      <c r="K441" s="1">
        <f>IF(Data!K441&gt;0,Data!K441,"")</f>
        <v/>
      </c>
      <c r="L441" s="1">
        <f>IF(Data!L441&gt;0,Data!L441,"")</f>
        <v/>
      </c>
      <c r="M441" s="1">
        <f>IF(Data!M441&gt;0,Data!M441,"")</f>
        <v/>
      </c>
      <c r="N441" s="1">
        <f>IF(Data!N441&gt;0,Data!N441,"")</f>
        <v/>
      </c>
      <c r="O441" s="1">
        <f>IF(Data!O441&gt;0,Data!O441,"")</f>
        <v/>
      </c>
      <c r="P441" s="1">
        <f>IF(Data!P441&gt;0,Data!P441,"")</f>
        <v/>
      </c>
      <c r="Q441" s="1">
        <f>IF(Data!Q441&gt;0,Data!Q441,"")</f>
        <v/>
      </c>
      <c r="R441" s="1">
        <f>IF(Data!R441&gt;0,Data!R441,"")</f>
        <v/>
      </c>
      <c r="S441" s="1">
        <f>IF(Data!S441&gt;0,Data!S441,"")</f>
        <v/>
      </c>
      <c r="V441" s="3">
        <f>IF(COUNT(D441,J441,K441,L441,M441,O441)&gt;0,AVERAGE(D441,J441,K441,L441,M441,O441),"")</f>
        <v/>
      </c>
      <c r="W441" s="3">
        <f>IF(COUNT(C441,F441,G441,N441,Q441)&gt;0,AVERAGE(C441,F441,G441,N441,Q441),"")</f>
        <v/>
      </c>
      <c r="X441" s="3">
        <f>IF(COUNT(B441,E441,H441,I441,P441,R441,S441)&gt;0,AVERAGE(B441,E441,H441,I441,P441,R441,S441),"")</f>
        <v/>
      </c>
      <c r="Y441" s="3" t="n"/>
      <c r="AJ441">
        <f>IFERROR(AVERAGEIF($A$4:$A$1004,AI441,$V$4:$V$1004),"")</f>
        <v/>
      </c>
      <c r="AK441">
        <f>IFERROR(AVERAGEIF($A$4:$A$1004,AI441,$W$4:$W$1004),"")</f>
        <v/>
      </c>
      <c r="AL441">
        <f>IFERROR(AVERAGEIF($A$4:$A$1004,AI441,$X$4:$X$1004),"")</f>
        <v/>
      </c>
    </row>
    <row r="442">
      <c r="A442" s="1">
        <f>IF(Data!A442&gt;0,Data!A442,"")</f>
        <v/>
      </c>
      <c r="B442" s="1">
        <f>IF(Data!B442&gt;0,Data!B442,"")</f>
        <v/>
      </c>
      <c r="C442" s="1">
        <f>IF(Data!C442&gt;0,Data!C442,"")</f>
        <v/>
      </c>
      <c r="D442" s="1">
        <f>IF(Data!D442&gt;0,Data!D442,"")</f>
        <v/>
      </c>
      <c r="E442" s="1">
        <f>IF(Data!E442&gt;0,Data!E442,"")</f>
        <v/>
      </c>
      <c r="F442" s="1">
        <f>IF(Data!F442&gt;0,Data!F442,"")</f>
        <v/>
      </c>
      <c r="G442" s="1">
        <f>IF(Data!G442&gt;0,Data!G442,"")</f>
        <v/>
      </c>
      <c r="H442" s="1">
        <f>IF(Data!H442&gt;0,Data!H442,"")</f>
        <v/>
      </c>
      <c r="I442" s="1">
        <f>IF(Data!I442&gt;0,Data!I442,"")</f>
        <v/>
      </c>
      <c r="J442" s="1">
        <f>IF(Data!J442&gt;0,Data!J442,"")</f>
        <v/>
      </c>
      <c r="K442" s="1">
        <f>IF(Data!K442&gt;0,Data!K442,"")</f>
        <v/>
      </c>
      <c r="L442" s="1">
        <f>IF(Data!L442&gt;0,Data!L442,"")</f>
        <v/>
      </c>
      <c r="M442" s="1">
        <f>IF(Data!M442&gt;0,Data!M442,"")</f>
        <v/>
      </c>
      <c r="N442" s="1">
        <f>IF(Data!N442&gt;0,Data!N442,"")</f>
        <v/>
      </c>
      <c r="O442" s="1">
        <f>IF(Data!O442&gt;0,Data!O442,"")</f>
        <v/>
      </c>
      <c r="P442" s="1">
        <f>IF(Data!P442&gt;0,Data!P442,"")</f>
        <v/>
      </c>
      <c r="Q442" s="1">
        <f>IF(Data!Q442&gt;0,Data!Q442,"")</f>
        <v/>
      </c>
      <c r="R442" s="1">
        <f>IF(Data!R442&gt;0,Data!R442,"")</f>
        <v/>
      </c>
      <c r="S442" s="1">
        <f>IF(Data!S442&gt;0,Data!S442,"")</f>
        <v/>
      </c>
      <c r="V442" s="3">
        <f>IF(COUNT(D442,J442,K442,L442,M442,O442)&gt;0,AVERAGE(D442,J442,K442,L442,M442,O442),"")</f>
        <v/>
      </c>
      <c r="W442" s="3">
        <f>IF(COUNT(C442,F442,G442,N442,Q442)&gt;0,AVERAGE(C442,F442,G442,N442,Q442),"")</f>
        <v/>
      </c>
      <c r="X442" s="3">
        <f>IF(COUNT(B442,E442,H442,I442,P442,R442,S442)&gt;0,AVERAGE(B442,E442,H442,I442,P442,R442,S442),"")</f>
        <v/>
      </c>
      <c r="Y442" s="3" t="n"/>
      <c r="AJ442">
        <f>IFERROR(AVERAGEIF($A$4:$A$1004,AI442,$V$4:$V$1004),"")</f>
        <v/>
      </c>
      <c r="AK442">
        <f>IFERROR(AVERAGEIF($A$4:$A$1004,AI442,$W$4:$W$1004),"")</f>
        <v/>
      </c>
      <c r="AL442">
        <f>IFERROR(AVERAGEIF($A$4:$A$1004,AI442,$X$4:$X$1004),"")</f>
        <v/>
      </c>
    </row>
    <row r="443">
      <c r="A443" s="1">
        <f>IF(Data!A443&gt;0,Data!A443,"")</f>
        <v/>
      </c>
      <c r="B443" s="1">
        <f>IF(Data!B443&gt;0,Data!B443,"")</f>
        <v/>
      </c>
      <c r="C443" s="1">
        <f>IF(Data!C443&gt;0,Data!C443,"")</f>
        <v/>
      </c>
      <c r="D443" s="1">
        <f>IF(Data!D443&gt;0,Data!D443,"")</f>
        <v/>
      </c>
      <c r="E443" s="1">
        <f>IF(Data!E443&gt;0,Data!E443,"")</f>
        <v/>
      </c>
      <c r="F443" s="1">
        <f>IF(Data!F443&gt;0,Data!F443,"")</f>
        <v/>
      </c>
      <c r="G443" s="1">
        <f>IF(Data!G443&gt;0,Data!G443,"")</f>
        <v/>
      </c>
      <c r="H443" s="1">
        <f>IF(Data!H443&gt;0,Data!H443,"")</f>
        <v/>
      </c>
      <c r="I443" s="1">
        <f>IF(Data!I443&gt;0,Data!I443,"")</f>
        <v/>
      </c>
      <c r="J443" s="1">
        <f>IF(Data!J443&gt;0,Data!J443,"")</f>
        <v/>
      </c>
      <c r="K443" s="1">
        <f>IF(Data!K443&gt;0,Data!K443,"")</f>
        <v/>
      </c>
      <c r="L443" s="1">
        <f>IF(Data!L443&gt;0,Data!L443,"")</f>
        <v/>
      </c>
      <c r="M443" s="1">
        <f>IF(Data!M443&gt;0,Data!M443,"")</f>
        <v/>
      </c>
      <c r="N443" s="1">
        <f>IF(Data!N443&gt;0,Data!N443,"")</f>
        <v/>
      </c>
      <c r="O443" s="1">
        <f>IF(Data!O443&gt;0,Data!O443,"")</f>
        <v/>
      </c>
      <c r="P443" s="1">
        <f>IF(Data!P443&gt;0,Data!P443,"")</f>
        <v/>
      </c>
      <c r="Q443" s="1">
        <f>IF(Data!Q443&gt;0,Data!Q443,"")</f>
        <v/>
      </c>
      <c r="R443" s="1">
        <f>IF(Data!R443&gt;0,Data!R443,"")</f>
        <v/>
      </c>
      <c r="S443" s="1">
        <f>IF(Data!S443&gt;0,Data!S443,"")</f>
        <v/>
      </c>
      <c r="V443" s="3">
        <f>IF(COUNT(D443,J443,K443,L443,M443,O443)&gt;0,AVERAGE(D443,J443,K443,L443,M443,O443),"")</f>
        <v/>
      </c>
      <c r="W443" s="3">
        <f>IF(COUNT(C443,F443,G443,N443,Q443)&gt;0,AVERAGE(C443,F443,G443,N443,Q443),"")</f>
        <v/>
      </c>
      <c r="X443" s="3">
        <f>IF(COUNT(B443,E443,H443,I443,P443,R443,S443)&gt;0,AVERAGE(B443,E443,H443,I443,P443,R443,S443),"")</f>
        <v/>
      </c>
      <c r="Y443" s="3" t="n"/>
      <c r="AJ443">
        <f>IFERROR(AVERAGEIF($A$4:$A$1004,AI443,$V$4:$V$1004),"")</f>
        <v/>
      </c>
      <c r="AK443">
        <f>IFERROR(AVERAGEIF($A$4:$A$1004,AI443,$W$4:$W$1004),"")</f>
        <v/>
      </c>
      <c r="AL443">
        <f>IFERROR(AVERAGEIF($A$4:$A$1004,AI443,$X$4:$X$1004),"")</f>
        <v/>
      </c>
    </row>
    <row r="444">
      <c r="A444" s="1">
        <f>IF(Data!A444&gt;0,Data!A444,"")</f>
        <v/>
      </c>
      <c r="B444" s="1">
        <f>IF(Data!B444&gt;0,Data!B444,"")</f>
        <v/>
      </c>
      <c r="C444" s="1">
        <f>IF(Data!C444&gt;0,Data!C444,"")</f>
        <v/>
      </c>
      <c r="D444" s="1">
        <f>IF(Data!D444&gt;0,Data!D444,"")</f>
        <v/>
      </c>
      <c r="E444" s="1">
        <f>IF(Data!E444&gt;0,Data!E444,"")</f>
        <v/>
      </c>
      <c r="F444" s="1">
        <f>IF(Data!F444&gt;0,Data!F444,"")</f>
        <v/>
      </c>
      <c r="G444" s="1">
        <f>IF(Data!G444&gt;0,Data!G444,"")</f>
        <v/>
      </c>
      <c r="H444" s="1">
        <f>IF(Data!H444&gt;0,Data!H444,"")</f>
        <v/>
      </c>
      <c r="I444" s="1">
        <f>IF(Data!I444&gt;0,Data!I444,"")</f>
        <v/>
      </c>
      <c r="J444" s="1">
        <f>IF(Data!J444&gt;0,Data!J444,"")</f>
        <v/>
      </c>
      <c r="K444" s="1">
        <f>IF(Data!K444&gt;0,Data!K444,"")</f>
        <v/>
      </c>
      <c r="L444" s="1">
        <f>IF(Data!L444&gt;0,Data!L444,"")</f>
        <v/>
      </c>
      <c r="M444" s="1">
        <f>IF(Data!M444&gt;0,Data!M444,"")</f>
        <v/>
      </c>
      <c r="N444" s="1">
        <f>IF(Data!N444&gt;0,Data!N444,"")</f>
        <v/>
      </c>
      <c r="O444" s="1">
        <f>IF(Data!O444&gt;0,Data!O444,"")</f>
        <v/>
      </c>
      <c r="P444" s="1">
        <f>IF(Data!P444&gt;0,Data!P444,"")</f>
        <v/>
      </c>
      <c r="Q444" s="1">
        <f>IF(Data!Q444&gt;0,Data!Q444,"")</f>
        <v/>
      </c>
      <c r="R444" s="1">
        <f>IF(Data!R444&gt;0,Data!R444,"")</f>
        <v/>
      </c>
      <c r="S444" s="1">
        <f>IF(Data!S444&gt;0,Data!S444,"")</f>
        <v/>
      </c>
      <c r="V444" s="3">
        <f>IF(COUNT(D444,J444,K444,L444,M444,O444)&gt;0,AVERAGE(D444,J444,K444,L444,M444,O444),"")</f>
        <v/>
      </c>
      <c r="W444" s="3">
        <f>IF(COUNT(C444,F444,G444,N444,Q444)&gt;0,AVERAGE(C444,F444,G444,N444,Q444),"")</f>
        <v/>
      </c>
      <c r="X444" s="3">
        <f>IF(COUNT(B444,E444,H444,I444,P444,R444,S444)&gt;0,AVERAGE(B444,E444,H444,I444,P444,R444,S444),"")</f>
        <v/>
      </c>
      <c r="Y444" s="3" t="n"/>
      <c r="AJ444">
        <f>IFERROR(AVERAGEIF($A$4:$A$1004,AI444,$V$4:$V$1004),"")</f>
        <v/>
      </c>
      <c r="AK444">
        <f>IFERROR(AVERAGEIF($A$4:$A$1004,AI444,$W$4:$W$1004),"")</f>
        <v/>
      </c>
      <c r="AL444">
        <f>IFERROR(AVERAGEIF($A$4:$A$1004,AI444,$X$4:$X$1004),"")</f>
        <v/>
      </c>
    </row>
    <row r="445">
      <c r="A445" s="1">
        <f>IF(Data!A445&gt;0,Data!A445,"")</f>
        <v/>
      </c>
      <c r="B445" s="1">
        <f>IF(Data!B445&gt;0,Data!B445,"")</f>
        <v/>
      </c>
      <c r="C445" s="1">
        <f>IF(Data!C445&gt;0,Data!C445,"")</f>
        <v/>
      </c>
      <c r="D445" s="1">
        <f>IF(Data!D445&gt;0,Data!D445,"")</f>
        <v/>
      </c>
      <c r="E445" s="1">
        <f>IF(Data!E445&gt;0,Data!E445,"")</f>
        <v/>
      </c>
      <c r="F445" s="1">
        <f>IF(Data!F445&gt;0,Data!F445,"")</f>
        <v/>
      </c>
      <c r="G445" s="1">
        <f>IF(Data!G445&gt;0,Data!G445,"")</f>
        <v/>
      </c>
      <c r="H445" s="1">
        <f>IF(Data!H445&gt;0,Data!H445,"")</f>
        <v/>
      </c>
      <c r="I445" s="1">
        <f>IF(Data!I445&gt;0,Data!I445,"")</f>
        <v/>
      </c>
      <c r="J445" s="1">
        <f>IF(Data!J445&gt;0,Data!J445,"")</f>
        <v/>
      </c>
      <c r="K445" s="1">
        <f>IF(Data!K445&gt;0,Data!K445,"")</f>
        <v/>
      </c>
      <c r="L445" s="1">
        <f>IF(Data!L445&gt;0,Data!L445,"")</f>
        <v/>
      </c>
      <c r="M445" s="1">
        <f>IF(Data!M445&gt;0,Data!M445,"")</f>
        <v/>
      </c>
      <c r="N445" s="1">
        <f>IF(Data!N445&gt;0,Data!N445,"")</f>
        <v/>
      </c>
      <c r="O445" s="1">
        <f>IF(Data!O445&gt;0,Data!O445,"")</f>
        <v/>
      </c>
      <c r="P445" s="1">
        <f>IF(Data!P445&gt;0,Data!P445,"")</f>
        <v/>
      </c>
      <c r="Q445" s="1">
        <f>IF(Data!Q445&gt;0,Data!Q445,"")</f>
        <v/>
      </c>
      <c r="R445" s="1">
        <f>IF(Data!R445&gt;0,Data!R445,"")</f>
        <v/>
      </c>
      <c r="S445" s="1">
        <f>IF(Data!S445&gt;0,Data!S445,"")</f>
        <v/>
      </c>
      <c r="V445" s="3">
        <f>IF(COUNT(D445,J445,K445,L445,M445,O445)&gt;0,AVERAGE(D445,J445,K445,L445,M445,O445),"")</f>
        <v/>
      </c>
      <c r="W445" s="3">
        <f>IF(COUNT(C445,F445,G445,N445,Q445)&gt;0,AVERAGE(C445,F445,G445,N445,Q445),"")</f>
        <v/>
      </c>
      <c r="X445" s="3">
        <f>IF(COUNT(B445,E445,H445,I445,P445,R445,S445)&gt;0,AVERAGE(B445,E445,H445,I445,P445,R445,S445),"")</f>
        <v/>
      </c>
      <c r="Y445" s="3" t="n"/>
      <c r="AJ445">
        <f>IFERROR(AVERAGEIF($A$4:$A$1004,AI445,$V$4:$V$1004),"")</f>
        <v/>
      </c>
      <c r="AK445">
        <f>IFERROR(AVERAGEIF($A$4:$A$1004,AI445,$W$4:$W$1004),"")</f>
        <v/>
      </c>
      <c r="AL445">
        <f>IFERROR(AVERAGEIF($A$4:$A$1004,AI445,$X$4:$X$1004),"")</f>
        <v/>
      </c>
    </row>
    <row r="446">
      <c r="A446" s="1">
        <f>IF(Data!A446&gt;0,Data!A446,"")</f>
        <v/>
      </c>
      <c r="B446" s="1">
        <f>IF(Data!B446&gt;0,Data!B446,"")</f>
        <v/>
      </c>
      <c r="C446" s="1">
        <f>IF(Data!C446&gt;0,Data!C446,"")</f>
        <v/>
      </c>
      <c r="D446" s="1">
        <f>IF(Data!D446&gt;0,Data!D446,"")</f>
        <v/>
      </c>
      <c r="E446" s="1">
        <f>IF(Data!E446&gt;0,Data!E446,"")</f>
        <v/>
      </c>
      <c r="F446" s="1">
        <f>IF(Data!F446&gt;0,Data!F446,"")</f>
        <v/>
      </c>
      <c r="G446" s="1">
        <f>IF(Data!G446&gt;0,Data!G446,"")</f>
        <v/>
      </c>
      <c r="H446" s="1">
        <f>IF(Data!H446&gt;0,Data!H446,"")</f>
        <v/>
      </c>
      <c r="I446" s="1">
        <f>IF(Data!I446&gt;0,Data!I446,"")</f>
        <v/>
      </c>
      <c r="J446" s="1">
        <f>IF(Data!J446&gt;0,Data!J446,"")</f>
        <v/>
      </c>
      <c r="K446" s="1">
        <f>IF(Data!K446&gt;0,Data!K446,"")</f>
        <v/>
      </c>
      <c r="L446" s="1">
        <f>IF(Data!L446&gt;0,Data!L446,"")</f>
        <v/>
      </c>
      <c r="M446" s="1">
        <f>IF(Data!M446&gt;0,Data!M446,"")</f>
        <v/>
      </c>
      <c r="N446" s="1">
        <f>IF(Data!N446&gt;0,Data!N446,"")</f>
        <v/>
      </c>
      <c r="O446" s="1">
        <f>IF(Data!O446&gt;0,Data!O446,"")</f>
        <v/>
      </c>
      <c r="P446" s="1">
        <f>IF(Data!P446&gt;0,Data!P446,"")</f>
        <v/>
      </c>
      <c r="Q446" s="1">
        <f>IF(Data!Q446&gt;0,Data!Q446,"")</f>
        <v/>
      </c>
      <c r="R446" s="1">
        <f>IF(Data!R446&gt;0,Data!R446,"")</f>
        <v/>
      </c>
      <c r="S446" s="1">
        <f>IF(Data!S446&gt;0,Data!S446,"")</f>
        <v/>
      </c>
      <c r="V446" s="3">
        <f>IF(COUNT(D446,J446,K446,L446,M446,O446)&gt;0,AVERAGE(D446,J446,K446,L446,M446,O446),"")</f>
        <v/>
      </c>
      <c r="W446" s="3">
        <f>IF(COUNT(C446,F446,G446,N446,Q446)&gt;0,AVERAGE(C446,F446,G446,N446,Q446),"")</f>
        <v/>
      </c>
      <c r="X446" s="3">
        <f>IF(COUNT(B446,E446,H446,I446,P446,R446,S446)&gt;0,AVERAGE(B446,E446,H446,I446,P446,R446,S446),"")</f>
        <v/>
      </c>
      <c r="Y446" s="3" t="n"/>
      <c r="AJ446">
        <f>IFERROR(AVERAGEIF($A$4:$A$1004,AI446,$V$4:$V$1004),"")</f>
        <v/>
      </c>
      <c r="AK446">
        <f>IFERROR(AVERAGEIF($A$4:$A$1004,AI446,$W$4:$W$1004),"")</f>
        <v/>
      </c>
      <c r="AL446">
        <f>IFERROR(AVERAGEIF($A$4:$A$1004,AI446,$X$4:$X$1004),"")</f>
        <v/>
      </c>
    </row>
    <row r="447">
      <c r="A447" s="1">
        <f>IF(Data!A447&gt;0,Data!A447,"")</f>
        <v/>
      </c>
      <c r="B447" s="1">
        <f>IF(Data!B447&gt;0,Data!B447,"")</f>
        <v/>
      </c>
      <c r="C447" s="1">
        <f>IF(Data!C447&gt;0,Data!C447,"")</f>
        <v/>
      </c>
      <c r="D447" s="1">
        <f>IF(Data!D447&gt;0,Data!D447,"")</f>
        <v/>
      </c>
      <c r="E447" s="1">
        <f>IF(Data!E447&gt;0,Data!E447,"")</f>
        <v/>
      </c>
      <c r="F447" s="1">
        <f>IF(Data!F447&gt;0,Data!F447,"")</f>
        <v/>
      </c>
      <c r="G447" s="1">
        <f>IF(Data!G447&gt;0,Data!G447,"")</f>
        <v/>
      </c>
      <c r="H447" s="1">
        <f>IF(Data!H447&gt;0,Data!H447,"")</f>
        <v/>
      </c>
      <c r="I447" s="1">
        <f>IF(Data!I447&gt;0,Data!I447,"")</f>
        <v/>
      </c>
      <c r="J447" s="1">
        <f>IF(Data!J447&gt;0,Data!J447,"")</f>
        <v/>
      </c>
      <c r="K447" s="1">
        <f>IF(Data!K447&gt;0,Data!K447,"")</f>
        <v/>
      </c>
      <c r="L447" s="1">
        <f>IF(Data!L447&gt;0,Data!L447,"")</f>
        <v/>
      </c>
      <c r="M447" s="1">
        <f>IF(Data!M447&gt;0,Data!M447,"")</f>
        <v/>
      </c>
      <c r="N447" s="1">
        <f>IF(Data!N447&gt;0,Data!N447,"")</f>
        <v/>
      </c>
      <c r="O447" s="1">
        <f>IF(Data!O447&gt;0,Data!O447,"")</f>
        <v/>
      </c>
      <c r="P447" s="1">
        <f>IF(Data!P447&gt;0,Data!P447,"")</f>
        <v/>
      </c>
      <c r="Q447" s="1">
        <f>IF(Data!Q447&gt;0,Data!Q447,"")</f>
        <v/>
      </c>
      <c r="R447" s="1">
        <f>IF(Data!R447&gt;0,Data!R447,"")</f>
        <v/>
      </c>
      <c r="S447" s="1">
        <f>IF(Data!S447&gt;0,Data!S447,"")</f>
        <v/>
      </c>
      <c r="V447" s="3">
        <f>IF(COUNT(D447,J447,K447,L447,M447,O447)&gt;0,AVERAGE(D447,J447,K447,L447,M447,O447),"")</f>
        <v/>
      </c>
      <c r="W447" s="3">
        <f>IF(COUNT(C447,F447,G447,N447,Q447)&gt;0,AVERAGE(C447,F447,G447,N447,Q447),"")</f>
        <v/>
      </c>
      <c r="X447" s="3">
        <f>IF(COUNT(B447,E447,H447,I447,P447,R447,S447)&gt;0,AVERAGE(B447,E447,H447,I447,P447,R447,S447),"")</f>
        <v/>
      </c>
      <c r="Y447" s="3" t="n"/>
      <c r="AJ447">
        <f>IFERROR(AVERAGEIF($A$4:$A$1004,AI447,$V$4:$V$1004),"")</f>
        <v/>
      </c>
      <c r="AK447">
        <f>IFERROR(AVERAGEIF($A$4:$A$1004,AI447,$W$4:$W$1004),"")</f>
        <v/>
      </c>
      <c r="AL447">
        <f>IFERROR(AVERAGEIF($A$4:$A$1004,AI447,$X$4:$X$1004),"")</f>
        <v/>
      </c>
    </row>
    <row r="448">
      <c r="A448" s="1">
        <f>IF(Data!A448&gt;0,Data!A448,"")</f>
        <v/>
      </c>
      <c r="B448" s="1">
        <f>IF(Data!B448&gt;0,Data!B448,"")</f>
        <v/>
      </c>
      <c r="C448" s="1">
        <f>IF(Data!C448&gt;0,Data!C448,"")</f>
        <v/>
      </c>
      <c r="D448" s="1">
        <f>IF(Data!D448&gt;0,Data!D448,"")</f>
        <v/>
      </c>
      <c r="E448" s="1">
        <f>IF(Data!E448&gt;0,Data!E448,"")</f>
        <v/>
      </c>
      <c r="F448" s="1">
        <f>IF(Data!F448&gt;0,Data!F448,"")</f>
        <v/>
      </c>
      <c r="G448" s="1">
        <f>IF(Data!G448&gt;0,Data!G448,"")</f>
        <v/>
      </c>
      <c r="H448" s="1">
        <f>IF(Data!H448&gt;0,Data!H448,"")</f>
        <v/>
      </c>
      <c r="I448" s="1">
        <f>IF(Data!I448&gt;0,Data!I448,"")</f>
        <v/>
      </c>
      <c r="J448" s="1">
        <f>IF(Data!J448&gt;0,Data!J448,"")</f>
        <v/>
      </c>
      <c r="K448" s="1">
        <f>IF(Data!K448&gt;0,Data!K448,"")</f>
        <v/>
      </c>
      <c r="L448" s="1">
        <f>IF(Data!L448&gt;0,Data!L448,"")</f>
        <v/>
      </c>
      <c r="M448" s="1">
        <f>IF(Data!M448&gt;0,Data!M448,"")</f>
        <v/>
      </c>
      <c r="N448" s="1">
        <f>IF(Data!N448&gt;0,Data!N448,"")</f>
        <v/>
      </c>
      <c r="O448" s="1">
        <f>IF(Data!O448&gt;0,Data!O448,"")</f>
        <v/>
      </c>
      <c r="P448" s="1">
        <f>IF(Data!P448&gt;0,Data!P448,"")</f>
        <v/>
      </c>
      <c r="Q448" s="1">
        <f>IF(Data!Q448&gt;0,Data!Q448,"")</f>
        <v/>
      </c>
      <c r="R448" s="1">
        <f>IF(Data!R448&gt;0,Data!R448,"")</f>
        <v/>
      </c>
      <c r="S448" s="1">
        <f>IF(Data!S448&gt;0,Data!S448,"")</f>
        <v/>
      </c>
      <c r="V448" s="3">
        <f>IF(COUNT(D448,J448,K448,L448,M448,O448)&gt;0,AVERAGE(D448,J448,K448,L448,M448,O448),"")</f>
        <v/>
      </c>
      <c r="W448" s="3">
        <f>IF(COUNT(C448,F448,G448,N448,Q448)&gt;0,AVERAGE(C448,F448,G448,N448,Q448),"")</f>
        <v/>
      </c>
      <c r="X448" s="3">
        <f>IF(COUNT(B448,E448,H448,I448,P448,R448,S448)&gt;0,AVERAGE(B448,E448,H448,I448,P448,R448,S448),"")</f>
        <v/>
      </c>
      <c r="Y448" s="3" t="n"/>
      <c r="AJ448">
        <f>IFERROR(AVERAGEIF($A$4:$A$1004,AI448,$V$4:$V$1004),"")</f>
        <v/>
      </c>
      <c r="AK448">
        <f>IFERROR(AVERAGEIF($A$4:$A$1004,AI448,$W$4:$W$1004),"")</f>
        <v/>
      </c>
      <c r="AL448">
        <f>IFERROR(AVERAGEIF($A$4:$A$1004,AI448,$X$4:$X$1004),"")</f>
        <v/>
      </c>
    </row>
    <row r="449">
      <c r="A449" s="1">
        <f>IF(Data!A449&gt;0,Data!A449,"")</f>
        <v/>
      </c>
      <c r="B449" s="1">
        <f>IF(Data!B449&gt;0,Data!B449,"")</f>
        <v/>
      </c>
      <c r="C449" s="1">
        <f>IF(Data!C449&gt;0,Data!C449,"")</f>
        <v/>
      </c>
      <c r="D449" s="1">
        <f>IF(Data!D449&gt;0,Data!D449,"")</f>
        <v/>
      </c>
      <c r="E449" s="1">
        <f>IF(Data!E449&gt;0,Data!E449,"")</f>
        <v/>
      </c>
      <c r="F449" s="1">
        <f>IF(Data!F449&gt;0,Data!F449,"")</f>
        <v/>
      </c>
      <c r="G449" s="1">
        <f>IF(Data!G449&gt;0,Data!G449,"")</f>
        <v/>
      </c>
      <c r="H449" s="1">
        <f>IF(Data!H449&gt;0,Data!H449,"")</f>
        <v/>
      </c>
      <c r="I449" s="1">
        <f>IF(Data!I449&gt;0,Data!I449,"")</f>
        <v/>
      </c>
      <c r="J449" s="1">
        <f>IF(Data!J449&gt;0,Data!J449,"")</f>
        <v/>
      </c>
      <c r="K449" s="1">
        <f>IF(Data!K449&gt;0,Data!K449,"")</f>
        <v/>
      </c>
      <c r="L449" s="1">
        <f>IF(Data!L449&gt;0,Data!L449,"")</f>
        <v/>
      </c>
      <c r="M449" s="1">
        <f>IF(Data!M449&gt;0,Data!M449,"")</f>
        <v/>
      </c>
      <c r="N449" s="1">
        <f>IF(Data!N449&gt;0,Data!N449,"")</f>
        <v/>
      </c>
      <c r="O449" s="1">
        <f>IF(Data!O449&gt;0,Data!O449,"")</f>
        <v/>
      </c>
      <c r="P449" s="1">
        <f>IF(Data!P449&gt;0,Data!P449,"")</f>
        <v/>
      </c>
      <c r="Q449" s="1">
        <f>IF(Data!Q449&gt;0,Data!Q449,"")</f>
        <v/>
      </c>
      <c r="R449" s="1">
        <f>IF(Data!R449&gt;0,Data!R449,"")</f>
        <v/>
      </c>
      <c r="S449" s="1">
        <f>IF(Data!S449&gt;0,Data!S449,"")</f>
        <v/>
      </c>
      <c r="V449" s="3">
        <f>IF(COUNT(D449,J449,K449,L449,M449,O449)&gt;0,AVERAGE(D449,J449,K449,L449,M449,O449),"")</f>
        <v/>
      </c>
      <c r="W449" s="3">
        <f>IF(COUNT(C449,F449,G449,N449,Q449)&gt;0,AVERAGE(C449,F449,G449,N449,Q449),"")</f>
        <v/>
      </c>
      <c r="X449" s="3">
        <f>IF(COUNT(B449,E449,H449,I449,P449,R449,S449)&gt;0,AVERAGE(B449,E449,H449,I449,P449,R449,S449),"")</f>
        <v/>
      </c>
      <c r="Y449" s="3" t="n"/>
      <c r="AJ449">
        <f>IFERROR(AVERAGEIF($A$4:$A$1004,AI449,$V$4:$V$1004),"")</f>
        <v/>
      </c>
      <c r="AK449">
        <f>IFERROR(AVERAGEIF($A$4:$A$1004,AI449,$W$4:$W$1004),"")</f>
        <v/>
      </c>
      <c r="AL449">
        <f>IFERROR(AVERAGEIF($A$4:$A$1004,AI449,$X$4:$X$1004),"")</f>
        <v/>
      </c>
    </row>
    <row r="450">
      <c r="A450" s="1">
        <f>IF(Data!A450&gt;0,Data!A450,"")</f>
        <v/>
      </c>
      <c r="B450" s="1">
        <f>IF(Data!B450&gt;0,Data!B450,"")</f>
        <v/>
      </c>
      <c r="C450" s="1">
        <f>IF(Data!C450&gt;0,Data!C450,"")</f>
        <v/>
      </c>
      <c r="D450" s="1">
        <f>IF(Data!D450&gt;0,Data!D450,"")</f>
        <v/>
      </c>
      <c r="E450" s="1">
        <f>IF(Data!E450&gt;0,Data!E450,"")</f>
        <v/>
      </c>
      <c r="F450" s="1">
        <f>IF(Data!F450&gt;0,Data!F450,"")</f>
        <v/>
      </c>
      <c r="G450" s="1">
        <f>IF(Data!G450&gt;0,Data!G450,"")</f>
        <v/>
      </c>
      <c r="H450" s="1">
        <f>IF(Data!H450&gt;0,Data!H450,"")</f>
        <v/>
      </c>
      <c r="I450" s="1">
        <f>IF(Data!I450&gt;0,Data!I450,"")</f>
        <v/>
      </c>
      <c r="J450" s="1">
        <f>IF(Data!J450&gt;0,Data!J450,"")</f>
        <v/>
      </c>
      <c r="K450" s="1">
        <f>IF(Data!K450&gt;0,Data!K450,"")</f>
        <v/>
      </c>
      <c r="L450" s="1">
        <f>IF(Data!L450&gt;0,Data!L450,"")</f>
        <v/>
      </c>
      <c r="M450" s="1">
        <f>IF(Data!M450&gt;0,Data!M450,"")</f>
        <v/>
      </c>
      <c r="N450" s="1">
        <f>IF(Data!N450&gt;0,Data!N450,"")</f>
        <v/>
      </c>
      <c r="O450" s="1">
        <f>IF(Data!O450&gt;0,Data!O450,"")</f>
        <v/>
      </c>
      <c r="P450" s="1">
        <f>IF(Data!P450&gt;0,Data!P450,"")</f>
        <v/>
      </c>
      <c r="Q450" s="1">
        <f>IF(Data!Q450&gt;0,Data!Q450,"")</f>
        <v/>
      </c>
      <c r="R450" s="1">
        <f>IF(Data!R450&gt;0,Data!R450,"")</f>
        <v/>
      </c>
      <c r="S450" s="1">
        <f>IF(Data!S450&gt;0,Data!S450,"")</f>
        <v/>
      </c>
      <c r="V450" s="3">
        <f>IF(COUNT(D450,J450,K450,L450,M450,O450)&gt;0,AVERAGE(D450,J450,K450,L450,M450,O450),"")</f>
        <v/>
      </c>
      <c r="W450" s="3">
        <f>IF(COUNT(C450,F450,G450,N450,Q450)&gt;0,AVERAGE(C450,F450,G450,N450,Q450),"")</f>
        <v/>
      </c>
      <c r="X450" s="3">
        <f>IF(COUNT(B450,E450,H450,I450,P450,R450,S450)&gt;0,AVERAGE(B450,E450,H450,I450,P450,R450,S450),"")</f>
        <v/>
      </c>
      <c r="Y450" s="3" t="n"/>
      <c r="AJ450">
        <f>IFERROR(AVERAGEIF($A$4:$A$1004,AI450,$V$4:$V$1004),"")</f>
        <v/>
      </c>
      <c r="AK450">
        <f>IFERROR(AVERAGEIF($A$4:$A$1004,AI450,$W$4:$W$1004),"")</f>
        <v/>
      </c>
      <c r="AL450">
        <f>IFERROR(AVERAGEIF($A$4:$A$1004,AI450,$X$4:$X$1004),"")</f>
        <v/>
      </c>
    </row>
    <row r="451">
      <c r="A451" s="1">
        <f>IF(Data!A451&gt;0,Data!A451,"")</f>
        <v/>
      </c>
      <c r="B451" s="1">
        <f>IF(Data!B451&gt;0,Data!B451,"")</f>
        <v/>
      </c>
      <c r="C451" s="1">
        <f>IF(Data!C451&gt;0,Data!C451,"")</f>
        <v/>
      </c>
      <c r="D451" s="1">
        <f>IF(Data!D451&gt;0,Data!D451,"")</f>
        <v/>
      </c>
      <c r="E451" s="1">
        <f>IF(Data!E451&gt;0,Data!E451,"")</f>
        <v/>
      </c>
      <c r="F451" s="1">
        <f>IF(Data!F451&gt;0,Data!F451,"")</f>
        <v/>
      </c>
      <c r="G451" s="1">
        <f>IF(Data!G451&gt;0,Data!G451,"")</f>
        <v/>
      </c>
      <c r="H451" s="1">
        <f>IF(Data!H451&gt;0,Data!H451,"")</f>
        <v/>
      </c>
      <c r="I451" s="1">
        <f>IF(Data!I451&gt;0,Data!I451,"")</f>
        <v/>
      </c>
      <c r="J451" s="1">
        <f>IF(Data!J451&gt;0,Data!J451,"")</f>
        <v/>
      </c>
      <c r="K451" s="1">
        <f>IF(Data!K451&gt;0,Data!K451,"")</f>
        <v/>
      </c>
      <c r="L451" s="1">
        <f>IF(Data!L451&gt;0,Data!L451,"")</f>
        <v/>
      </c>
      <c r="M451" s="1">
        <f>IF(Data!M451&gt;0,Data!M451,"")</f>
        <v/>
      </c>
      <c r="N451" s="1">
        <f>IF(Data!N451&gt;0,Data!N451,"")</f>
        <v/>
      </c>
      <c r="O451" s="1">
        <f>IF(Data!O451&gt;0,Data!O451,"")</f>
        <v/>
      </c>
      <c r="P451" s="1">
        <f>IF(Data!P451&gt;0,Data!P451,"")</f>
        <v/>
      </c>
      <c r="Q451" s="1">
        <f>IF(Data!Q451&gt;0,Data!Q451,"")</f>
        <v/>
      </c>
      <c r="R451" s="1">
        <f>IF(Data!R451&gt;0,Data!R451,"")</f>
        <v/>
      </c>
      <c r="S451" s="1">
        <f>IF(Data!S451&gt;0,Data!S451,"")</f>
        <v/>
      </c>
      <c r="V451" s="3">
        <f>IF(COUNT(D451,J451,K451,L451,M451,O451)&gt;0,AVERAGE(D451,J451,K451,L451,M451,O451),"")</f>
        <v/>
      </c>
      <c r="W451" s="3">
        <f>IF(COUNT(C451,F451,G451,N451,Q451)&gt;0,AVERAGE(C451,F451,G451,N451,Q451),"")</f>
        <v/>
      </c>
      <c r="X451" s="3">
        <f>IF(COUNT(B451,E451,H451,I451,P451,R451,S451)&gt;0,AVERAGE(B451,E451,H451,I451,P451,R451,S451),"")</f>
        <v/>
      </c>
      <c r="Y451" s="3" t="n"/>
      <c r="AJ451">
        <f>IFERROR(AVERAGEIF($A$4:$A$1004,AI451,$V$4:$V$1004),"")</f>
        <v/>
      </c>
      <c r="AK451">
        <f>IFERROR(AVERAGEIF($A$4:$A$1004,AI451,$W$4:$W$1004),"")</f>
        <v/>
      </c>
      <c r="AL451">
        <f>IFERROR(AVERAGEIF($A$4:$A$1004,AI451,$X$4:$X$1004),"")</f>
        <v/>
      </c>
    </row>
    <row r="452">
      <c r="A452" s="1">
        <f>IF(Data!A452&gt;0,Data!A452,"")</f>
        <v/>
      </c>
      <c r="B452" s="1">
        <f>IF(Data!B452&gt;0,Data!B452,"")</f>
        <v/>
      </c>
      <c r="C452" s="1">
        <f>IF(Data!C452&gt;0,Data!C452,"")</f>
        <v/>
      </c>
      <c r="D452" s="1">
        <f>IF(Data!D452&gt;0,Data!D452,"")</f>
        <v/>
      </c>
      <c r="E452" s="1">
        <f>IF(Data!E452&gt;0,Data!E452,"")</f>
        <v/>
      </c>
      <c r="F452" s="1">
        <f>IF(Data!F452&gt;0,Data!F452,"")</f>
        <v/>
      </c>
      <c r="G452" s="1">
        <f>IF(Data!G452&gt;0,Data!G452,"")</f>
        <v/>
      </c>
      <c r="H452" s="1">
        <f>IF(Data!H452&gt;0,Data!H452,"")</f>
        <v/>
      </c>
      <c r="I452" s="1">
        <f>IF(Data!I452&gt;0,Data!I452,"")</f>
        <v/>
      </c>
      <c r="J452" s="1">
        <f>IF(Data!J452&gt;0,Data!J452,"")</f>
        <v/>
      </c>
      <c r="K452" s="1">
        <f>IF(Data!K452&gt;0,Data!K452,"")</f>
        <v/>
      </c>
      <c r="L452" s="1">
        <f>IF(Data!L452&gt;0,Data!L452,"")</f>
        <v/>
      </c>
      <c r="M452" s="1">
        <f>IF(Data!M452&gt;0,Data!M452,"")</f>
        <v/>
      </c>
      <c r="N452" s="1">
        <f>IF(Data!N452&gt;0,Data!N452,"")</f>
        <v/>
      </c>
      <c r="O452" s="1">
        <f>IF(Data!O452&gt;0,Data!O452,"")</f>
        <v/>
      </c>
      <c r="P452" s="1">
        <f>IF(Data!P452&gt;0,Data!P452,"")</f>
        <v/>
      </c>
      <c r="Q452" s="1">
        <f>IF(Data!Q452&gt;0,Data!Q452,"")</f>
        <v/>
      </c>
      <c r="R452" s="1">
        <f>IF(Data!R452&gt;0,Data!R452,"")</f>
        <v/>
      </c>
      <c r="S452" s="1">
        <f>IF(Data!S452&gt;0,Data!S452,"")</f>
        <v/>
      </c>
      <c r="V452" s="3">
        <f>IF(COUNT(D452,J452,K452,L452,M452,O452)&gt;0,AVERAGE(D452,J452,K452,L452,M452,O452),"")</f>
        <v/>
      </c>
      <c r="W452" s="3">
        <f>IF(COUNT(C452,F452,G452,N452,Q452)&gt;0,AVERAGE(C452,F452,G452,N452,Q452),"")</f>
        <v/>
      </c>
      <c r="X452" s="3">
        <f>IF(COUNT(B452,E452,H452,I452,P452,R452,S452)&gt;0,AVERAGE(B452,E452,H452,I452,P452,R452,S452),"")</f>
        <v/>
      </c>
      <c r="Y452" s="3" t="n"/>
      <c r="AJ452">
        <f>IFERROR(AVERAGEIF($A$4:$A$1004,AI452,$V$4:$V$1004),"")</f>
        <v/>
      </c>
      <c r="AK452">
        <f>IFERROR(AVERAGEIF($A$4:$A$1004,AI452,$W$4:$W$1004),"")</f>
        <v/>
      </c>
      <c r="AL452">
        <f>IFERROR(AVERAGEIF($A$4:$A$1004,AI452,$X$4:$X$1004),"")</f>
        <v/>
      </c>
    </row>
    <row r="453">
      <c r="A453" s="1">
        <f>IF(Data!A453&gt;0,Data!A453,"")</f>
        <v/>
      </c>
      <c r="B453" s="1">
        <f>IF(Data!B453&gt;0,Data!B453,"")</f>
        <v/>
      </c>
      <c r="C453" s="1">
        <f>IF(Data!C453&gt;0,Data!C453,"")</f>
        <v/>
      </c>
      <c r="D453" s="1">
        <f>IF(Data!D453&gt;0,Data!D453,"")</f>
        <v/>
      </c>
      <c r="E453" s="1">
        <f>IF(Data!E453&gt;0,Data!E453,"")</f>
        <v/>
      </c>
      <c r="F453" s="1">
        <f>IF(Data!F453&gt;0,Data!F453,"")</f>
        <v/>
      </c>
      <c r="G453" s="1">
        <f>IF(Data!G453&gt;0,Data!G453,"")</f>
        <v/>
      </c>
      <c r="H453" s="1">
        <f>IF(Data!H453&gt;0,Data!H453,"")</f>
        <v/>
      </c>
      <c r="I453" s="1">
        <f>IF(Data!I453&gt;0,Data!I453,"")</f>
        <v/>
      </c>
      <c r="J453" s="1">
        <f>IF(Data!J453&gt;0,Data!J453,"")</f>
        <v/>
      </c>
      <c r="K453" s="1">
        <f>IF(Data!K453&gt;0,Data!K453,"")</f>
        <v/>
      </c>
      <c r="L453" s="1">
        <f>IF(Data!L453&gt;0,Data!L453,"")</f>
        <v/>
      </c>
      <c r="M453" s="1">
        <f>IF(Data!M453&gt;0,Data!M453,"")</f>
        <v/>
      </c>
      <c r="N453" s="1">
        <f>IF(Data!N453&gt;0,Data!N453,"")</f>
        <v/>
      </c>
      <c r="O453" s="1">
        <f>IF(Data!O453&gt;0,Data!O453,"")</f>
        <v/>
      </c>
      <c r="P453" s="1">
        <f>IF(Data!P453&gt;0,Data!P453,"")</f>
        <v/>
      </c>
      <c r="Q453" s="1">
        <f>IF(Data!Q453&gt;0,Data!Q453,"")</f>
        <v/>
      </c>
      <c r="R453" s="1">
        <f>IF(Data!R453&gt;0,Data!R453,"")</f>
        <v/>
      </c>
      <c r="S453" s="1">
        <f>IF(Data!S453&gt;0,Data!S453,"")</f>
        <v/>
      </c>
      <c r="V453" s="3">
        <f>IF(COUNT(D453,J453,K453,L453,M453,O453)&gt;0,AVERAGE(D453,J453,K453,L453,M453,O453),"")</f>
        <v/>
      </c>
      <c r="W453" s="3">
        <f>IF(COUNT(C453,F453,G453,N453,Q453)&gt;0,AVERAGE(C453,F453,G453,N453,Q453),"")</f>
        <v/>
      </c>
      <c r="X453" s="3">
        <f>IF(COUNT(B453,E453,H453,I453,P453,R453,S453)&gt;0,AVERAGE(B453,E453,H453,I453,P453,R453,S453),"")</f>
        <v/>
      </c>
      <c r="Y453" s="3" t="n"/>
      <c r="AJ453">
        <f>IFERROR(AVERAGEIF($A$4:$A$1004,AI453,$V$4:$V$1004),"")</f>
        <v/>
      </c>
      <c r="AK453">
        <f>IFERROR(AVERAGEIF($A$4:$A$1004,AI453,$W$4:$W$1004),"")</f>
        <v/>
      </c>
      <c r="AL453">
        <f>IFERROR(AVERAGEIF($A$4:$A$1004,AI453,$X$4:$X$1004),"")</f>
        <v/>
      </c>
    </row>
    <row r="454">
      <c r="A454" s="1">
        <f>IF(Data!A454&gt;0,Data!A454,"")</f>
        <v/>
      </c>
      <c r="B454" s="1">
        <f>IF(Data!B454&gt;0,Data!B454,"")</f>
        <v/>
      </c>
      <c r="C454" s="1">
        <f>IF(Data!C454&gt;0,Data!C454,"")</f>
        <v/>
      </c>
      <c r="D454" s="1">
        <f>IF(Data!D454&gt;0,Data!D454,"")</f>
        <v/>
      </c>
      <c r="E454" s="1">
        <f>IF(Data!E454&gt;0,Data!E454,"")</f>
        <v/>
      </c>
      <c r="F454" s="1">
        <f>IF(Data!F454&gt;0,Data!F454,"")</f>
        <v/>
      </c>
      <c r="G454" s="1">
        <f>IF(Data!G454&gt;0,Data!G454,"")</f>
        <v/>
      </c>
      <c r="H454" s="1">
        <f>IF(Data!H454&gt;0,Data!H454,"")</f>
        <v/>
      </c>
      <c r="I454" s="1">
        <f>IF(Data!I454&gt;0,Data!I454,"")</f>
        <v/>
      </c>
      <c r="J454" s="1">
        <f>IF(Data!J454&gt;0,Data!J454,"")</f>
        <v/>
      </c>
      <c r="K454" s="1">
        <f>IF(Data!K454&gt;0,Data!K454,"")</f>
        <v/>
      </c>
      <c r="L454" s="1">
        <f>IF(Data!L454&gt;0,Data!L454,"")</f>
        <v/>
      </c>
      <c r="M454" s="1">
        <f>IF(Data!M454&gt;0,Data!M454,"")</f>
        <v/>
      </c>
      <c r="N454" s="1">
        <f>IF(Data!N454&gt;0,Data!N454,"")</f>
        <v/>
      </c>
      <c r="O454" s="1">
        <f>IF(Data!O454&gt;0,Data!O454,"")</f>
        <v/>
      </c>
      <c r="P454" s="1">
        <f>IF(Data!P454&gt;0,Data!P454,"")</f>
        <v/>
      </c>
      <c r="Q454" s="1">
        <f>IF(Data!Q454&gt;0,Data!Q454,"")</f>
        <v/>
      </c>
      <c r="R454" s="1">
        <f>IF(Data!R454&gt;0,Data!R454,"")</f>
        <v/>
      </c>
      <c r="S454" s="1">
        <f>IF(Data!S454&gt;0,Data!S454,"")</f>
        <v/>
      </c>
      <c r="V454" s="3">
        <f>IF(COUNT(D454,J454,K454,L454,M454,O454)&gt;0,AVERAGE(D454,J454,K454,L454,M454,O454),"")</f>
        <v/>
      </c>
      <c r="W454" s="3">
        <f>IF(COUNT(C454,F454,G454,N454,Q454)&gt;0,AVERAGE(C454,F454,G454,N454,Q454),"")</f>
        <v/>
      </c>
      <c r="X454" s="3">
        <f>IF(COUNT(B454,E454,H454,I454,P454,R454,S454)&gt;0,AVERAGE(B454,E454,H454,I454,P454,R454,S454),"")</f>
        <v/>
      </c>
      <c r="Y454" s="3" t="n"/>
      <c r="AJ454">
        <f>IFERROR(AVERAGEIF($A$4:$A$1004,AI454,$V$4:$V$1004),"")</f>
        <v/>
      </c>
      <c r="AK454">
        <f>IFERROR(AVERAGEIF($A$4:$A$1004,AI454,$W$4:$W$1004),"")</f>
        <v/>
      </c>
      <c r="AL454">
        <f>IFERROR(AVERAGEIF($A$4:$A$1004,AI454,$X$4:$X$1004),"")</f>
        <v/>
      </c>
    </row>
    <row r="455">
      <c r="A455" s="1">
        <f>IF(Data!A455&gt;0,Data!A455,"")</f>
        <v/>
      </c>
      <c r="B455" s="1">
        <f>IF(Data!B455&gt;0,Data!B455,"")</f>
        <v/>
      </c>
      <c r="C455" s="1">
        <f>IF(Data!C455&gt;0,Data!C455,"")</f>
        <v/>
      </c>
      <c r="D455" s="1">
        <f>IF(Data!D455&gt;0,Data!D455,"")</f>
        <v/>
      </c>
      <c r="E455" s="1">
        <f>IF(Data!E455&gt;0,Data!E455,"")</f>
        <v/>
      </c>
      <c r="F455" s="1">
        <f>IF(Data!F455&gt;0,Data!F455,"")</f>
        <v/>
      </c>
      <c r="G455" s="1">
        <f>IF(Data!G455&gt;0,Data!G455,"")</f>
        <v/>
      </c>
      <c r="H455" s="1">
        <f>IF(Data!H455&gt;0,Data!H455,"")</f>
        <v/>
      </c>
      <c r="I455" s="1">
        <f>IF(Data!I455&gt;0,Data!I455,"")</f>
        <v/>
      </c>
      <c r="J455" s="1">
        <f>IF(Data!J455&gt;0,Data!J455,"")</f>
        <v/>
      </c>
      <c r="K455" s="1">
        <f>IF(Data!K455&gt;0,Data!K455,"")</f>
        <v/>
      </c>
      <c r="L455" s="1">
        <f>IF(Data!L455&gt;0,Data!L455,"")</f>
        <v/>
      </c>
      <c r="M455" s="1">
        <f>IF(Data!M455&gt;0,Data!M455,"")</f>
        <v/>
      </c>
      <c r="N455" s="1">
        <f>IF(Data!N455&gt;0,Data!N455,"")</f>
        <v/>
      </c>
      <c r="O455" s="1">
        <f>IF(Data!O455&gt;0,Data!O455,"")</f>
        <v/>
      </c>
      <c r="P455" s="1">
        <f>IF(Data!P455&gt;0,Data!P455,"")</f>
        <v/>
      </c>
      <c r="Q455" s="1">
        <f>IF(Data!Q455&gt;0,Data!Q455,"")</f>
        <v/>
      </c>
      <c r="R455" s="1">
        <f>IF(Data!R455&gt;0,Data!R455,"")</f>
        <v/>
      </c>
      <c r="S455" s="1">
        <f>IF(Data!S455&gt;0,Data!S455,"")</f>
        <v/>
      </c>
      <c r="V455" s="3">
        <f>IF(COUNT(D455,J455,K455,L455,M455,O455)&gt;0,AVERAGE(D455,J455,K455,L455,M455,O455),"")</f>
        <v/>
      </c>
      <c r="W455" s="3">
        <f>IF(COUNT(C455,F455,G455,N455,Q455)&gt;0,AVERAGE(C455,F455,G455,N455,Q455),"")</f>
        <v/>
      </c>
      <c r="X455" s="3">
        <f>IF(COUNT(B455,E455,H455,I455,P455,R455,S455)&gt;0,AVERAGE(B455,E455,H455,I455,P455,R455,S455),"")</f>
        <v/>
      </c>
      <c r="Y455" s="3" t="n"/>
      <c r="AJ455">
        <f>IFERROR(AVERAGEIF($A$4:$A$1004,AI455,$V$4:$V$1004),"")</f>
        <v/>
      </c>
      <c r="AK455">
        <f>IFERROR(AVERAGEIF($A$4:$A$1004,AI455,$W$4:$W$1004),"")</f>
        <v/>
      </c>
      <c r="AL455">
        <f>IFERROR(AVERAGEIF($A$4:$A$1004,AI455,$X$4:$X$1004),"")</f>
        <v/>
      </c>
    </row>
    <row r="456">
      <c r="A456" s="1">
        <f>IF(Data!A456&gt;0,Data!A456,"")</f>
        <v/>
      </c>
      <c r="B456" s="1">
        <f>IF(Data!B456&gt;0,Data!B456,"")</f>
        <v/>
      </c>
      <c r="C456" s="1">
        <f>IF(Data!C456&gt;0,Data!C456,"")</f>
        <v/>
      </c>
      <c r="D456" s="1">
        <f>IF(Data!D456&gt;0,Data!D456,"")</f>
        <v/>
      </c>
      <c r="E456" s="1">
        <f>IF(Data!E456&gt;0,Data!E456,"")</f>
        <v/>
      </c>
      <c r="F456" s="1">
        <f>IF(Data!F456&gt;0,Data!F456,"")</f>
        <v/>
      </c>
      <c r="G456" s="1">
        <f>IF(Data!G456&gt;0,Data!G456,"")</f>
        <v/>
      </c>
      <c r="H456" s="1">
        <f>IF(Data!H456&gt;0,Data!H456,"")</f>
        <v/>
      </c>
      <c r="I456" s="1">
        <f>IF(Data!I456&gt;0,Data!I456,"")</f>
        <v/>
      </c>
      <c r="J456" s="1">
        <f>IF(Data!J456&gt;0,Data!J456,"")</f>
        <v/>
      </c>
      <c r="K456" s="1">
        <f>IF(Data!K456&gt;0,Data!K456,"")</f>
        <v/>
      </c>
      <c r="L456" s="1">
        <f>IF(Data!L456&gt;0,Data!L456,"")</f>
        <v/>
      </c>
      <c r="M456" s="1">
        <f>IF(Data!M456&gt;0,Data!M456,"")</f>
        <v/>
      </c>
      <c r="N456" s="1">
        <f>IF(Data!N456&gt;0,Data!N456,"")</f>
        <v/>
      </c>
      <c r="O456" s="1">
        <f>IF(Data!O456&gt;0,Data!O456,"")</f>
        <v/>
      </c>
      <c r="P456" s="1">
        <f>IF(Data!P456&gt;0,Data!P456,"")</f>
        <v/>
      </c>
      <c r="Q456" s="1">
        <f>IF(Data!Q456&gt;0,Data!Q456,"")</f>
        <v/>
      </c>
      <c r="R456" s="1">
        <f>IF(Data!R456&gt;0,Data!R456,"")</f>
        <v/>
      </c>
      <c r="S456" s="1">
        <f>IF(Data!S456&gt;0,Data!S456,"")</f>
        <v/>
      </c>
      <c r="V456" s="3">
        <f>IF(COUNT(D456,J456,K456,L456,M456,O456)&gt;0,AVERAGE(D456,J456,K456,L456,M456,O456),"")</f>
        <v/>
      </c>
      <c r="W456" s="3">
        <f>IF(COUNT(C456,F456,G456,N456,Q456)&gt;0,AVERAGE(C456,F456,G456,N456,Q456),"")</f>
        <v/>
      </c>
      <c r="X456" s="3">
        <f>IF(COUNT(B456,E456,H456,I456,P456,R456,S456)&gt;0,AVERAGE(B456,E456,H456,I456,P456,R456,S456),"")</f>
        <v/>
      </c>
      <c r="Y456" s="3" t="n"/>
      <c r="AJ456">
        <f>IFERROR(AVERAGEIF($A$4:$A$1004,AI456,$V$4:$V$1004),"")</f>
        <v/>
      </c>
      <c r="AK456">
        <f>IFERROR(AVERAGEIF($A$4:$A$1004,AI456,$W$4:$W$1004),"")</f>
        <v/>
      </c>
      <c r="AL456">
        <f>IFERROR(AVERAGEIF($A$4:$A$1004,AI456,$X$4:$X$1004),"")</f>
        <v/>
      </c>
    </row>
    <row r="457">
      <c r="A457" s="1">
        <f>IF(Data!A457&gt;0,Data!A457,"")</f>
        <v/>
      </c>
      <c r="B457" s="1">
        <f>IF(Data!B457&gt;0,Data!B457,"")</f>
        <v/>
      </c>
      <c r="C457" s="1">
        <f>IF(Data!C457&gt;0,Data!C457,"")</f>
        <v/>
      </c>
      <c r="D457" s="1">
        <f>IF(Data!D457&gt;0,Data!D457,"")</f>
        <v/>
      </c>
      <c r="E457" s="1">
        <f>IF(Data!E457&gt;0,Data!E457,"")</f>
        <v/>
      </c>
      <c r="F457" s="1">
        <f>IF(Data!F457&gt;0,Data!F457,"")</f>
        <v/>
      </c>
      <c r="G457" s="1">
        <f>IF(Data!G457&gt;0,Data!G457,"")</f>
        <v/>
      </c>
      <c r="H457" s="1">
        <f>IF(Data!H457&gt;0,Data!H457,"")</f>
        <v/>
      </c>
      <c r="I457" s="1">
        <f>IF(Data!I457&gt;0,Data!I457,"")</f>
        <v/>
      </c>
      <c r="J457" s="1">
        <f>IF(Data!J457&gt;0,Data!J457,"")</f>
        <v/>
      </c>
      <c r="K457" s="1">
        <f>IF(Data!K457&gt;0,Data!K457,"")</f>
        <v/>
      </c>
      <c r="L457" s="1">
        <f>IF(Data!L457&gt;0,Data!L457,"")</f>
        <v/>
      </c>
      <c r="M457" s="1">
        <f>IF(Data!M457&gt;0,Data!M457,"")</f>
        <v/>
      </c>
      <c r="N457" s="1">
        <f>IF(Data!N457&gt;0,Data!N457,"")</f>
        <v/>
      </c>
      <c r="O457" s="1">
        <f>IF(Data!O457&gt;0,Data!O457,"")</f>
        <v/>
      </c>
      <c r="P457" s="1">
        <f>IF(Data!P457&gt;0,Data!P457,"")</f>
        <v/>
      </c>
      <c r="Q457" s="1">
        <f>IF(Data!Q457&gt;0,Data!Q457,"")</f>
        <v/>
      </c>
      <c r="R457" s="1">
        <f>IF(Data!R457&gt;0,Data!R457,"")</f>
        <v/>
      </c>
      <c r="S457" s="1">
        <f>IF(Data!S457&gt;0,Data!S457,"")</f>
        <v/>
      </c>
      <c r="V457" s="3">
        <f>IF(COUNT(D457,J457,K457,L457,M457,O457)&gt;0,AVERAGE(D457,J457,K457,L457,M457,O457),"")</f>
        <v/>
      </c>
      <c r="W457" s="3">
        <f>IF(COUNT(C457,F457,G457,N457,Q457)&gt;0,AVERAGE(C457,F457,G457,N457,Q457),"")</f>
        <v/>
      </c>
      <c r="X457" s="3">
        <f>IF(COUNT(B457,E457,H457,I457,P457,R457,S457)&gt;0,AVERAGE(B457,E457,H457,I457,P457,R457,S457),"")</f>
        <v/>
      </c>
      <c r="Y457" s="3" t="n"/>
      <c r="AJ457">
        <f>IFERROR(AVERAGEIF($A$4:$A$1004,AI457,$V$4:$V$1004),"")</f>
        <v/>
      </c>
      <c r="AK457">
        <f>IFERROR(AVERAGEIF($A$4:$A$1004,AI457,$W$4:$W$1004),"")</f>
        <v/>
      </c>
      <c r="AL457">
        <f>IFERROR(AVERAGEIF($A$4:$A$1004,AI457,$X$4:$X$1004),"")</f>
        <v/>
      </c>
    </row>
    <row r="458">
      <c r="A458" s="1">
        <f>IF(Data!A458&gt;0,Data!A458,"")</f>
        <v/>
      </c>
      <c r="B458" s="1">
        <f>IF(Data!B458&gt;0,Data!B458,"")</f>
        <v/>
      </c>
      <c r="C458" s="1">
        <f>IF(Data!C458&gt;0,Data!C458,"")</f>
        <v/>
      </c>
      <c r="D458" s="1">
        <f>IF(Data!D458&gt;0,Data!D458,"")</f>
        <v/>
      </c>
      <c r="E458" s="1">
        <f>IF(Data!E458&gt;0,Data!E458,"")</f>
        <v/>
      </c>
      <c r="F458" s="1">
        <f>IF(Data!F458&gt;0,Data!F458,"")</f>
        <v/>
      </c>
      <c r="G458" s="1">
        <f>IF(Data!G458&gt;0,Data!G458,"")</f>
        <v/>
      </c>
      <c r="H458" s="1">
        <f>IF(Data!H458&gt;0,Data!H458,"")</f>
        <v/>
      </c>
      <c r="I458" s="1">
        <f>IF(Data!I458&gt;0,Data!I458,"")</f>
        <v/>
      </c>
      <c r="J458" s="1">
        <f>IF(Data!J458&gt;0,Data!J458,"")</f>
        <v/>
      </c>
      <c r="K458" s="1">
        <f>IF(Data!K458&gt;0,Data!K458,"")</f>
        <v/>
      </c>
      <c r="L458" s="1">
        <f>IF(Data!L458&gt;0,Data!L458,"")</f>
        <v/>
      </c>
      <c r="M458" s="1">
        <f>IF(Data!M458&gt;0,Data!M458,"")</f>
        <v/>
      </c>
      <c r="N458" s="1">
        <f>IF(Data!N458&gt;0,Data!N458,"")</f>
        <v/>
      </c>
      <c r="O458" s="1">
        <f>IF(Data!O458&gt;0,Data!O458,"")</f>
        <v/>
      </c>
      <c r="P458" s="1">
        <f>IF(Data!P458&gt;0,Data!P458,"")</f>
        <v/>
      </c>
      <c r="Q458" s="1">
        <f>IF(Data!Q458&gt;0,Data!Q458,"")</f>
        <v/>
      </c>
      <c r="R458" s="1">
        <f>IF(Data!R458&gt;0,Data!R458,"")</f>
        <v/>
      </c>
      <c r="S458" s="1">
        <f>IF(Data!S458&gt;0,Data!S458,"")</f>
        <v/>
      </c>
      <c r="V458" s="3">
        <f>IF(COUNT(D458,J458,K458,L458,M458,O458)&gt;0,AVERAGE(D458,J458,K458,L458,M458,O458),"")</f>
        <v/>
      </c>
      <c r="W458" s="3">
        <f>IF(COUNT(C458,F458,G458,N458,Q458)&gt;0,AVERAGE(C458,F458,G458,N458,Q458),"")</f>
        <v/>
      </c>
      <c r="X458" s="3">
        <f>IF(COUNT(B458,E458,H458,I458,P458,R458,S458)&gt;0,AVERAGE(B458,E458,H458,I458,P458,R458,S458),"")</f>
        <v/>
      </c>
      <c r="Y458" s="3" t="n"/>
      <c r="AJ458">
        <f>IFERROR(AVERAGEIF($A$4:$A$1004,AI458,$V$4:$V$1004),"")</f>
        <v/>
      </c>
      <c r="AK458">
        <f>IFERROR(AVERAGEIF($A$4:$A$1004,AI458,$W$4:$W$1004),"")</f>
        <v/>
      </c>
      <c r="AL458">
        <f>IFERROR(AVERAGEIF($A$4:$A$1004,AI458,$X$4:$X$1004),"")</f>
        <v/>
      </c>
    </row>
    <row r="459">
      <c r="A459" s="1">
        <f>IF(Data!A459&gt;0,Data!A459,"")</f>
        <v/>
      </c>
      <c r="B459" s="1">
        <f>IF(Data!B459&gt;0,Data!B459,"")</f>
        <v/>
      </c>
      <c r="C459" s="1">
        <f>IF(Data!C459&gt;0,Data!C459,"")</f>
        <v/>
      </c>
      <c r="D459" s="1">
        <f>IF(Data!D459&gt;0,Data!D459,"")</f>
        <v/>
      </c>
      <c r="E459" s="1">
        <f>IF(Data!E459&gt;0,Data!E459,"")</f>
        <v/>
      </c>
      <c r="F459" s="1">
        <f>IF(Data!F459&gt;0,Data!F459,"")</f>
        <v/>
      </c>
      <c r="G459" s="1">
        <f>IF(Data!G459&gt;0,Data!G459,"")</f>
        <v/>
      </c>
      <c r="H459" s="1">
        <f>IF(Data!H459&gt;0,Data!H459,"")</f>
        <v/>
      </c>
      <c r="I459" s="1">
        <f>IF(Data!I459&gt;0,Data!I459,"")</f>
        <v/>
      </c>
      <c r="J459" s="1">
        <f>IF(Data!J459&gt;0,Data!J459,"")</f>
        <v/>
      </c>
      <c r="K459" s="1">
        <f>IF(Data!K459&gt;0,Data!K459,"")</f>
        <v/>
      </c>
      <c r="L459" s="1">
        <f>IF(Data!L459&gt;0,Data!L459,"")</f>
        <v/>
      </c>
      <c r="M459" s="1">
        <f>IF(Data!M459&gt;0,Data!M459,"")</f>
        <v/>
      </c>
      <c r="N459" s="1">
        <f>IF(Data!N459&gt;0,Data!N459,"")</f>
        <v/>
      </c>
      <c r="O459" s="1">
        <f>IF(Data!O459&gt;0,Data!O459,"")</f>
        <v/>
      </c>
      <c r="P459" s="1">
        <f>IF(Data!P459&gt;0,Data!P459,"")</f>
        <v/>
      </c>
      <c r="Q459" s="1">
        <f>IF(Data!Q459&gt;0,Data!Q459,"")</f>
        <v/>
      </c>
      <c r="R459" s="1">
        <f>IF(Data!R459&gt;0,Data!R459,"")</f>
        <v/>
      </c>
      <c r="S459" s="1">
        <f>IF(Data!S459&gt;0,Data!S459,"")</f>
        <v/>
      </c>
      <c r="V459" s="3">
        <f>IF(COUNT(D459,J459,K459,L459,M459,O459)&gt;0,AVERAGE(D459,J459,K459,L459,M459,O459),"")</f>
        <v/>
      </c>
      <c r="W459" s="3">
        <f>IF(COUNT(C459,F459,G459,N459,Q459)&gt;0,AVERAGE(C459,F459,G459,N459,Q459),"")</f>
        <v/>
      </c>
      <c r="X459" s="3">
        <f>IF(COUNT(B459,E459,H459,I459,P459,R459,S459)&gt;0,AVERAGE(B459,E459,H459,I459,P459,R459,S459),"")</f>
        <v/>
      </c>
      <c r="Y459" s="3" t="n"/>
      <c r="AJ459">
        <f>IFERROR(AVERAGEIF($A$4:$A$1004,AI459,$V$4:$V$1004),"")</f>
        <v/>
      </c>
      <c r="AK459">
        <f>IFERROR(AVERAGEIF($A$4:$A$1004,AI459,$W$4:$W$1004),"")</f>
        <v/>
      </c>
      <c r="AL459">
        <f>IFERROR(AVERAGEIF($A$4:$A$1004,AI459,$X$4:$X$1004),"")</f>
        <v/>
      </c>
    </row>
    <row r="460">
      <c r="A460" s="1">
        <f>IF(Data!A460&gt;0,Data!A460,"")</f>
        <v/>
      </c>
      <c r="B460" s="1">
        <f>IF(Data!B460&gt;0,Data!B460,"")</f>
        <v/>
      </c>
      <c r="C460" s="1">
        <f>IF(Data!C460&gt;0,Data!C460,"")</f>
        <v/>
      </c>
      <c r="D460" s="1">
        <f>IF(Data!D460&gt;0,Data!D460,"")</f>
        <v/>
      </c>
      <c r="E460" s="1">
        <f>IF(Data!E460&gt;0,Data!E460,"")</f>
        <v/>
      </c>
      <c r="F460" s="1">
        <f>IF(Data!F460&gt;0,Data!F460,"")</f>
        <v/>
      </c>
      <c r="G460" s="1">
        <f>IF(Data!G460&gt;0,Data!G460,"")</f>
        <v/>
      </c>
      <c r="H460" s="1">
        <f>IF(Data!H460&gt;0,Data!H460,"")</f>
        <v/>
      </c>
      <c r="I460" s="1">
        <f>IF(Data!I460&gt;0,Data!I460,"")</f>
        <v/>
      </c>
      <c r="J460" s="1">
        <f>IF(Data!J460&gt;0,Data!J460,"")</f>
        <v/>
      </c>
      <c r="K460" s="1">
        <f>IF(Data!K460&gt;0,Data!K460,"")</f>
        <v/>
      </c>
      <c r="L460" s="1">
        <f>IF(Data!L460&gt;0,Data!L460,"")</f>
        <v/>
      </c>
      <c r="M460" s="1">
        <f>IF(Data!M460&gt;0,Data!M460,"")</f>
        <v/>
      </c>
      <c r="N460" s="1">
        <f>IF(Data!N460&gt;0,Data!N460,"")</f>
        <v/>
      </c>
      <c r="O460" s="1">
        <f>IF(Data!O460&gt;0,Data!O460,"")</f>
        <v/>
      </c>
      <c r="P460" s="1">
        <f>IF(Data!P460&gt;0,Data!P460,"")</f>
        <v/>
      </c>
      <c r="Q460" s="1">
        <f>IF(Data!Q460&gt;0,Data!Q460,"")</f>
        <v/>
      </c>
      <c r="R460" s="1">
        <f>IF(Data!R460&gt;0,Data!R460,"")</f>
        <v/>
      </c>
      <c r="S460" s="1">
        <f>IF(Data!S460&gt;0,Data!S460,"")</f>
        <v/>
      </c>
      <c r="V460" s="3">
        <f>IF(COUNT(D460,J460,K460,L460,M460,O460)&gt;0,AVERAGE(D460,J460,K460,L460,M460,O460),"")</f>
        <v/>
      </c>
      <c r="W460" s="3">
        <f>IF(COUNT(C460,F460,G460,N460,Q460)&gt;0,AVERAGE(C460,F460,G460,N460,Q460),"")</f>
        <v/>
      </c>
      <c r="X460" s="3">
        <f>IF(COUNT(B460,E460,H460,I460,P460,R460,S460)&gt;0,AVERAGE(B460,E460,H460,I460,P460,R460,S460),"")</f>
        <v/>
      </c>
      <c r="Y460" s="3" t="n"/>
      <c r="AJ460">
        <f>IFERROR(AVERAGEIF($A$4:$A$1004,AI460,$V$4:$V$1004),"")</f>
        <v/>
      </c>
      <c r="AK460">
        <f>IFERROR(AVERAGEIF($A$4:$A$1004,AI460,$W$4:$W$1004),"")</f>
        <v/>
      </c>
      <c r="AL460">
        <f>IFERROR(AVERAGEIF($A$4:$A$1004,AI460,$X$4:$X$1004),"")</f>
        <v/>
      </c>
    </row>
    <row r="461">
      <c r="A461" s="1">
        <f>IF(Data!A461&gt;0,Data!A461,"")</f>
        <v/>
      </c>
      <c r="B461" s="1">
        <f>IF(Data!B461&gt;0,Data!B461,"")</f>
        <v/>
      </c>
      <c r="C461" s="1">
        <f>IF(Data!C461&gt;0,Data!C461,"")</f>
        <v/>
      </c>
      <c r="D461" s="1">
        <f>IF(Data!D461&gt;0,Data!D461,"")</f>
        <v/>
      </c>
      <c r="E461" s="1">
        <f>IF(Data!E461&gt;0,Data!E461,"")</f>
        <v/>
      </c>
      <c r="F461" s="1">
        <f>IF(Data!F461&gt;0,Data!F461,"")</f>
        <v/>
      </c>
      <c r="G461" s="1">
        <f>IF(Data!G461&gt;0,Data!G461,"")</f>
        <v/>
      </c>
      <c r="H461" s="1">
        <f>IF(Data!H461&gt;0,Data!H461,"")</f>
        <v/>
      </c>
      <c r="I461" s="1">
        <f>IF(Data!I461&gt;0,Data!I461,"")</f>
        <v/>
      </c>
      <c r="J461" s="1">
        <f>IF(Data!J461&gt;0,Data!J461,"")</f>
        <v/>
      </c>
      <c r="K461" s="1">
        <f>IF(Data!K461&gt;0,Data!K461,"")</f>
        <v/>
      </c>
      <c r="L461" s="1">
        <f>IF(Data!L461&gt;0,Data!L461,"")</f>
        <v/>
      </c>
      <c r="M461" s="1">
        <f>IF(Data!M461&gt;0,Data!M461,"")</f>
        <v/>
      </c>
      <c r="N461" s="1">
        <f>IF(Data!N461&gt;0,Data!N461,"")</f>
        <v/>
      </c>
      <c r="O461" s="1">
        <f>IF(Data!O461&gt;0,Data!O461,"")</f>
        <v/>
      </c>
      <c r="P461" s="1">
        <f>IF(Data!P461&gt;0,Data!P461,"")</f>
        <v/>
      </c>
      <c r="Q461" s="1">
        <f>IF(Data!Q461&gt;0,Data!Q461,"")</f>
        <v/>
      </c>
      <c r="R461" s="1">
        <f>IF(Data!R461&gt;0,Data!R461,"")</f>
        <v/>
      </c>
      <c r="S461" s="1">
        <f>IF(Data!S461&gt;0,Data!S461,"")</f>
        <v/>
      </c>
      <c r="V461" s="3">
        <f>IF(COUNT(D461,J461,K461,L461,M461,O461)&gt;0,AVERAGE(D461,J461,K461,L461,M461,O461),"")</f>
        <v/>
      </c>
      <c r="W461" s="3">
        <f>IF(COUNT(C461,F461,G461,N461,Q461)&gt;0,AVERAGE(C461,F461,G461,N461,Q461),"")</f>
        <v/>
      </c>
      <c r="X461" s="3">
        <f>IF(COUNT(B461,E461,H461,I461,P461,R461,S461)&gt;0,AVERAGE(B461,E461,H461,I461,P461,R461,S461),"")</f>
        <v/>
      </c>
      <c r="Y461" s="3" t="n"/>
      <c r="AJ461">
        <f>IFERROR(AVERAGEIF($A$4:$A$1004,AI461,$V$4:$V$1004),"")</f>
        <v/>
      </c>
      <c r="AK461">
        <f>IFERROR(AVERAGEIF($A$4:$A$1004,AI461,$W$4:$W$1004),"")</f>
        <v/>
      </c>
      <c r="AL461">
        <f>IFERROR(AVERAGEIF($A$4:$A$1004,AI461,$X$4:$X$1004),"")</f>
        <v/>
      </c>
    </row>
    <row r="462">
      <c r="A462" s="1">
        <f>IF(Data!A462&gt;0,Data!A462,"")</f>
        <v/>
      </c>
      <c r="B462" s="1">
        <f>IF(Data!B462&gt;0,Data!B462,"")</f>
        <v/>
      </c>
      <c r="C462" s="1">
        <f>IF(Data!C462&gt;0,Data!C462,"")</f>
        <v/>
      </c>
      <c r="D462" s="1">
        <f>IF(Data!D462&gt;0,Data!D462,"")</f>
        <v/>
      </c>
      <c r="E462" s="1">
        <f>IF(Data!E462&gt;0,Data!E462,"")</f>
        <v/>
      </c>
      <c r="F462" s="1">
        <f>IF(Data!F462&gt;0,Data!F462,"")</f>
        <v/>
      </c>
      <c r="G462" s="1">
        <f>IF(Data!G462&gt;0,Data!G462,"")</f>
        <v/>
      </c>
      <c r="H462" s="1">
        <f>IF(Data!H462&gt;0,Data!H462,"")</f>
        <v/>
      </c>
      <c r="I462" s="1">
        <f>IF(Data!I462&gt;0,Data!I462,"")</f>
        <v/>
      </c>
      <c r="J462" s="1">
        <f>IF(Data!J462&gt;0,Data!J462,"")</f>
        <v/>
      </c>
      <c r="K462" s="1">
        <f>IF(Data!K462&gt;0,Data!K462,"")</f>
        <v/>
      </c>
      <c r="L462" s="1">
        <f>IF(Data!L462&gt;0,Data!L462,"")</f>
        <v/>
      </c>
      <c r="M462" s="1">
        <f>IF(Data!M462&gt;0,Data!M462,"")</f>
        <v/>
      </c>
      <c r="N462" s="1">
        <f>IF(Data!N462&gt;0,Data!N462,"")</f>
        <v/>
      </c>
      <c r="O462" s="1">
        <f>IF(Data!O462&gt;0,Data!O462,"")</f>
        <v/>
      </c>
      <c r="P462" s="1">
        <f>IF(Data!P462&gt;0,Data!P462,"")</f>
        <v/>
      </c>
      <c r="Q462" s="1">
        <f>IF(Data!Q462&gt;0,Data!Q462,"")</f>
        <v/>
      </c>
      <c r="R462" s="1">
        <f>IF(Data!R462&gt;0,Data!R462,"")</f>
        <v/>
      </c>
      <c r="S462" s="1">
        <f>IF(Data!S462&gt;0,Data!S462,"")</f>
        <v/>
      </c>
      <c r="V462" s="3">
        <f>IF(COUNT(D462,J462,K462,L462,M462,O462)&gt;0,AVERAGE(D462,J462,K462,L462,M462,O462),"")</f>
        <v/>
      </c>
      <c r="W462" s="3">
        <f>IF(COUNT(C462,F462,G462,N462,Q462)&gt;0,AVERAGE(C462,F462,G462,N462,Q462),"")</f>
        <v/>
      </c>
      <c r="X462" s="3">
        <f>IF(COUNT(B462,E462,H462,I462,P462,R462,S462)&gt;0,AVERAGE(B462,E462,H462,I462,P462,R462,S462),"")</f>
        <v/>
      </c>
      <c r="Y462" s="3" t="n"/>
      <c r="AJ462">
        <f>IFERROR(AVERAGEIF($A$4:$A$1004,AI462,$V$4:$V$1004),"")</f>
        <v/>
      </c>
      <c r="AK462">
        <f>IFERROR(AVERAGEIF($A$4:$A$1004,AI462,$W$4:$W$1004),"")</f>
        <v/>
      </c>
      <c r="AL462">
        <f>IFERROR(AVERAGEIF($A$4:$A$1004,AI462,$X$4:$X$1004),"")</f>
        <v/>
      </c>
    </row>
    <row r="463">
      <c r="A463" s="1">
        <f>IF(Data!A463&gt;0,Data!A463,"")</f>
        <v/>
      </c>
      <c r="B463" s="1">
        <f>IF(Data!B463&gt;0,Data!B463,"")</f>
        <v/>
      </c>
      <c r="C463" s="1">
        <f>IF(Data!C463&gt;0,Data!C463,"")</f>
        <v/>
      </c>
      <c r="D463" s="1">
        <f>IF(Data!D463&gt;0,Data!D463,"")</f>
        <v/>
      </c>
      <c r="E463" s="1">
        <f>IF(Data!E463&gt;0,Data!E463,"")</f>
        <v/>
      </c>
      <c r="F463" s="1">
        <f>IF(Data!F463&gt;0,Data!F463,"")</f>
        <v/>
      </c>
      <c r="G463" s="1">
        <f>IF(Data!G463&gt;0,Data!G463,"")</f>
        <v/>
      </c>
      <c r="H463" s="1">
        <f>IF(Data!H463&gt;0,Data!H463,"")</f>
        <v/>
      </c>
      <c r="I463" s="1">
        <f>IF(Data!I463&gt;0,Data!I463,"")</f>
        <v/>
      </c>
      <c r="J463" s="1">
        <f>IF(Data!J463&gt;0,Data!J463,"")</f>
        <v/>
      </c>
      <c r="K463" s="1">
        <f>IF(Data!K463&gt;0,Data!K463,"")</f>
        <v/>
      </c>
      <c r="L463" s="1">
        <f>IF(Data!L463&gt;0,Data!L463,"")</f>
        <v/>
      </c>
      <c r="M463" s="1">
        <f>IF(Data!M463&gt;0,Data!M463,"")</f>
        <v/>
      </c>
      <c r="N463" s="1">
        <f>IF(Data!N463&gt;0,Data!N463,"")</f>
        <v/>
      </c>
      <c r="O463" s="1">
        <f>IF(Data!O463&gt;0,Data!O463,"")</f>
        <v/>
      </c>
      <c r="P463" s="1">
        <f>IF(Data!P463&gt;0,Data!P463,"")</f>
        <v/>
      </c>
      <c r="Q463" s="1">
        <f>IF(Data!Q463&gt;0,Data!Q463,"")</f>
        <v/>
      </c>
      <c r="R463" s="1">
        <f>IF(Data!R463&gt;0,Data!R463,"")</f>
        <v/>
      </c>
      <c r="S463" s="1">
        <f>IF(Data!S463&gt;0,Data!S463,"")</f>
        <v/>
      </c>
      <c r="V463" s="3">
        <f>IF(COUNT(D463,J463,K463,L463,M463,O463)&gt;0,AVERAGE(D463,J463,K463,L463,M463,O463),"")</f>
        <v/>
      </c>
      <c r="W463" s="3">
        <f>IF(COUNT(C463,F463,G463,N463,Q463)&gt;0,AVERAGE(C463,F463,G463,N463,Q463),"")</f>
        <v/>
      </c>
      <c r="X463" s="3">
        <f>IF(COUNT(B463,E463,H463,I463,P463,R463,S463)&gt;0,AVERAGE(B463,E463,H463,I463,P463,R463,S463),"")</f>
        <v/>
      </c>
      <c r="Y463" s="3" t="n"/>
      <c r="AJ463">
        <f>IFERROR(AVERAGEIF($A$4:$A$1004,AI463,$V$4:$V$1004),"")</f>
        <v/>
      </c>
      <c r="AK463">
        <f>IFERROR(AVERAGEIF($A$4:$A$1004,AI463,$W$4:$W$1004),"")</f>
        <v/>
      </c>
      <c r="AL463">
        <f>IFERROR(AVERAGEIF($A$4:$A$1004,AI463,$X$4:$X$1004),"")</f>
        <v/>
      </c>
    </row>
    <row r="464">
      <c r="A464" s="1">
        <f>IF(Data!A464&gt;0,Data!A464,"")</f>
        <v/>
      </c>
      <c r="B464" s="1">
        <f>IF(Data!B464&gt;0,Data!B464,"")</f>
        <v/>
      </c>
      <c r="C464" s="1">
        <f>IF(Data!C464&gt;0,Data!C464,"")</f>
        <v/>
      </c>
      <c r="D464" s="1">
        <f>IF(Data!D464&gt;0,Data!D464,"")</f>
        <v/>
      </c>
      <c r="E464" s="1">
        <f>IF(Data!E464&gt;0,Data!E464,"")</f>
        <v/>
      </c>
      <c r="F464" s="1">
        <f>IF(Data!F464&gt;0,Data!F464,"")</f>
        <v/>
      </c>
      <c r="G464" s="1">
        <f>IF(Data!G464&gt;0,Data!G464,"")</f>
        <v/>
      </c>
      <c r="H464" s="1">
        <f>IF(Data!H464&gt;0,Data!H464,"")</f>
        <v/>
      </c>
      <c r="I464" s="1">
        <f>IF(Data!I464&gt;0,Data!I464,"")</f>
        <v/>
      </c>
      <c r="J464" s="1">
        <f>IF(Data!J464&gt;0,Data!J464,"")</f>
        <v/>
      </c>
      <c r="K464" s="1">
        <f>IF(Data!K464&gt;0,Data!K464,"")</f>
        <v/>
      </c>
      <c r="L464" s="1">
        <f>IF(Data!L464&gt;0,Data!L464,"")</f>
        <v/>
      </c>
      <c r="M464" s="1">
        <f>IF(Data!M464&gt;0,Data!M464,"")</f>
        <v/>
      </c>
      <c r="N464" s="1">
        <f>IF(Data!N464&gt;0,Data!N464,"")</f>
        <v/>
      </c>
      <c r="O464" s="1">
        <f>IF(Data!O464&gt;0,Data!O464,"")</f>
        <v/>
      </c>
      <c r="P464" s="1">
        <f>IF(Data!P464&gt;0,Data!P464,"")</f>
        <v/>
      </c>
      <c r="Q464" s="1">
        <f>IF(Data!Q464&gt;0,Data!Q464,"")</f>
        <v/>
      </c>
      <c r="R464" s="1">
        <f>IF(Data!R464&gt;0,Data!R464,"")</f>
        <v/>
      </c>
      <c r="S464" s="1">
        <f>IF(Data!S464&gt;0,Data!S464,"")</f>
        <v/>
      </c>
      <c r="V464" s="3">
        <f>IF(COUNT(D464,J464,K464,L464,M464,O464)&gt;0,AVERAGE(D464,J464,K464,L464,M464,O464),"")</f>
        <v/>
      </c>
      <c r="W464" s="3">
        <f>IF(COUNT(C464,F464,G464,N464,Q464)&gt;0,AVERAGE(C464,F464,G464,N464,Q464),"")</f>
        <v/>
      </c>
      <c r="X464" s="3">
        <f>IF(COUNT(B464,E464,H464,I464,P464,R464,S464)&gt;0,AVERAGE(B464,E464,H464,I464,P464,R464,S464),"")</f>
        <v/>
      </c>
      <c r="Y464" s="3" t="n"/>
      <c r="AJ464">
        <f>IFERROR(AVERAGEIF($A$4:$A$1004,AI464,$V$4:$V$1004),"")</f>
        <v/>
      </c>
      <c r="AK464">
        <f>IFERROR(AVERAGEIF($A$4:$A$1004,AI464,$W$4:$W$1004),"")</f>
        <v/>
      </c>
      <c r="AL464">
        <f>IFERROR(AVERAGEIF($A$4:$A$1004,AI464,$X$4:$X$1004),"")</f>
        <v/>
      </c>
    </row>
    <row r="465">
      <c r="A465" s="1">
        <f>IF(Data!A465&gt;0,Data!A465,"")</f>
        <v/>
      </c>
      <c r="B465" s="1">
        <f>IF(Data!B465&gt;0,Data!B465,"")</f>
        <v/>
      </c>
      <c r="C465" s="1">
        <f>IF(Data!C465&gt;0,Data!C465,"")</f>
        <v/>
      </c>
      <c r="D465" s="1">
        <f>IF(Data!D465&gt;0,Data!D465,"")</f>
        <v/>
      </c>
      <c r="E465" s="1">
        <f>IF(Data!E465&gt;0,Data!E465,"")</f>
        <v/>
      </c>
      <c r="F465" s="1">
        <f>IF(Data!F465&gt;0,Data!F465,"")</f>
        <v/>
      </c>
      <c r="G465" s="1">
        <f>IF(Data!G465&gt;0,Data!G465,"")</f>
        <v/>
      </c>
      <c r="H465" s="1">
        <f>IF(Data!H465&gt;0,Data!H465,"")</f>
        <v/>
      </c>
      <c r="I465" s="1">
        <f>IF(Data!I465&gt;0,Data!I465,"")</f>
        <v/>
      </c>
      <c r="J465" s="1">
        <f>IF(Data!J465&gt;0,Data!J465,"")</f>
        <v/>
      </c>
      <c r="K465" s="1">
        <f>IF(Data!K465&gt;0,Data!K465,"")</f>
        <v/>
      </c>
      <c r="L465" s="1">
        <f>IF(Data!L465&gt;0,Data!L465,"")</f>
        <v/>
      </c>
      <c r="M465" s="1">
        <f>IF(Data!M465&gt;0,Data!M465,"")</f>
        <v/>
      </c>
      <c r="N465" s="1">
        <f>IF(Data!N465&gt;0,Data!N465,"")</f>
        <v/>
      </c>
      <c r="O465" s="1">
        <f>IF(Data!O465&gt;0,Data!O465,"")</f>
        <v/>
      </c>
      <c r="P465" s="1">
        <f>IF(Data!P465&gt;0,Data!P465,"")</f>
        <v/>
      </c>
      <c r="Q465" s="1">
        <f>IF(Data!Q465&gt;0,Data!Q465,"")</f>
        <v/>
      </c>
      <c r="R465" s="1">
        <f>IF(Data!R465&gt;0,Data!R465,"")</f>
        <v/>
      </c>
      <c r="S465" s="1">
        <f>IF(Data!S465&gt;0,Data!S465,"")</f>
        <v/>
      </c>
      <c r="V465" s="3">
        <f>IF(COUNT(D465,J465,K465,L465,M465,O465)&gt;0,AVERAGE(D465,J465,K465,L465,M465,O465),"")</f>
        <v/>
      </c>
      <c r="W465" s="3">
        <f>IF(COUNT(C465,F465,G465,N465,Q465)&gt;0,AVERAGE(C465,F465,G465,N465,Q465),"")</f>
        <v/>
      </c>
      <c r="X465" s="3">
        <f>IF(COUNT(B465,E465,H465,I465,P465,R465,S465)&gt;0,AVERAGE(B465,E465,H465,I465,P465,R465,S465),"")</f>
        <v/>
      </c>
      <c r="Y465" s="3" t="n"/>
      <c r="AJ465">
        <f>IFERROR(AVERAGEIF($A$4:$A$1004,AI465,$V$4:$V$1004),"")</f>
        <v/>
      </c>
      <c r="AK465">
        <f>IFERROR(AVERAGEIF($A$4:$A$1004,AI465,$W$4:$W$1004),"")</f>
        <v/>
      </c>
      <c r="AL465">
        <f>IFERROR(AVERAGEIF($A$4:$A$1004,AI465,$X$4:$X$1004),"")</f>
        <v/>
      </c>
    </row>
    <row r="466">
      <c r="A466" s="1">
        <f>IF(Data!A466&gt;0,Data!A466,"")</f>
        <v/>
      </c>
      <c r="B466" s="1">
        <f>IF(Data!B466&gt;0,Data!B466,"")</f>
        <v/>
      </c>
      <c r="C466" s="1">
        <f>IF(Data!C466&gt;0,Data!C466,"")</f>
        <v/>
      </c>
      <c r="D466" s="1">
        <f>IF(Data!D466&gt;0,Data!D466,"")</f>
        <v/>
      </c>
      <c r="E466" s="1">
        <f>IF(Data!E466&gt;0,Data!E466,"")</f>
        <v/>
      </c>
      <c r="F466" s="1">
        <f>IF(Data!F466&gt;0,Data!F466,"")</f>
        <v/>
      </c>
      <c r="G466" s="1">
        <f>IF(Data!G466&gt;0,Data!G466,"")</f>
        <v/>
      </c>
      <c r="H466" s="1">
        <f>IF(Data!H466&gt;0,Data!H466,"")</f>
        <v/>
      </c>
      <c r="I466" s="1">
        <f>IF(Data!I466&gt;0,Data!I466,"")</f>
        <v/>
      </c>
      <c r="J466" s="1">
        <f>IF(Data!J466&gt;0,Data!J466,"")</f>
        <v/>
      </c>
      <c r="K466" s="1">
        <f>IF(Data!K466&gt;0,Data!K466,"")</f>
        <v/>
      </c>
      <c r="L466" s="1">
        <f>IF(Data!L466&gt;0,Data!L466,"")</f>
        <v/>
      </c>
      <c r="M466" s="1">
        <f>IF(Data!M466&gt;0,Data!M466,"")</f>
        <v/>
      </c>
      <c r="N466" s="1">
        <f>IF(Data!N466&gt;0,Data!N466,"")</f>
        <v/>
      </c>
      <c r="O466" s="1">
        <f>IF(Data!O466&gt;0,Data!O466,"")</f>
        <v/>
      </c>
      <c r="P466" s="1">
        <f>IF(Data!P466&gt;0,Data!P466,"")</f>
        <v/>
      </c>
      <c r="Q466" s="1">
        <f>IF(Data!Q466&gt;0,Data!Q466,"")</f>
        <v/>
      </c>
      <c r="R466" s="1">
        <f>IF(Data!R466&gt;0,Data!R466,"")</f>
        <v/>
      </c>
      <c r="S466" s="1">
        <f>IF(Data!S466&gt;0,Data!S466,"")</f>
        <v/>
      </c>
      <c r="V466" s="3">
        <f>IF(COUNT(D466,J466,K466,L466,M466,O466)&gt;0,AVERAGE(D466,J466,K466,L466,M466,O466),"")</f>
        <v/>
      </c>
      <c r="W466" s="3">
        <f>IF(COUNT(C466,F466,G466,N466,Q466)&gt;0,AVERAGE(C466,F466,G466,N466,Q466),"")</f>
        <v/>
      </c>
      <c r="X466" s="3">
        <f>IF(COUNT(B466,E466,H466,I466,P466,R466,S466)&gt;0,AVERAGE(B466,E466,H466,I466,P466,R466,S466),"")</f>
        <v/>
      </c>
      <c r="Y466" s="3" t="n"/>
      <c r="AJ466">
        <f>IFERROR(AVERAGEIF($A$4:$A$1004,AI466,$V$4:$V$1004),"")</f>
        <v/>
      </c>
      <c r="AK466">
        <f>IFERROR(AVERAGEIF($A$4:$A$1004,AI466,$W$4:$W$1004),"")</f>
        <v/>
      </c>
      <c r="AL466">
        <f>IFERROR(AVERAGEIF($A$4:$A$1004,AI466,$X$4:$X$1004),"")</f>
        <v/>
      </c>
    </row>
    <row r="467">
      <c r="A467" s="1">
        <f>IF(Data!A467&gt;0,Data!A467,"")</f>
        <v/>
      </c>
      <c r="B467" s="1">
        <f>IF(Data!B467&gt;0,Data!B467,"")</f>
        <v/>
      </c>
      <c r="C467" s="1">
        <f>IF(Data!C467&gt;0,Data!C467,"")</f>
        <v/>
      </c>
      <c r="D467" s="1">
        <f>IF(Data!D467&gt;0,Data!D467,"")</f>
        <v/>
      </c>
      <c r="E467" s="1">
        <f>IF(Data!E467&gt;0,Data!E467,"")</f>
        <v/>
      </c>
      <c r="F467" s="1">
        <f>IF(Data!F467&gt;0,Data!F467,"")</f>
        <v/>
      </c>
      <c r="G467" s="1">
        <f>IF(Data!G467&gt;0,Data!G467,"")</f>
        <v/>
      </c>
      <c r="H467" s="1">
        <f>IF(Data!H467&gt;0,Data!H467,"")</f>
        <v/>
      </c>
      <c r="I467" s="1">
        <f>IF(Data!I467&gt;0,Data!I467,"")</f>
        <v/>
      </c>
      <c r="J467" s="1">
        <f>IF(Data!J467&gt;0,Data!J467,"")</f>
        <v/>
      </c>
      <c r="K467" s="1">
        <f>IF(Data!K467&gt;0,Data!K467,"")</f>
        <v/>
      </c>
      <c r="L467" s="1">
        <f>IF(Data!L467&gt;0,Data!L467,"")</f>
        <v/>
      </c>
      <c r="M467" s="1">
        <f>IF(Data!M467&gt;0,Data!M467,"")</f>
        <v/>
      </c>
      <c r="N467" s="1">
        <f>IF(Data!N467&gt;0,Data!N467,"")</f>
        <v/>
      </c>
      <c r="O467" s="1">
        <f>IF(Data!O467&gt;0,Data!O467,"")</f>
        <v/>
      </c>
      <c r="P467" s="1">
        <f>IF(Data!P467&gt;0,Data!P467,"")</f>
        <v/>
      </c>
      <c r="Q467" s="1">
        <f>IF(Data!Q467&gt;0,Data!Q467,"")</f>
        <v/>
      </c>
      <c r="R467" s="1">
        <f>IF(Data!R467&gt;0,Data!R467,"")</f>
        <v/>
      </c>
      <c r="S467" s="1">
        <f>IF(Data!S467&gt;0,Data!S467,"")</f>
        <v/>
      </c>
      <c r="V467" s="3">
        <f>IF(COUNT(D467,J467,K467,L467,M467,O467)&gt;0,AVERAGE(D467,J467,K467,L467,M467,O467),"")</f>
        <v/>
      </c>
      <c r="W467" s="3">
        <f>IF(COUNT(C467,F467,G467,N467,Q467)&gt;0,AVERAGE(C467,F467,G467,N467,Q467),"")</f>
        <v/>
      </c>
      <c r="X467" s="3">
        <f>IF(COUNT(B467,E467,H467,I467,P467,R467,S467)&gt;0,AVERAGE(B467,E467,H467,I467,P467,R467,S467),"")</f>
        <v/>
      </c>
      <c r="Y467" s="3" t="n"/>
      <c r="AJ467">
        <f>IFERROR(AVERAGEIF($A$4:$A$1004,AI467,$V$4:$V$1004),"")</f>
        <v/>
      </c>
      <c r="AK467">
        <f>IFERROR(AVERAGEIF($A$4:$A$1004,AI467,$W$4:$W$1004),"")</f>
        <v/>
      </c>
      <c r="AL467">
        <f>IFERROR(AVERAGEIF($A$4:$A$1004,AI467,$X$4:$X$1004),"")</f>
        <v/>
      </c>
    </row>
    <row r="468">
      <c r="A468" s="1">
        <f>IF(Data!A468&gt;0,Data!A468,"")</f>
        <v/>
      </c>
      <c r="B468" s="1">
        <f>IF(Data!B468&gt;0,Data!B468,"")</f>
        <v/>
      </c>
      <c r="C468" s="1">
        <f>IF(Data!C468&gt;0,Data!C468,"")</f>
        <v/>
      </c>
      <c r="D468" s="1">
        <f>IF(Data!D468&gt;0,Data!D468,"")</f>
        <v/>
      </c>
      <c r="E468" s="1">
        <f>IF(Data!E468&gt;0,Data!E468,"")</f>
        <v/>
      </c>
      <c r="F468" s="1">
        <f>IF(Data!F468&gt;0,Data!F468,"")</f>
        <v/>
      </c>
      <c r="G468" s="1">
        <f>IF(Data!G468&gt;0,Data!G468,"")</f>
        <v/>
      </c>
      <c r="H468" s="1">
        <f>IF(Data!H468&gt;0,Data!H468,"")</f>
        <v/>
      </c>
      <c r="I468" s="1">
        <f>IF(Data!I468&gt;0,Data!I468,"")</f>
        <v/>
      </c>
      <c r="J468" s="1">
        <f>IF(Data!J468&gt;0,Data!J468,"")</f>
        <v/>
      </c>
      <c r="K468" s="1">
        <f>IF(Data!K468&gt;0,Data!K468,"")</f>
        <v/>
      </c>
      <c r="L468" s="1">
        <f>IF(Data!L468&gt;0,Data!L468,"")</f>
        <v/>
      </c>
      <c r="M468" s="1">
        <f>IF(Data!M468&gt;0,Data!M468,"")</f>
        <v/>
      </c>
      <c r="N468" s="1">
        <f>IF(Data!N468&gt;0,Data!N468,"")</f>
        <v/>
      </c>
      <c r="O468" s="1">
        <f>IF(Data!O468&gt;0,Data!O468,"")</f>
        <v/>
      </c>
      <c r="P468" s="1">
        <f>IF(Data!P468&gt;0,Data!P468,"")</f>
        <v/>
      </c>
      <c r="Q468" s="1">
        <f>IF(Data!Q468&gt;0,Data!Q468,"")</f>
        <v/>
      </c>
      <c r="R468" s="1">
        <f>IF(Data!R468&gt;0,Data!R468,"")</f>
        <v/>
      </c>
      <c r="S468" s="1">
        <f>IF(Data!S468&gt;0,Data!S468,"")</f>
        <v/>
      </c>
      <c r="V468" s="3">
        <f>IF(COUNT(D468,J468,K468,L468,M468,O468)&gt;0,AVERAGE(D468,J468,K468,L468,M468,O468),"")</f>
        <v/>
      </c>
      <c r="W468" s="3">
        <f>IF(COUNT(C468,F468,G468,N468,Q468)&gt;0,AVERAGE(C468,F468,G468,N468,Q468),"")</f>
        <v/>
      </c>
      <c r="X468" s="3">
        <f>IF(COUNT(B468,E468,H468,I468,P468,R468,S468)&gt;0,AVERAGE(B468,E468,H468,I468,P468,R468,S468),"")</f>
        <v/>
      </c>
      <c r="Y468" s="3" t="n"/>
      <c r="AJ468">
        <f>IFERROR(AVERAGEIF($A$4:$A$1004,AI468,$V$4:$V$1004),"")</f>
        <v/>
      </c>
      <c r="AK468">
        <f>IFERROR(AVERAGEIF($A$4:$A$1004,AI468,$W$4:$W$1004),"")</f>
        <v/>
      </c>
      <c r="AL468">
        <f>IFERROR(AVERAGEIF($A$4:$A$1004,AI468,$X$4:$X$1004),"")</f>
        <v/>
      </c>
    </row>
    <row r="469">
      <c r="A469" s="1">
        <f>IF(Data!A469&gt;0,Data!A469,"")</f>
        <v/>
      </c>
      <c r="B469" s="1">
        <f>IF(Data!B469&gt;0,Data!B469,"")</f>
        <v/>
      </c>
      <c r="C469" s="1">
        <f>IF(Data!C469&gt;0,Data!C469,"")</f>
        <v/>
      </c>
      <c r="D469" s="1">
        <f>IF(Data!D469&gt;0,Data!D469,"")</f>
        <v/>
      </c>
      <c r="E469" s="1">
        <f>IF(Data!E469&gt;0,Data!E469,"")</f>
        <v/>
      </c>
      <c r="F469" s="1">
        <f>IF(Data!F469&gt;0,Data!F469,"")</f>
        <v/>
      </c>
      <c r="G469" s="1">
        <f>IF(Data!G469&gt;0,Data!G469,"")</f>
        <v/>
      </c>
      <c r="H469" s="1">
        <f>IF(Data!H469&gt;0,Data!H469,"")</f>
        <v/>
      </c>
      <c r="I469" s="1">
        <f>IF(Data!I469&gt;0,Data!I469,"")</f>
        <v/>
      </c>
      <c r="J469" s="1">
        <f>IF(Data!J469&gt;0,Data!J469,"")</f>
        <v/>
      </c>
      <c r="K469" s="1">
        <f>IF(Data!K469&gt;0,Data!K469,"")</f>
        <v/>
      </c>
      <c r="L469" s="1">
        <f>IF(Data!L469&gt;0,Data!L469,"")</f>
        <v/>
      </c>
      <c r="M469" s="1">
        <f>IF(Data!M469&gt;0,Data!M469,"")</f>
        <v/>
      </c>
      <c r="N469" s="1">
        <f>IF(Data!N469&gt;0,Data!N469,"")</f>
        <v/>
      </c>
      <c r="O469" s="1">
        <f>IF(Data!O469&gt;0,Data!O469,"")</f>
        <v/>
      </c>
      <c r="P469" s="1">
        <f>IF(Data!P469&gt;0,Data!P469,"")</f>
        <v/>
      </c>
      <c r="Q469" s="1">
        <f>IF(Data!Q469&gt;0,Data!Q469,"")</f>
        <v/>
      </c>
      <c r="R469" s="1">
        <f>IF(Data!R469&gt;0,Data!R469,"")</f>
        <v/>
      </c>
      <c r="S469" s="1">
        <f>IF(Data!S469&gt;0,Data!S469,"")</f>
        <v/>
      </c>
      <c r="V469" s="3">
        <f>IF(COUNT(D469,J469,K469,L469,M469,O469)&gt;0,AVERAGE(D469,J469,K469,L469,M469,O469),"")</f>
        <v/>
      </c>
      <c r="W469" s="3">
        <f>IF(COUNT(C469,F469,G469,N469,Q469)&gt;0,AVERAGE(C469,F469,G469,N469,Q469),"")</f>
        <v/>
      </c>
      <c r="X469" s="3">
        <f>IF(COUNT(B469,E469,H469,I469,P469,R469,S469)&gt;0,AVERAGE(B469,E469,H469,I469,P469,R469,S469),"")</f>
        <v/>
      </c>
      <c r="Y469" s="3" t="n"/>
      <c r="AJ469">
        <f>IFERROR(AVERAGEIF($A$4:$A$1004,AI469,$V$4:$V$1004),"")</f>
        <v/>
      </c>
      <c r="AK469">
        <f>IFERROR(AVERAGEIF($A$4:$A$1004,AI469,$W$4:$W$1004),"")</f>
        <v/>
      </c>
      <c r="AL469">
        <f>IFERROR(AVERAGEIF($A$4:$A$1004,AI469,$X$4:$X$1004),"")</f>
        <v/>
      </c>
    </row>
    <row r="470">
      <c r="A470" s="1">
        <f>IF(Data!A470&gt;0,Data!A470,"")</f>
        <v/>
      </c>
      <c r="B470" s="1">
        <f>IF(Data!B470&gt;0,Data!B470,"")</f>
        <v/>
      </c>
      <c r="C470" s="1">
        <f>IF(Data!C470&gt;0,Data!C470,"")</f>
        <v/>
      </c>
      <c r="D470" s="1">
        <f>IF(Data!D470&gt;0,Data!D470,"")</f>
        <v/>
      </c>
      <c r="E470" s="1">
        <f>IF(Data!E470&gt;0,Data!E470,"")</f>
        <v/>
      </c>
      <c r="F470" s="1">
        <f>IF(Data!F470&gt;0,Data!F470,"")</f>
        <v/>
      </c>
      <c r="G470" s="1">
        <f>IF(Data!G470&gt;0,Data!G470,"")</f>
        <v/>
      </c>
      <c r="H470" s="1">
        <f>IF(Data!H470&gt;0,Data!H470,"")</f>
        <v/>
      </c>
      <c r="I470" s="1">
        <f>IF(Data!I470&gt;0,Data!I470,"")</f>
        <v/>
      </c>
      <c r="J470" s="1">
        <f>IF(Data!J470&gt;0,Data!J470,"")</f>
        <v/>
      </c>
      <c r="K470" s="1">
        <f>IF(Data!K470&gt;0,Data!K470,"")</f>
        <v/>
      </c>
      <c r="L470" s="1">
        <f>IF(Data!L470&gt;0,Data!L470,"")</f>
        <v/>
      </c>
      <c r="M470" s="1">
        <f>IF(Data!M470&gt;0,Data!M470,"")</f>
        <v/>
      </c>
      <c r="N470" s="1">
        <f>IF(Data!N470&gt;0,Data!N470,"")</f>
        <v/>
      </c>
      <c r="O470" s="1">
        <f>IF(Data!O470&gt;0,Data!O470,"")</f>
        <v/>
      </c>
      <c r="P470" s="1">
        <f>IF(Data!P470&gt;0,Data!P470,"")</f>
        <v/>
      </c>
      <c r="Q470" s="1">
        <f>IF(Data!Q470&gt;0,Data!Q470,"")</f>
        <v/>
      </c>
      <c r="R470" s="1">
        <f>IF(Data!R470&gt;0,Data!R470,"")</f>
        <v/>
      </c>
      <c r="S470" s="1">
        <f>IF(Data!S470&gt;0,Data!S470,"")</f>
        <v/>
      </c>
      <c r="V470" s="3">
        <f>IF(COUNT(D470,J470,K470,L470,M470,O470)&gt;0,AVERAGE(D470,J470,K470,L470,M470,O470),"")</f>
        <v/>
      </c>
      <c r="W470" s="3">
        <f>IF(COUNT(C470,F470,G470,N470,Q470)&gt;0,AVERAGE(C470,F470,G470,N470,Q470),"")</f>
        <v/>
      </c>
      <c r="X470" s="3">
        <f>IF(COUNT(B470,E470,H470,I470,P470,R470,S470)&gt;0,AVERAGE(B470,E470,H470,I470,P470,R470,S470),"")</f>
        <v/>
      </c>
      <c r="Y470" s="3" t="n"/>
      <c r="AJ470">
        <f>IFERROR(AVERAGEIF($A$4:$A$1004,AI470,$V$4:$V$1004),"")</f>
        <v/>
      </c>
      <c r="AK470">
        <f>IFERROR(AVERAGEIF($A$4:$A$1004,AI470,$W$4:$W$1004),"")</f>
        <v/>
      </c>
      <c r="AL470">
        <f>IFERROR(AVERAGEIF($A$4:$A$1004,AI470,$X$4:$X$1004),"")</f>
        <v/>
      </c>
    </row>
    <row r="471">
      <c r="A471" s="1">
        <f>IF(Data!A471&gt;0,Data!A471,"")</f>
        <v/>
      </c>
      <c r="B471" s="1">
        <f>IF(Data!B471&gt;0,Data!B471,"")</f>
        <v/>
      </c>
      <c r="C471" s="1">
        <f>IF(Data!C471&gt;0,Data!C471,"")</f>
        <v/>
      </c>
      <c r="D471" s="1">
        <f>IF(Data!D471&gt;0,Data!D471,"")</f>
        <v/>
      </c>
      <c r="E471" s="1">
        <f>IF(Data!E471&gt;0,Data!E471,"")</f>
        <v/>
      </c>
      <c r="F471" s="1">
        <f>IF(Data!F471&gt;0,Data!F471,"")</f>
        <v/>
      </c>
      <c r="G471" s="1">
        <f>IF(Data!G471&gt;0,Data!G471,"")</f>
        <v/>
      </c>
      <c r="H471" s="1">
        <f>IF(Data!H471&gt;0,Data!H471,"")</f>
        <v/>
      </c>
      <c r="I471" s="1">
        <f>IF(Data!I471&gt;0,Data!I471,"")</f>
        <v/>
      </c>
      <c r="J471" s="1">
        <f>IF(Data!J471&gt;0,Data!J471,"")</f>
        <v/>
      </c>
      <c r="K471" s="1">
        <f>IF(Data!K471&gt;0,Data!K471,"")</f>
        <v/>
      </c>
      <c r="L471" s="1">
        <f>IF(Data!L471&gt;0,Data!L471,"")</f>
        <v/>
      </c>
      <c r="M471" s="1">
        <f>IF(Data!M471&gt;0,Data!M471,"")</f>
        <v/>
      </c>
      <c r="N471" s="1">
        <f>IF(Data!N471&gt;0,Data!N471,"")</f>
        <v/>
      </c>
      <c r="O471" s="1">
        <f>IF(Data!O471&gt;0,Data!O471,"")</f>
        <v/>
      </c>
      <c r="P471" s="1">
        <f>IF(Data!P471&gt;0,Data!P471,"")</f>
        <v/>
      </c>
      <c r="Q471" s="1">
        <f>IF(Data!Q471&gt;0,Data!Q471,"")</f>
        <v/>
      </c>
      <c r="R471" s="1">
        <f>IF(Data!R471&gt;0,Data!R471,"")</f>
        <v/>
      </c>
      <c r="S471" s="1">
        <f>IF(Data!S471&gt;0,Data!S471,"")</f>
        <v/>
      </c>
      <c r="V471" s="3">
        <f>IF(COUNT(D471,J471,K471,L471,M471,O471)&gt;0,AVERAGE(D471,J471,K471,L471,M471,O471),"")</f>
        <v/>
      </c>
      <c r="W471" s="3">
        <f>IF(COUNT(C471,F471,G471,N471,Q471)&gt;0,AVERAGE(C471,F471,G471,N471,Q471),"")</f>
        <v/>
      </c>
      <c r="X471" s="3">
        <f>IF(COUNT(B471,E471,H471,I471,P471,R471,S471)&gt;0,AVERAGE(B471,E471,H471,I471,P471,R471,S471),"")</f>
        <v/>
      </c>
      <c r="Y471" s="3" t="n"/>
      <c r="AJ471">
        <f>IFERROR(AVERAGEIF($A$4:$A$1004,AI471,$V$4:$V$1004),"")</f>
        <v/>
      </c>
      <c r="AK471">
        <f>IFERROR(AVERAGEIF($A$4:$A$1004,AI471,$W$4:$W$1004),"")</f>
        <v/>
      </c>
      <c r="AL471">
        <f>IFERROR(AVERAGEIF($A$4:$A$1004,AI471,$X$4:$X$1004),"")</f>
        <v/>
      </c>
    </row>
    <row r="472">
      <c r="A472" s="1">
        <f>IF(Data!A472&gt;0,Data!A472,"")</f>
        <v/>
      </c>
      <c r="B472" s="1">
        <f>IF(Data!B472&gt;0,Data!B472,"")</f>
        <v/>
      </c>
      <c r="C472" s="1">
        <f>IF(Data!C472&gt;0,Data!C472,"")</f>
        <v/>
      </c>
      <c r="D472" s="1">
        <f>IF(Data!D472&gt;0,Data!D472,"")</f>
        <v/>
      </c>
      <c r="E472" s="1">
        <f>IF(Data!E472&gt;0,Data!E472,"")</f>
        <v/>
      </c>
      <c r="F472" s="1">
        <f>IF(Data!F472&gt;0,Data!F472,"")</f>
        <v/>
      </c>
      <c r="G472" s="1">
        <f>IF(Data!G472&gt;0,Data!G472,"")</f>
        <v/>
      </c>
      <c r="H472" s="1">
        <f>IF(Data!H472&gt;0,Data!H472,"")</f>
        <v/>
      </c>
      <c r="I472" s="1">
        <f>IF(Data!I472&gt;0,Data!I472,"")</f>
        <v/>
      </c>
      <c r="J472" s="1">
        <f>IF(Data!J472&gt;0,Data!J472,"")</f>
        <v/>
      </c>
      <c r="K472" s="1">
        <f>IF(Data!K472&gt;0,Data!K472,"")</f>
        <v/>
      </c>
      <c r="L472" s="1">
        <f>IF(Data!L472&gt;0,Data!L472,"")</f>
        <v/>
      </c>
      <c r="M472" s="1">
        <f>IF(Data!M472&gt;0,Data!M472,"")</f>
        <v/>
      </c>
      <c r="N472" s="1">
        <f>IF(Data!N472&gt;0,Data!N472,"")</f>
        <v/>
      </c>
      <c r="O472" s="1">
        <f>IF(Data!O472&gt;0,Data!O472,"")</f>
        <v/>
      </c>
      <c r="P472" s="1">
        <f>IF(Data!P472&gt;0,Data!P472,"")</f>
        <v/>
      </c>
      <c r="Q472" s="1">
        <f>IF(Data!Q472&gt;0,Data!Q472,"")</f>
        <v/>
      </c>
      <c r="R472" s="1">
        <f>IF(Data!R472&gt;0,Data!R472,"")</f>
        <v/>
      </c>
      <c r="S472" s="1">
        <f>IF(Data!S472&gt;0,Data!S472,"")</f>
        <v/>
      </c>
      <c r="V472" s="3">
        <f>IF(COUNT(D472,J472,K472,L472,M472,O472)&gt;0,AVERAGE(D472,J472,K472,L472,M472,O472),"")</f>
        <v/>
      </c>
      <c r="W472" s="3">
        <f>IF(COUNT(C472,F472,G472,N472,Q472)&gt;0,AVERAGE(C472,F472,G472,N472,Q472),"")</f>
        <v/>
      </c>
      <c r="X472" s="3">
        <f>IF(COUNT(B472,E472,H472,I472,P472,R472,S472)&gt;0,AVERAGE(B472,E472,H472,I472,P472,R472,S472),"")</f>
        <v/>
      </c>
      <c r="Y472" s="3" t="n"/>
      <c r="AJ472">
        <f>IFERROR(AVERAGEIF($A$4:$A$1004,AI472,$V$4:$V$1004),"")</f>
        <v/>
      </c>
      <c r="AK472">
        <f>IFERROR(AVERAGEIF($A$4:$A$1004,AI472,$W$4:$W$1004),"")</f>
        <v/>
      </c>
      <c r="AL472">
        <f>IFERROR(AVERAGEIF($A$4:$A$1004,AI472,$X$4:$X$1004),"")</f>
        <v/>
      </c>
    </row>
    <row r="473">
      <c r="A473" s="1">
        <f>IF(Data!A473&gt;0,Data!A473,"")</f>
        <v/>
      </c>
      <c r="B473" s="1">
        <f>IF(Data!B473&gt;0,Data!B473,"")</f>
        <v/>
      </c>
      <c r="C473" s="1">
        <f>IF(Data!C473&gt;0,Data!C473,"")</f>
        <v/>
      </c>
      <c r="D473" s="1">
        <f>IF(Data!D473&gt;0,Data!D473,"")</f>
        <v/>
      </c>
      <c r="E473" s="1">
        <f>IF(Data!E473&gt;0,Data!E473,"")</f>
        <v/>
      </c>
      <c r="F473" s="1">
        <f>IF(Data!F473&gt;0,Data!F473,"")</f>
        <v/>
      </c>
      <c r="G473" s="1">
        <f>IF(Data!G473&gt;0,Data!G473,"")</f>
        <v/>
      </c>
      <c r="H473" s="1">
        <f>IF(Data!H473&gt;0,Data!H473,"")</f>
        <v/>
      </c>
      <c r="I473" s="1">
        <f>IF(Data!I473&gt;0,Data!I473,"")</f>
        <v/>
      </c>
      <c r="J473" s="1">
        <f>IF(Data!J473&gt;0,Data!J473,"")</f>
        <v/>
      </c>
      <c r="K473" s="1">
        <f>IF(Data!K473&gt;0,Data!K473,"")</f>
        <v/>
      </c>
      <c r="L473" s="1">
        <f>IF(Data!L473&gt;0,Data!L473,"")</f>
        <v/>
      </c>
      <c r="M473" s="1">
        <f>IF(Data!M473&gt;0,Data!M473,"")</f>
        <v/>
      </c>
      <c r="N473" s="1">
        <f>IF(Data!N473&gt;0,Data!N473,"")</f>
        <v/>
      </c>
      <c r="O473" s="1">
        <f>IF(Data!O473&gt;0,Data!O473,"")</f>
        <v/>
      </c>
      <c r="P473" s="1">
        <f>IF(Data!P473&gt;0,Data!P473,"")</f>
        <v/>
      </c>
      <c r="Q473" s="1">
        <f>IF(Data!Q473&gt;0,Data!Q473,"")</f>
        <v/>
      </c>
      <c r="R473" s="1">
        <f>IF(Data!R473&gt;0,Data!R473,"")</f>
        <v/>
      </c>
      <c r="S473" s="1">
        <f>IF(Data!S473&gt;0,Data!S473,"")</f>
        <v/>
      </c>
      <c r="V473" s="3">
        <f>IF(COUNT(D473,J473,K473,L473,M473,O473)&gt;0,AVERAGE(D473,J473,K473,L473,M473,O473),"")</f>
        <v/>
      </c>
      <c r="W473" s="3">
        <f>IF(COUNT(C473,F473,G473,N473,Q473)&gt;0,AVERAGE(C473,F473,G473,N473,Q473),"")</f>
        <v/>
      </c>
      <c r="X473" s="3">
        <f>IF(COUNT(B473,E473,H473,I473,P473,R473,S473)&gt;0,AVERAGE(B473,E473,H473,I473,P473,R473,S473),"")</f>
        <v/>
      </c>
      <c r="Y473" s="3" t="n"/>
      <c r="AJ473">
        <f>IFERROR(AVERAGEIF($A$4:$A$1004,AI473,$V$4:$V$1004),"")</f>
        <v/>
      </c>
      <c r="AK473">
        <f>IFERROR(AVERAGEIF($A$4:$A$1004,AI473,$W$4:$W$1004),"")</f>
        <v/>
      </c>
      <c r="AL473">
        <f>IFERROR(AVERAGEIF($A$4:$A$1004,AI473,$X$4:$X$1004),"")</f>
        <v/>
      </c>
    </row>
    <row r="474">
      <c r="A474" s="1">
        <f>IF(Data!A474&gt;0,Data!A474,"")</f>
        <v/>
      </c>
      <c r="B474" s="1">
        <f>IF(Data!B474&gt;0,Data!B474,"")</f>
        <v/>
      </c>
      <c r="C474" s="1">
        <f>IF(Data!C474&gt;0,Data!C474,"")</f>
        <v/>
      </c>
      <c r="D474" s="1">
        <f>IF(Data!D474&gt;0,Data!D474,"")</f>
        <v/>
      </c>
      <c r="E474" s="1">
        <f>IF(Data!E474&gt;0,Data!E474,"")</f>
        <v/>
      </c>
      <c r="F474" s="1">
        <f>IF(Data!F474&gt;0,Data!F474,"")</f>
        <v/>
      </c>
      <c r="G474" s="1">
        <f>IF(Data!G474&gt;0,Data!G474,"")</f>
        <v/>
      </c>
      <c r="H474" s="1">
        <f>IF(Data!H474&gt;0,Data!H474,"")</f>
        <v/>
      </c>
      <c r="I474" s="1">
        <f>IF(Data!I474&gt;0,Data!I474,"")</f>
        <v/>
      </c>
      <c r="J474" s="1">
        <f>IF(Data!J474&gt;0,Data!J474,"")</f>
        <v/>
      </c>
      <c r="K474" s="1">
        <f>IF(Data!K474&gt;0,Data!K474,"")</f>
        <v/>
      </c>
      <c r="L474" s="1">
        <f>IF(Data!L474&gt;0,Data!L474,"")</f>
        <v/>
      </c>
      <c r="M474" s="1">
        <f>IF(Data!M474&gt;0,Data!M474,"")</f>
        <v/>
      </c>
      <c r="N474" s="1">
        <f>IF(Data!N474&gt;0,Data!N474,"")</f>
        <v/>
      </c>
      <c r="O474" s="1">
        <f>IF(Data!O474&gt;0,Data!O474,"")</f>
        <v/>
      </c>
      <c r="P474" s="1">
        <f>IF(Data!P474&gt;0,Data!P474,"")</f>
        <v/>
      </c>
      <c r="Q474" s="1">
        <f>IF(Data!Q474&gt;0,Data!Q474,"")</f>
        <v/>
      </c>
      <c r="R474" s="1">
        <f>IF(Data!R474&gt;0,Data!R474,"")</f>
        <v/>
      </c>
      <c r="S474" s="1">
        <f>IF(Data!S474&gt;0,Data!S474,"")</f>
        <v/>
      </c>
      <c r="V474" s="3">
        <f>IF(COUNT(D474,J474,K474,L474,M474,O474)&gt;0,AVERAGE(D474,J474,K474,L474,M474,O474),"")</f>
        <v/>
      </c>
      <c r="W474" s="3">
        <f>IF(COUNT(C474,F474,G474,N474,Q474)&gt;0,AVERAGE(C474,F474,G474,N474,Q474),"")</f>
        <v/>
      </c>
      <c r="X474" s="3">
        <f>IF(COUNT(B474,E474,H474,I474,P474,R474,S474)&gt;0,AVERAGE(B474,E474,H474,I474,P474,R474,S474),"")</f>
        <v/>
      </c>
      <c r="Y474" s="3" t="n"/>
      <c r="AJ474">
        <f>IFERROR(AVERAGEIF($A$4:$A$1004,AI474,$V$4:$V$1004),"")</f>
        <v/>
      </c>
      <c r="AK474">
        <f>IFERROR(AVERAGEIF($A$4:$A$1004,AI474,$W$4:$W$1004),"")</f>
        <v/>
      </c>
      <c r="AL474">
        <f>IFERROR(AVERAGEIF($A$4:$A$1004,AI474,$X$4:$X$1004),"")</f>
        <v/>
      </c>
    </row>
    <row r="475">
      <c r="A475" s="1">
        <f>IF(Data!A475&gt;0,Data!A475,"")</f>
        <v/>
      </c>
      <c r="B475" s="1">
        <f>IF(Data!B475&gt;0,Data!B475,"")</f>
        <v/>
      </c>
      <c r="C475" s="1">
        <f>IF(Data!C475&gt;0,Data!C475,"")</f>
        <v/>
      </c>
      <c r="D475" s="1">
        <f>IF(Data!D475&gt;0,Data!D475,"")</f>
        <v/>
      </c>
      <c r="E475" s="1">
        <f>IF(Data!E475&gt;0,Data!E475,"")</f>
        <v/>
      </c>
      <c r="F475" s="1">
        <f>IF(Data!F475&gt;0,Data!F475,"")</f>
        <v/>
      </c>
      <c r="G475" s="1">
        <f>IF(Data!G475&gt;0,Data!G475,"")</f>
        <v/>
      </c>
      <c r="H475" s="1">
        <f>IF(Data!H475&gt;0,Data!H475,"")</f>
        <v/>
      </c>
      <c r="I475" s="1">
        <f>IF(Data!I475&gt;0,Data!I475,"")</f>
        <v/>
      </c>
      <c r="J475" s="1">
        <f>IF(Data!J475&gt;0,Data!J475,"")</f>
        <v/>
      </c>
      <c r="K475" s="1">
        <f>IF(Data!K475&gt;0,Data!K475,"")</f>
        <v/>
      </c>
      <c r="L475" s="1">
        <f>IF(Data!L475&gt;0,Data!L475,"")</f>
        <v/>
      </c>
      <c r="M475" s="1">
        <f>IF(Data!M475&gt;0,Data!M475,"")</f>
        <v/>
      </c>
      <c r="N475" s="1">
        <f>IF(Data!N475&gt;0,Data!N475,"")</f>
        <v/>
      </c>
      <c r="O475" s="1">
        <f>IF(Data!O475&gt;0,Data!O475,"")</f>
        <v/>
      </c>
      <c r="P475" s="1">
        <f>IF(Data!P475&gt;0,Data!P475,"")</f>
        <v/>
      </c>
      <c r="Q475" s="1">
        <f>IF(Data!Q475&gt;0,Data!Q475,"")</f>
        <v/>
      </c>
      <c r="R475" s="1">
        <f>IF(Data!R475&gt;0,Data!R475,"")</f>
        <v/>
      </c>
      <c r="S475" s="1">
        <f>IF(Data!S475&gt;0,Data!S475,"")</f>
        <v/>
      </c>
      <c r="V475" s="3">
        <f>IF(COUNT(D475,J475,K475,L475,M475,O475)&gt;0,AVERAGE(D475,J475,K475,L475,M475,O475),"")</f>
        <v/>
      </c>
      <c r="W475" s="3">
        <f>IF(COUNT(C475,F475,G475,N475,Q475)&gt;0,AVERAGE(C475,F475,G475,N475,Q475),"")</f>
        <v/>
      </c>
      <c r="X475" s="3">
        <f>IF(COUNT(B475,E475,H475,I475,P475,R475,S475)&gt;0,AVERAGE(B475,E475,H475,I475,P475,R475,S475),"")</f>
        <v/>
      </c>
      <c r="Y475" s="3" t="n"/>
      <c r="AJ475">
        <f>IFERROR(AVERAGEIF($A$4:$A$1004,AI475,$V$4:$V$1004),"")</f>
        <v/>
      </c>
      <c r="AK475">
        <f>IFERROR(AVERAGEIF($A$4:$A$1004,AI475,$W$4:$W$1004),"")</f>
        <v/>
      </c>
      <c r="AL475">
        <f>IFERROR(AVERAGEIF($A$4:$A$1004,AI475,$X$4:$X$1004),"")</f>
        <v/>
      </c>
    </row>
    <row r="476">
      <c r="A476" s="1">
        <f>IF(Data!A476&gt;0,Data!A476,"")</f>
        <v/>
      </c>
      <c r="B476" s="1">
        <f>IF(Data!B476&gt;0,Data!B476,"")</f>
        <v/>
      </c>
      <c r="C476" s="1">
        <f>IF(Data!C476&gt;0,Data!C476,"")</f>
        <v/>
      </c>
      <c r="D476" s="1">
        <f>IF(Data!D476&gt;0,Data!D476,"")</f>
        <v/>
      </c>
      <c r="E476" s="1">
        <f>IF(Data!E476&gt;0,Data!E476,"")</f>
        <v/>
      </c>
      <c r="F476" s="1">
        <f>IF(Data!F476&gt;0,Data!F476,"")</f>
        <v/>
      </c>
      <c r="G476" s="1">
        <f>IF(Data!G476&gt;0,Data!G476,"")</f>
        <v/>
      </c>
      <c r="H476" s="1">
        <f>IF(Data!H476&gt;0,Data!H476,"")</f>
        <v/>
      </c>
      <c r="I476" s="1">
        <f>IF(Data!I476&gt;0,Data!I476,"")</f>
        <v/>
      </c>
      <c r="J476" s="1">
        <f>IF(Data!J476&gt;0,Data!J476,"")</f>
        <v/>
      </c>
      <c r="K476" s="1">
        <f>IF(Data!K476&gt;0,Data!K476,"")</f>
        <v/>
      </c>
      <c r="L476" s="1">
        <f>IF(Data!L476&gt;0,Data!L476,"")</f>
        <v/>
      </c>
      <c r="M476" s="1">
        <f>IF(Data!M476&gt;0,Data!M476,"")</f>
        <v/>
      </c>
      <c r="N476" s="1">
        <f>IF(Data!N476&gt;0,Data!N476,"")</f>
        <v/>
      </c>
      <c r="O476" s="1">
        <f>IF(Data!O476&gt;0,Data!O476,"")</f>
        <v/>
      </c>
      <c r="P476" s="1">
        <f>IF(Data!P476&gt;0,Data!P476,"")</f>
        <v/>
      </c>
      <c r="Q476" s="1">
        <f>IF(Data!Q476&gt;0,Data!Q476,"")</f>
        <v/>
      </c>
      <c r="R476" s="1">
        <f>IF(Data!R476&gt;0,Data!R476,"")</f>
        <v/>
      </c>
      <c r="S476" s="1">
        <f>IF(Data!S476&gt;0,Data!S476,"")</f>
        <v/>
      </c>
      <c r="V476" s="3">
        <f>IF(COUNT(D476,J476,K476,L476,M476,O476)&gt;0,AVERAGE(D476,J476,K476,L476,M476,O476),"")</f>
        <v/>
      </c>
      <c r="W476" s="3">
        <f>IF(COUNT(C476,F476,G476,N476,Q476)&gt;0,AVERAGE(C476,F476,G476,N476,Q476),"")</f>
        <v/>
      </c>
      <c r="X476" s="3">
        <f>IF(COUNT(B476,E476,H476,I476,P476,R476,S476)&gt;0,AVERAGE(B476,E476,H476,I476,P476,R476,S476),"")</f>
        <v/>
      </c>
      <c r="Y476" s="3" t="n"/>
      <c r="AJ476">
        <f>IFERROR(AVERAGEIF($A$4:$A$1004,AI476,$V$4:$V$1004),"")</f>
        <v/>
      </c>
      <c r="AK476">
        <f>IFERROR(AVERAGEIF($A$4:$A$1004,AI476,$W$4:$W$1004),"")</f>
        <v/>
      </c>
      <c r="AL476">
        <f>IFERROR(AVERAGEIF($A$4:$A$1004,AI476,$X$4:$X$1004),"")</f>
        <v/>
      </c>
    </row>
    <row r="477">
      <c r="A477" s="1">
        <f>IF(Data!A477&gt;0,Data!A477,"")</f>
        <v/>
      </c>
      <c r="B477" s="1">
        <f>IF(Data!B477&gt;0,Data!B477,"")</f>
        <v/>
      </c>
      <c r="C477" s="1">
        <f>IF(Data!C477&gt;0,Data!C477,"")</f>
        <v/>
      </c>
      <c r="D477" s="1">
        <f>IF(Data!D477&gt;0,Data!D477,"")</f>
        <v/>
      </c>
      <c r="E477" s="1">
        <f>IF(Data!E477&gt;0,Data!E477,"")</f>
        <v/>
      </c>
      <c r="F477" s="1">
        <f>IF(Data!F477&gt;0,Data!F477,"")</f>
        <v/>
      </c>
      <c r="G477" s="1">
        <f>IF(Data!G477&gt;0,Data!G477,"")</f>
        <v/>
      </c>
      <c r="H477" s="1">
        <f>IF(Data!H477&gt;0,Data!H477,"")</f>
        <v/>
      </c>
      <c r="I477" s="1">
        <f>IF(Data!I477&gt;0,Data!I477,"")</f>
        <v/>
      </c>
      <c r="J477" s="1">
        <f>IF(Data!J477&gt;0,Data!J477,"")</f>
        <v/>
      </c>
      <c r="K477" s="1">
        <f>IF(Data!K477&gt;0,Data!K477,"")</f>
        <v/>
      </c>
      <c r="L477" s="1">
        <f>IF(Data!L477&gt;0,Data!L477,"")</f>
        <v/>
      </c>
      <c r="M477" s="1">
        <f>IF(Data!M477&gt;0,Data!M477,"")</f>
        <v/>
      </c>
      <c r="N477" s="1">
        <f>IF(Data!N477&gt;0,Data!N477,"")</f>
        <v/>
      </c>
      <c r="O477" s="1">
        <f>IF(Data!O477&gt;0,Data!O477,"")</f>
        <v/>
      </c>
      <c r="P477" s="1">
        <f>IF(Data!P477&gt;0,Data!P477,"")</f>
        <v/>
      </c>
      <c r="Q477" s="1">
        <f>IF(Data!Q477&gt;0,Data!Q477,"")</f>
        <v/>
      </c>
      <c r="R477" s="1">
        <f>IF(Data!R477&gt;0,Data!R477,"")</f>
        <v/>
      </c>
      <c r="S477" s="1">
        <f>IF(Data!S477&gt;0,Data!S477,"")</f>
        <v/>
      </c>
      <c r="V477" s="3">
        <f>IF(COUNT(D477,J477,K477,L477,M477,O477)&gt;0,AVERAGE(D477,J477,K477,L477,M477,O477),"")</f>
        <v/>
      </c>
      <c r="W477" s="3">
        <f>IF(COUNT(C477,F477,G477,N477,Q477)&gt;0,AVERAGE(C477,F477,G477,N477,Q477),"")</f>
        <v/>
      </c>
      <c r="X477" s="3">
        <f>IF(COUNT(B477,E477,H477,I477,P477,R477,S477)&gt;0,AVERAGE(B477,E477,H477,I477,P477,R477,S477),"")</f>
        <v/>
      </c>
      <c r="Y477" s="3" t="n"/>
      <c r="AJ477">
        <f>IFERROR(AVERAGEIF($A$4:$A$1004,AI477,$V$4:$V$1004),"")</f>
        <v/>
      </c>
      <c r="AK477">
        <f>IFERROR(AVERAGEIF($A$4:$A$1004,AI477,$W$4:$W$1004),"")</f>
        <v/>
      </c>
      <c r="AL477">
        <f>IFERROR(AVERAGEIF($A$4:$A$1004,AI477,$X$4:$X$1004),"")</f>
        <v/>
      </c>
    </row>
    <row r="478">
      <c r="A478" s="1">
        <f>IF(Data!A478&gt;0,Data!A478,"")</f>
        <v/>
      </c>
      <c r="B478" s="1">
        <f>IF(Data!B478&gt;0,Data!B478,"")</f>
        <v/>
      </c>
      <c r="C478" s="1">
        <f>IF(Data!C478&gt;0,Data!C478,"")</f>
        <v/>
      </c>
      <c r="D478" s="1">
        <f>IF(Data!D478&gt;0,Data!D478,"")</f>
        <v/>
      </c>
      <c r="E478" s="1">
        <f>IF(Data!E478&gt;0,Data!E478,"")</f>
        <v/>
      </c>
      <c r="F478" s="1">
        <f>IF(Data!F478&gt;0,Data!F478,"")</f>
        <v/>
      </c>
      <c r="G478" s="1">
        <f>IF(Data!G478&gt;0,Data!G478,"")</f>
        <v/>
      </c>
      <c r="H478" s="1">
        <f>IF(Data!H478&gt;0,Data!H478,"")</f>
        <v/>
      </c>
      <c r="I478" s="1">
        <f>IF(Data!I478&gt;0,Data!I478,"")</f>
        <v/>
      </c>
      <c r="J478" s="1">
        <f>IF(Data!J478&gt;0,Data!J478,"")</f>
        <v/>
      </c>
      <c r="K478" s="1">
        <f>IF(Data!K478&gt;0,Data!K478,"")</f>
        <v/>
      </c>
      <c r="L478" s="1">
        <f>IF(Data!L478&gt;0,Data!L478,"")</f>
        <v/>
      </c>
      <c r="M478" s="1">
        <f>IF(Data!M478&gt;0,Data!M478,"")</f>
        <v/>
      </c>
      <c r="N478" s="1">
        <f>IF(Data!N478&gt;0,Data!N478,"")</f>
        <v/>
      </c>
      <c r="O478" s="1">
        <f>IF(Data!O478&gt;0,Data!O478,"")</f>
        <v/>
      </c>
      <c r="P478" s="1">
        <f>IF(Data!P478&gt;0,Data!P478,"")</f>
        <v/>
      </c>
      <c r="Q478" s="1">
        <f>IF(Data!Q478&gt;0,Data!Q478,"")</f>
        <v/>
      </c>
      <c r="R478" s="1">
        <f>IF(Data!R478&gt;0,Data!R478,"")</f>
        <v/>
      </c>
      <c r="S478" s="1">
        <f>IF(Data!S478&gt;0,Data!S478,"")</f>
        <v/>
      </c>
      <c r="V478" s="3">
        <f>IF(COUNT(D478,J478,K478,L478,M478,O478)&gt;0,AVERAGE(D478,J478,K478,L478,M478,O478),"")</f>
        <v/>
      </c>
      <c r="W478" s="3">
        <f>IF(COUNT(C478,F478,G478,N478,Q478)&gt;0,AVERAGE(C478,F478,G478,N478,Q478),"")</f>
        <v/>
      </c>
      <c r="X478" s="3">
        <f>IF(COUNT(B478,E478,H478,I478,P478,R478,S478)&gt;0,AVERAGE(B478,E478,H478,I478,P478,R478,S478),"")</f>
        <v/>
      </c>
      <c r="Y478" s="3" t="n"/>
      <c r="AJ478">
        <f>IFERROR(AVERAGEIF($A$4:$A$1004,AI478,$V$4:$V$1004),"")</f>
        <v/>
      </c>
      <c r="AK478">
        <f>IFERROR(AVERAGEIF($A$4:$A$1004,AI478,$W$4:$W$1004),"")</f>
        <v/>
      </c>
      <c r="AL478">
        <f>IFERROR(AVERAGEIF($A$4:$A$1004,AI478,$X$4:$X$1004),"")</f>
        <v/>
      </c>
    </row>
    <row r="479">
      <c r="A479" s="1">
        <f>IF(Data!A479&gt;0,Data!A479,"")</f>
        <v/>
      </c>
      <c r="B479" s="1">
        <f>IF(Data!B479&gt;0,Data!B479,"")</f>
        <v/>
      </c>
      <c r="C479" s="1">
        <f>IF(Data!C479&gt;0,Data!C479,"")</f>
        <v/>
      </c>
      <c r="D479" s="1">
        <f>IF(Data!D479&gt;0,Data!D479,"")</f>
        <v/>
      </c>
      <c r="E479" s="1">
        <f>IF(Data!E479&gt;0,Data!E479,"")</f>
        <v/>
      </c>
      <c r="F479" s="1">
        <f>IF(Data!F479&gt;0,Data!F479,"")</f>
        <v/>
      </c>
      <c r="G479" s="1">
        <f>IF(Data!G479&gt;0,Data!G479,"")</f>
        <v/>
      </c>
      <c r="H479" s="1">
        <f>IF(Data!H479&gt;0,Data!H479,"")</f>
        <v/>
      </c>
      <c r="I479" s="1">
        <f>IF(Data!I479&gt;0,Data!I479,"")</f>
        <v/>
      </c>
      <c r="J479" s="1">
        <f>IF(Data!J479&gt;0,Data!J479,"")</f>
        <v/>
      </c>
      <c r="K479" s="1">
        <f>IF(Data!K479&gt;0,Data!K479,"")</f>
        <v/>
      </c>
      <c r="L479" s="1">
        <f>IF(Data!L479&gt;0,Data!L479,"")</f>
        <v/>
      </c>
      <c r="M479" s="1">
        <f>IF(Data!M479&gt;0,Data!M479,"")</f>
        <v/>
      </c>
      <c r="N479" s="1">
        <f>IF(Data!N479&gt;0,Data!N479,"")</f>
        <v/>
      </c>
      <c r="O479" s="1">
        <f>IF(Data!O479&gt;0,Data!O479,"")</f>
        <v/>
      </c>
      <c r="P479" s="1">
        <f>IF(Data!P479&gt;0,Data!P479,"")</f>
        <v/>
      </c>
      <c r="Q479" s="1">
        <f>IF(Data!Q479&gt;0,Data!Q479,"")</f>
        <v/>
      </c>
      <c r="R479" s="1">
        <f>IF(Data!R479&gt;0,Data!R479,"")</f>
        <v/>
      </c>
      <c r="S479" s="1">
        <f>IF(Data!S479&gt;0,Data!S479,"")</f>
        <v/>
      </c>
      <c r="V479" s="3">
        <f>IF(COUNT(D479,J479,K479,L479,M479,O479)&gt;0,AVERAGE(D479,J479,K479,L479,M479,O479),"")</f>
        <v/>
      </c>
      <c r="W479" s="3">
        <f>IF(COUNT(C479,F479,G479,N479,Q479)&gt;0,AVERAGE(C479,F479,G479,N479,Q479),"")</f>
        <v/>
      </c>
      <c r="X479" s="3">
        <f>IF(COUNT(B479,E479,H479,I479,P479,R479,S479)&gt;0,AVERAGE(B479,E479,H479,I479,P479,R479,S479),"")</f>
        <v/>
      </c>
      <c r="Y479" s="3" t="n"/>
      <c r="AJ479">
        <f>IFERROR(AVERAGEIF($A$4:$A$1004,AI479,$V$4:$V$1004),"")</f>
        <v/>
      </c>
      <c r="AK479">
        <f>IFERROR(AVERAGEIF($A$4:$A$1004,AI479,$W$4:$W$1004),"")</f>
        <v/>
      </c>
      <c r="AL479">
        <f>IFERROR(AVERAGEIF($A$4:$A$1004,AI479,$X$4:$X$1004),"")</f>
        <v/>
      </c>
    </row>
    <row r="480">
      <c r="A480" s="1">
        <f>IF(Data!A480&gt;0,Data!A480,"")</f>
        <v/>
      </c>
      <c r="B480" s="1">
        <f>IF(Data!B480&gt;0,Data!B480,"")</f>
        <v/>
      </c>
      <c r="C480" s="1">
        <f>IF(Data!C480&gt;0,Data!C480,"")</f>
        <v/>
      </c>
      <c r="D480" s="1">
        <f>IF(Data!D480&gt;0,Data!D480,"")</f>
        <v/>
      </c>
      <c r="E480" s="1">
        <f>IF(Data!E480&gt;0,Data!E480,"")</f>
        <v/>
      </c>
      <c r="F480" s="1">
        <f>IF(Data!F480&gt;0,Data!F480,"")</f>
        <v/>
      </c>
      <c r="G480" s="1">
        <f>IF(Data!G480&gt;0,Data!G480,"")</f>
        <v/>
      </c>
      <c r="H480" s="1">
        <f>IF(Data!H480&gt;0,Data!H480,"")</f>
        <v/>
      </c>
      <c r="I480" s="1">
        <f>IF(Data!I480&gt;0,Data!I480,"")</f>
        <v/>
      </c>
      <c r="J480" s="1">
        <f>IF(Data!J480&gt;0,Data!J480,"")</f>
        <v/>
      </c>
      <c r="K480" s="1">
        <f>IF(Data!K480&gt;0,Data!K480,"")</f>
        <v/>
      </c>
      <c r="L480" s="1">
        <f>IF(Data!L480&gt;0,Data!L480,"")</f>
        <v/>
      </c>
      <c r="M480" s="1">
        <f>IF(Data!M480&gt;0,Data!M480,"")</f>
        <v/>
      </c>
      <c r="N480" s="1">
        <f>IF(Data!N480&gt;0,Data!N480,"")</f>
        <v/>
      </c>
      <c r="O480" s="1">
        <f>IF(Data!O480&gt;0,Data!O480,"")</f>
        <v/>
      </c>
      <c r="P480" s="1">
        <f>IF(Data!P480&gt;0,Data!P480,"")</f>
        <v/>
      </c>
      <c r="Q480" s="1">
        <f>IF(Data!Q480&gt;0,Data!Q480,"")</f>
        <v/>
      </c>
      <c r="R480" s="1">
        <f>IF(Data!R480&gt;0,Data!R480,"")</f>
        <v/>
      </c>
      <c r="S480" s="1">
        <f>IF(Data!S480&gt;0,Data!S480,"")</f>
        <v/>
      </c>
      <c r="V480" s="3">
        <f>IF(COUNT(D480,J480,K480,L480,M480,O480)&gt;0,AVERAGE(D480,J480,K480,L480,M480,O480),"")</f>
        <v/>
      </c>
      <c r="W480" s="3">
        <f>IF(COUNT(C480,F480,G480,N480,Q480)&gt;0,AVERAGE(C480,F480,G480,N480,Q480),"")</f>
        <v/>
      </c>
      <c r="X480" s="3">
        <f>IF(COUNT(B480,E480,H480,I480,P480,R480,S480)&gt;0,AVERAGE(B480,E480,H480,I480,P480,R480,S480),"")</f>
        <v/>
      </c>
      <c r="Y480" s="3" t="n"/>
      <c r="AJ480">
        <f>IFERROR(AVERAGEIF($A$4:$A$1004,AI480,$V$4:$V$1004),"")</f>
        <v/>
      </c>
      <c r="AK480">
        <f>IFERROR(AVERAGEIF($A$4:$A$1004,AI480,$W$4:$W$1004),"")</f>
        <v/>
      </c>
      <c r="AL480">
        <f>IFERROR(AVERAGEIF($A$4:$A$1004,AI480,$X$4:$X$1004),"")</f>
        <v/>
      </c>
    </row>
    <row r="481">
      <c r="A481" s="1">
        <f>IF(Data!A481&gt;0,Data!A481,"")</f>
        <v/>
      </c>
      <c r="B481" s="1">
        <f>IF(Data!B481&gt;0,Data!B481,"")</f>
        <v/>
      </c>
      <c r="C481" s="1">
        <f>IF(Data!C481&gt;0,Data!C481,"")</f>
        <v/>
      </c>
      <c r="D481" s="1">
        <f>IF(Data!D481&gt;0,Data!D481,"")</f>
        <v/>
      </c>
      <c r="E481" s="1">
        <f>IF(Data!E481&gt;0,Data!E481,"")</f>
        <v/>
      </c>
      <c r="F481" s="1">
        <f>IF(Data!F481&gt;0,Data!F481,"")</f>
        <v/>
      </c>
      <c r="G481" s="1">
        <f>IF(Data!G481&gt;0,Data!G481,"")</f>
        <v/>
      </c>
      <c r="H481" s="1">
        <f>IF(Data!H481&gt;0,Data!H481,"")</f>
        <v/>
      </c>
      <c r="I481" s="1">
        <f>IF(Data!I481&gt;0,Data!I481,"")</f>
        <v/>
      </c>
      <c r="J481" s="1">
        <f>IF(Data!J481&gt;0,Data!J481,"")</f>
        <v/>
      </c>
      <c r="K481" s="1">
        <f>IF(Data!K481&gt;0,Data!K481,"")</f>
        <v/>
      </c>
      <c r="L481" s="1">
        <f>IF(Data!L481&gt;0,Data!L481,"")</f>
        <v/>
      </c>
      <c r="M481" s="1">
        <f>IF(Data!M481&gt;0,Data!M481,"")</f>
        <v/>
      </c>
      <c r="N481" s="1">
        <f>IF(Data!N481&gt;0,Data!N481,"")</f>
        <v/>
      </c>
      <c r="O481" s="1">
        <f>IF(Data!O481&gt;0,Data!O481,"")</f>
        <v/>
      </c>
      <c r="P481" s="1">
        <f>IF(Data!P481&gt;0,Data!P481,"")</f>
        <v/>
      </c>
      <c r="Q481" s="1">
        <f>IF(Data!Q481&gt;0,Data!Q481,"")</f>
        <v/>
      </c>
      <c r="R481" s="1">
        <f>IF(Data!R481&gt;0,Data!R481,"")</f>
        <v/>
      </c>
      <c r="S481" s="1">
        <f>IF(Data!S481&gt;0,Data!S481,"")</f>
        <v/>
      </c>
      <c r="V481" s="3">
        <f>IF(COUNT(D481,J481,K481,L481,M481,O481)&gt;0,AVERAGE(D481,J481,K481,L481,M481,O481),"")</f>
        <v/>
      </c>
      <c r="W481" s="3">
        <f>IF(COUNT(C481,F481,G481,N481,Q481)&gt;0,AVERAGE(C481,F481,G481,N481,Q481),"")</f>
        <v/>
      </c>
      <c r="X481" s="3">
        <f>IF(COUNT(B481,E481,H481,I481,P481,R481,S481)&gt;0,AVERAGE(B481,E481,H481,I481,P481,R481,S481),"")</f>
        <v/>
      </c>
      <c r="Y481" s="3" t="n"/>
      <c r="AJ481">
        <f>IFERROR(AVERAGEIF($A$4:$A$1004,AI481,$V$4:$V$1004),"")</f>
        <v/>
      </c>
      <c r="AK481">
        <f>IFERROR(AVERAGEIF($A$4:$A$1004,AI481,$W$4:$W$1004),"")</f>
        <v/>
      </c>
      <c r="AL481">
        <f>IFERROR(AVERAGEIF($A$4:$A$1004,AI481,$X$4:$X$1004),"")</f>
        <v/>
      </c>
    </row>
    <row r="482">
      <c r="A482" s="1">
        <f>IF(Data!A482&gt;0,Data!A482,"")</f>
        <v/>
      </c>
      <c r="B482" s="1">
        <f>IF(Data!B482&gt;0,Data!B482,"")</f>
        <v/>
      </c>
      <c r="C482" s="1">
        <f>IF(Data!C482&gt;0,Data!C482,"")</f>
        <v/>
      </c>
      <c r="D482" s="1">
        <f>IF(Data!D482&gt;0,Data!D482,"")</f>
        <v/>
      </c>
      <c r="E482" s="1">
        <f>IF(Data!E482&gt;0,Data!E482,"")</f>
        <v/>
      </c>
      <c r="F482" s="1">
        <f>IF(Data!F482&gt;0,Data!F482,"")</f>
        <v/>
      </c>
      <c r="G482" s="1">
        <f>IF(Data!G482&gt;0,Data!G482,"")</f>
        <v/>
      </c>
      <c r="H482" s="1">
        <f>IF(Data!H482&gt;0,Data!H482,"")</f>
        <v/>
      </c>
      <c r="I482" s="1">
        <f>IF(Data!I482&gt;0,Data!I482,"")</f>
        <v/>
      </c>
      <c r="J482" s="1">
        <f>IF(Data!J482&gt;0,Data!J482,"")</f>
        <v/>
      </c>
      <c r="K482" s="1">
        <f>IF(Data!K482&gt;0,Data!K482,"")</f>
        <v/>
      </c>
      <c r="L482" s="1">
        <f>IF(Data!L482&gt;0,Data!L482,"")</f>
        <v/>
      </c>
      <c r="M482" s="1">
        <f>IF(Data!M482&gt;0,Data!M482,"")</f>
        <v/>
      </c>
      <c r="N482" s="1">
        <f>IF(Data!N482&gt;0,Data!N482,"")</f>
        <v/>
      </c>
      <c r="O482" s="1">
        <f>IF(Data!O482&gt;0,Data!O482,"")</f>
        <v/>
      </c>
      <c r="P482" s="1">
        <f>IF(Data!P482&gt;0,Data!P482,"")</f>
        <v/>
      </c>
      <c r="Q482" s="1">
        <f>IF(Data!Q482&gt;0,Data!Q482,"")</f>
        <v/>
      </c>
      <c r="R482" s="1">
        <f>IF(Data!R482&gt;0,Data!R482,"")</f>
        <v/>
      </c>
      <c r="S482" s="1">
        <f>IF(Data!S482&gt;0,Data!S482,"")</f>
        <v/>
      </c>
      <c r="V482" s="3">
        <f>IF(COUNT(D482,J482,K482,L482,M482,O482)&gt;0,AVERAGE(D482,J482,K482,L482,M482,O482),"")</f>
        <v/>
      </c>
      <c r="W482" s="3">
        <f>IF(COUNT(C482,F482,G482,N482,Q482)&gt;0,AVERAGE(C482,F482,G482,N482,Q482),"")</f>
        <v/>
      </c>
      <c r="X482" s="3">
        <f>IF(COUNT(B482,E482,H482,I482,P482,R482,S482)&gt;0,AVERAGE(B482,E482,H482,I482,P482,R482,S482),"")</f>
        <v/>
      </c>
      <c r="Y482" s="3" t="n"/>
      <c r="AJ482">
        <f>IFERROR(AVERAGEIF($A$4:$A$1004,AI482,$V$4:$V$1004),"")</f>
        <v/>
      </c>
      <c r="AK482">
        <f>IFERROR(AVERAGEIF($A$4:$A$1004,AI482,$W$4:$W$1004),"")</f>
        <v/>
      </c>
      <c r="AL482">
        <f>IFERROR(AVERAGEIF($A$4:$A$1004,AI482,$X$4:$X$1004),"")</f>
        <v/>
      </c>
    </row>
    <row r="483">
      <c r="A483" s="1">
        <f>IF(Data!A483&gt;0,Data!A483,"")</f>
        <v/>
      </c>
      <c r="B483" s="1">
        <f>IF(Data!B483&gt;0,Data!B483,"")</f>
        <v/>
      </c>
      <c r="C483" s="1">
        <f>IF(Data!C483&gt;0,Data!C483,"")</f>
        <v/>
      </c>
      <c r="D483" s="1">
        <f>IF(Data!D483&gt;0,Data!D483,"")</f>
        <v/>
      </c>
      <c r="E483" s="1">
        <f>IF(Data!E483&gt;0,Data!E483,"")</f>
        <v/>
      </c>
      <c r="F483" s="1">
        <f>IF(Data!F483&gt;0,Data!F483,"")</f>
        <v/>
      </c>
      <c r="G483" s="1">
        <f>IF(Data!G483&gt;0,Data!G483,"")</f>
        <v/>
      </c>
      <c r="H483" s="1">
        <f>IF(Data!H483&gt;0,Data!H483,"")</f>
        <v/>
      </c>
      <c r="I483" s="1">
        <f>IF(Data!I483&gt;0,Data!I483,"")</f>
        <v/>
      </c>
      <c r="J483" s="1">
        <f>IF(Data!J483&gt;0,Data!J483,"")</f>
        <v/>
      </c>
      <c r="K483" s="1">
        <f>IF(Data!K483&gt;0,Data!K483,"")</f>
        <v/>
      </c>
      <c r="L483" s="1">
        <f>IF(Data!L483&gt;0,Data!L483,"")</f>
        <v/>
      </c>
      <c r="M483" s="1">
        <f>IF(Data!M483&gt;0,Data!M483,"")</f>
        <v/>
      </c>
      <c r="N483" s="1">
        <f>IF(Data!N483&gt;0,Data!N483,"")</f>
        <v/>
      </c>
      <c r="O483" s="1">
        <f>IF(Data!O483&gt;0,Data!O483,"")</f>
        <v/>
      </c>
      <c r="P483" s="1">
        <f>IF(Data!P483&gt;0,Data!P483,"")</f>
        <v/>
      </c>
      <c r="Q483" s="1">
        <f>IF(Data!Q483&gt;0,Data!Q483,"")</f>
        <v/>
      </c>
      <c r="R483" s="1">
        <f>IF(Data!R483&gt;0,Data!R483,"")</f>
        <v/>
      </c>
      <c r="S483" s="1">
        <f>IF(Data!S483&gt;0,Data!S483,"")</f>
        <v/>
      </c>
      <c r="V483" s="3">
        <f>IF(COUNT(D483,J483,K483,L483,M483,O483)&gt;0,AVERAGE(D483,J483,K483,L483,M483,O483),"")</f>
        <v/>
      </c>
      <c r="W483" s="3">
        <f>IF(COUNT(C483,F483,G483,N483,Q483)&gt;0,AVERAGE(C483,F483,G483,N483,Q483),"")</f>
        <v/>
      </c>
      <c r="X483" s="3">
        <f>IF(COUNT(B483,E483,H483,I483,P483,R483,S483)&gt;0,AVERAGE(B483,E483,H483,I483,P483,R483,S483),"")</f>
        <v/>
      </c>
      <c r="Y483" s="3" t="n"/>
      <c r="AJ483">
        <f>IFERROR(AVERAGEIF($A$4:$A$1004,AI483,$V$4:$V$1004),"")</f>
        <v/>
      </c>
      <c r="AK483">
        <f>IFERROR(AVERAGEIF($A$4:$A$1004,AI483,$W$4:$W$1004),"")</f>
        <v/>
      </c>
      <c r="AL483">
        <f>IFERROR(AVERAGEIF($A$4:$A$1004,AI483,$X$4:$X$1004),"")</f>
        <v/>
      </c>
    </row>
    <row r="484">
      <c r="A484" s="1">
        <f>IF(Data!A484&gt;0,Data!A484,"")</f>
        <v/>
      </c>
      <c r="B484" s="1">
        <f>IF(Data!B484&gt;0,Data!B484,"")</f>
        <v/>
      </c>
      <c r="C484" s="1">
        <f>IF(Data!C484&gt;0,Data!C484,"")</f>
        <v/>
      </c>
      <c r="D484" s="1">
        <f>IF(Data!D484&gt;0,Data!D484,"")</f>
        <v/>
      </c>
      <c r="E484" s="1">
        <f>IF(Data!E484&gt;0,Data!E484,"")</f>
        <v/>
      </c>
      <c r="F484" s="1">
        <f>IF(Data!F484&gt;0,Data!F484,"")</f>
        <v/>
      </c>
      <c r="G484" s="1">
        <f>IF(Data!G484&gt;0,Data!G484,"")</f>
        <v/>
      </c>
      <c r="H484" s="1">
        <f>IF(Data!H484&gt;0,Data!H484,"")</f>
        <v/>
      </c>
      <c r="I484" s="1">
        <f>IF(Data!I484&gt;0,Data!I484,"")</f>
        <v/>
      </c>
      <c r="J484" s="1">
        <f>IF(Data!J484&gt;0,Data!J484,"")</f>
        <v/>
      </c>
      <c r="K484" s="1">
        <f>IF(Data!K484&gt;0,Data!K484,"")</f>
        <v/>
      </c>
      <c r="L484" s="1">
        <f>IF(Data!L484&gt;0,Data!L484,"")</f>
        <v/>
      </c>
      <c r="M484" s="1">
        <f>IF(Data!M484&gt;0,Data!M484,"")</f>
        <v/>
      </c>
      <c r="N484" s="1">
        <f>IF(Data!N484&gt;0,Data!N484,"")</f>
        <v/>
      </c>
      <c r="O484" s="1">
        <f>IF(Data!O484&gt;0,Data!O484,"")</f>
        <v/>
      </c>
      <c r="P484" s="1">
        <f>IF(Data!P484&gt;0,Data!P484,"")</f>
        <v/>
      </c>
      <c r="Q484" s="1">
        <f>IF(Data!Q484&gt;0,Data!Q484,"")</f>
        <v/>
      </c>
      <c r="R484" s="1">
        <f>IF(Data!R484&gt;0,Data!R484,"")</f>
        <v/>
      </c>
      <c r="S484" s="1">
        <f>IF(Data!S484&gt;0,Data!S484,"")</f>
        <v/>
      </c>
      <c r="V484" s="3">
        <f>IF(COUNT(D484,J484,K484,L484,M484,O484)&gt;0,AVERAGE(D484,J484,K484,L484,M484,O484),"")</f>
        <v/>
      </c>
      <c r="W484" s="3">
        <f>IF(COUNT(C484,F484,G484,N484,Q484)&gt;0,AVERAGE(C484,F484,G484,N484,Q484),"")</f>
        <v/>
      </c>
      <c r="X484" s="3">
        <f>IF(COUNT(B484,E484,H484,I484,P484,R484,S484)&gt;0,AVERAGE(B484,E484,H484,I484,P484,R484,S484),"")</f>
        <v/>
      </c>
      <c r="Y484" s="3" t="n"/>
      <c r="AJ484">
        <f>IFERROR(AVERAGEIF($A$4:$A$1004,AI484,$V$4:$V$1004),"")</f>
        <v/>
      </c>
      <c r="AK484">
        <f>IFERROR(AVERAGEIF($A$4:$A$1004,AI484,$W$4:$W$1004),"")</f>
        <v/>
      </c>
      <c r="AL484">
        <f>IFERROR(AVERAGEIF($A$4:$A$1004,AI484,$X$4:$X$1004),"")</f>
        <v/>
      </c>
    </row>
    <row r="485">
      <c r="A485" s="1">
        <f>IF(Data!A485&gt;0,Data!A485,"")</f>
        <v/>
      </c>
      <c r="B485" s="1">
        <f>IF(Data!B485&gt;0,Data!B485,"")</f>
        <v/>
      </c>
      <c r="C485" s="1">
        <f>IF(Data!C485&gt;0,Data!C485,"")</f>
        <v/>
      </c>
      <c r="D485" s="1">
        <f>IF(Data!D485&gt;0,Data!D485,"")</f>
        <v/>
      </c>
      <c r="E485" s="1">
        <f>IF(Data!E485&gt;0,Data!E485,"")</f>
        <v/>
      </c>
      <c r="F485" s="1">
        <f>IF(Data!F485&gt;0,Data!F485,"")</f>
        <v/>
      </c>
      <c r="G485" s="1">
        <f>IF(Data!G485&gt;0,Data!G485,"")</f>
        <v/>
      </c>
      <c r="H485" s="1">
        <f>IF(Data!H485&gt;0,Data!H485,"")</f>
        <v/>
      </c>
      <c r="I485" s="1">
        <f>IF(Data!I485&gt;0,Data!I485,"")</f>
        <v/>
      </c>
      <c r="J485" s="1">
        <f>IF(Data!J485&gt;0,Data!J485,"")</f>
        <v/>
      </c>
      <c r="K485" s="1">
        <f>IF(Data!K485&gt;0,Data!K485,"")</f>
        <v/>
      </c>
      <c r="L485" s="1">
        <f>IF(Data!L485&gt;0,Data!L485,"")</f>
        <v/>
      </c>
      <c r="M485" s="1">
        <f>IF(Data!M485&gt;0,Data!M485,"")</f>
        <v/>
      </c>
      <c r="N485" s="1">
        <f>IF(Data!N485&gt;0,Data!N485,"")</f>
        <v/>
      </c>
      <c r="O485" s="1">
        <f>IF(Data!O485&gt;0,Data!O485,"")</f>
        <v/>
      </c>
      <c r="P485" s="1">
        <f>IF(Data!P485&gt;0,Data!P485,"")</f>
        <v/>
      </c>
      <c r="Q485" s="1">
        <f>IF(Data!Q485&gt;0,Data!Q485,"")</f>
        <v/>
      </c>
      <c r="R485" s="1">
        <f>IF(Data!R485&gt;0,Data!R485,"")</f>
        <v/>
      </c>
      <c r="S485" s="1">
        <f>IF(Data!S485&gt;0,Data!S485,"")</f>
        <v/>
      </c>
      <c r="V485" s="3">
        <f>IF(COUNT(D485,J485,K485,L485,M485,O485)&gt;0,AVERAGE(D485,J485,K485,L485,M485,O485),"")</f>
        <v/>
      </c>
      <c r="W485" s="3">
        <f>IF(COUNT(C485,F485,G485,N485,Q485)&gt;0,AVERAGE(C485,F485,G485,N485,Q485),"")</f>
        <v/>
      </c>
      <c r="X485" s="3">
        <f>IF(COUNT(B485,E485,H485,I485,P485,R485,S485)&gt;0,AVERAGE(B485,E485,H485,I485,P485,R485,S485),"")</f>
        <v/>
      </c>
      <c r="Y485" s="3" t="n"/>
      <c r="AJ485">
        <f>IFERROR(AVERAGEIF($A$4:$A$1004,AI485,$V$4:$V$1004),"")</f>
        <v/>
      </c>
      <c r="AK485">
        <f>IFERROR(AVERAGEIF($A$4:$A$1004,AI485,$W$4:$W$1004),"")</f>
        <v/>
      </c>
      <c r="AL485">
        <f>IFERROR(AVERAGEIF($A$4:$A$1004,AI485,$X$4:$X$1004),"")</f>
        <v/>
      </c>
    </row>
    <row r="486">
      <c r="A486" s="1">
        <f>IF(Data!A486&gt;0,Data!A486,"")</f>
        <v/>
      </c>
      <c r="B486" s="1">
        <f>IF(Data!B486&gt;0,Data!B486,"")</f>
        <v/>
      </c>
      <c r="C486" s="1">
        <f>IF(Data!C486&gt;0,Data!C486,"")</f>
        <v/>
      </c>
      <c r="D486" s="1">
        <f>IF(Data!D486&gt;0,Data!D486,"")</f>
        <v/>
      </c>
      <c r="E486" s="1">
        <f>IF(Data!E486&gt;0,Data!E486,"")</f>
        <v/>
      </c>
      <c r="F486" s="1">
        <f>IF(Data!F486&gt;0,Data!F486,"")</f>
        <v/>
      </c>
      <c r="G486" s="1">
        <f>IF(Data!G486&gt;0,Data!G486,"")</f>
        <v/>
      </c>
      <c r="H486" s="1">
        <f>IF(Data!H486&gt;0,Data!H486,"")</f>
        <v/>
      </c>
      <c r="I486" s="1">
        <f>IF(Data!I486&gt;0,Data!I486,"")</f>
        <v/>
      </c>
      <c r="J486" s="1">
        <f>IF(Data!J486&gt;0,Data!J486,"")</f>
        <v/>
      </c>
      <c r="K486" s="1">
        <f>IF(Data!K486&gt;0,Data!K486,"")</f>
        <v/>
      </c>
      <c r="L486" s="1">
        <f>IF(Data!L486&gt;0,Data!L486,"")</f>
        <v/>
      </c>
      <c r="M486" s="1">
        <f>IF(Data!M486&gt;0,Data!M486,"")</f>
        <v/>
      </c>
      <c r="N486" s="1">
        <f>IF(Data!N486&gt;0,Data!N486,"")</f>
        <v/>
      </c>
      <c r="O486" s="1">
        <f>IF(Data!O486&gt;0,Data!O486,"")</f>
        <v/>
      </c>
      <c r="P486" s="1">
        <f>IF(Data!P486&gt;0,Data!P486,"")</f>
        <v/>
      </c>
      <c r="Q486" s="1">
        <f>IF(Data!Q486&gt;0,Data!Q486,"")</f>
        <v/>
      </c>
      <c r="R486" s="1">
        <f>IF(Data!R486&gt;0,Data!R486,"")</f>
        <v/>
      </c>
      <c r="S486" s="1">
        <f>IF(Data!S486&gt;0,Data!S486,"")</f>
        <v/>
      </c>
      <c r="V486" s="3">
        <f>IF(COUNT(D486,J486,K486,L486,M486,O486)&gt;0,AVERAGE(D486,J486,K486,L486,M486,O486),"")</f>
        <v/>
      </c>
      <c r="W486" s="3">
        <f>IF(COUNT(C486,F486,G486,N486,Q486)&gt;0,AVERAGE(C486,F486,G486,N486,Q486),"")</f>
        <v/>
      </c>
      <c r="X486" s="3">
        <f>IF(COUNT(B486,E486,H486,I486,P486,R486,S486)&gt;0,AVERAGE(B486,E486,H486,I486,P486,R486,S486),"")</f>
        <v/>
      </c>
      <c r="Y486" s="3" t="n"/>
      <c r="AJ486">
        <f>IFERROR(AVERAGEIF($A$4:$A$1004,AI486,$V$4:$V$1004),"")</f>
        <v/>
      </c>
      <c r="AK486">
        <f>IFERROR(AVERAGEIF($A$4:$A$1004,AI486,$W$4:$W$1004),"")</f>
        <v/>
      </c>
      <c r="AL486">
        <f>IFERROR(AVERAGEIF($A$4:$A$1004,AI486,$X$4:$X$1004),"")</f>
        <v/>
      </c>
    </row>
    <row r="487">
      <c r="A487" s="1">
        <f>IF(Data!A487&gt;0,Data!A487,"")</f>
        <v/>
      </c>
      <c r="B487" s="1">
        <f>IF(Data!B487&gt;0,Data!B487,"")</f>
        <v/>
      </c>
      <c r="C487" s="1">
        <f>IF(Data!C487&gt;0,Data!C487,"")</f>
        <v/>
      </c>
      <c r="D487" s="1">
        <f>IF(Data!D487&gt;0,Data!D487,"")</f>
        <v/>
      </c>
      <c r="E487" s="1">
        <f>IF(Data!E487&gt;0,Data!E487,"")</f>
        <v/>
      </c>
      <c r="F487" s="1">
        <f>IF(Data!F487&gt;0,Data!F487,"")</f>
        <v/>
      </c>
      <c r="G487" s="1">
        <f>IF(Data!G487&gt;0,Data!G487,"")</f>
        <v/>
      </c>
      <c r="H487" s="1">
        <f>IF(Data!H487&gt;0,Data!H487,"")</f>
        <v/>
      </c>
      <c r="I487" s="1">
        <f>IF(Data!I487&gt;0,Data!I487,"")</f>
        <v/>
      </c>
      <c r="J487" s="1">
        <f>IF(Data!J487&gt;0,Data!J487,"")</f>
        <v/>
      </c>
      <c r="K487" s="1">
        <f>IF(Data!K487&gt;0,Data!K487,"")</f>
        <v/>
      </c>
      <c r="L487" s="1">
        <f>IF(Data!L487&gt;0,Data!L487,"")</f>
        <v/>
      </c>
      <c r="M487" s="1">
        <f>IF(Data!M487&gt;0,Data!M487,"")</f>
        <v/>
      </c>
      <c r="N487" s="1">
        <f>IF(Data!N487&gt;0,Data!N487,"")</f>
        <v/>
      </c>
      <c r="O487" s="1">
        <f>IF(Data!O487&gt;0,Data!O487,"")</f>
        <v/>
      </c>
      <c r="P487" s="1">
        <f>IF(Data!P487&gt;0,Data!P487,"")</f>
        <v/>
      </c>
      <c r="Q487" s="1">
        <f>IF(Data!Q487&gt;0,Data!Q487,"")</f>
        <v/>
      </c>
      <c r="R487" s="1">
        <f>IF(Data!R487&gt;0,Data!R487,"")</f>
        <v/>
      </c>
      <c r="S487" s="1">
        <f>IF(Data!S487&gt;0,Data!S487,"")</f>
        <v/>
      </c>
      <c r="V487" s="3">
        <f>IF(COUNT(D487,J487,K487,L487,M487,O487)&gt;0,AVERAGE(D487,J487,K487,L487,M487,O487),"")</f>
        <v/>
      </c>
      <c r="W487" s="3">
        <f>IF(COUNT(C487,F487,G487,N487,Q487)&gt;0,AVERAGE(C487,F487,G487,N487,Q487),"")</f>
        <v/>
      </c>
      <c r="X487" s="3">
        <f>IF(COUNT(B487,E487,H487,I487,P487,R487,S487)&gt;0,AVERAGE(B487,E487,H487,I487,P487,R487,S487),"")</f>
        <v/>
      </c>
      <c r="Y487" s="3" t="n"/>
      <c r="AJ487">
        <f>IFERROR(AVERAGEIF($A$4:$A$1004,AI487,$V$4:$V$1004),"")</f>
        <v/>
      </c>
      <c r="AK487">
        <f>IFERROR(AVERAGEIF($A$4:$A$1004,AI487,$W$4:$W$1004),"")</f>
        <v/>
      </c>
      <c r="AL487">
        <f>IFERROR(AVERAGEIF($A$4:$A$1004,AI487,$X$4:$X$1004),"")</f>
        <v/>
      </c>
    </row>
    <row r="488">
      <c r="A488" s="1">
        <f>IF(Data!A488&gt;0,Data!A488,"")</f>
        <v/>
      </c>
      <c r="B488" s="1">
        <f>IF(Data!B488&gt;0,Data!B488,"")</f>
        <v/>
      </c>
      <c r="C488" s="1">
        <f>IF(Data!C488&gt;0,Data!C488,"")</f>
        <v/>
      </c>
      <c r="D488" s="1">
        <f>IF(Data!D488&gt;0,Data!D488,"")</f>
        <v/>
      </c>
      <c r="E488" s="1">
        <f>IF(Data!E488&gt;0,Data!E488,"")</f>
        <v/>
      </c>
      <c r="F488" s="1">
        <f>IF(Data!F488&gt;0,Data!F488,"")</f>
        <v/>
      </c>
      <c r="G488" s="1">
        <f>IF(Data!G488&gt;0,Data!G488,"")</f>
        <v/>
      </c>
      <c r="H488" s="1">
        <f>IF(Data!H488&gt;0,Data!H488,"")</f>
        <v/>
      </c>
      <c r="I488" s="1">
        <f>IF(Data!I488&gt;0,Data!I488,"")</f>
        <v/>
      </c>
      <c r="J488" s="1">
        <f>IF(Data!J488&gt;0,Data!J488,"")</f>
        <v/>
      </c>
      <c r="K488" s="1">
        <f>IF(Data!K488&gt;0,Data!K488,"")</f>
        <v/>
      </c>
      <c r="L488" s="1">
        <f>IF(Data!L488&gt;0,Data!L488,"")</f>
        <v/>
      </c>
      <c r="M488" s="1">
        <f>IF(Data!M488&gt;0,Data!M488,"")</f>
        <v/>
      </c>
      <c r="N488" s="1">
        <f>IF(Data!N488&gt;0,Data!N488,"")</f>
        <v/>
      </c>
      <c r="O488" s="1">
        <f>IF(Data!O488&gt;0,Data!O488,"")</f>
        <v/>
      </c>
      <c r="P488" s="1">
        <f>IF(Data!P488&gt;0,Data!P488,"")</f>
        <v/>
      </c>
      <c r="Q488" s="1">
        <f>IF(Data!Q488&gt;0,Data!Q488,"")</f>
        <v/>
      </c>
      <c r="R488" s="1">
        <f>IF(Data!R488&gt;0,Data!R488,"")</f>
        <v/>
      </c>
      <c r="S488" s="1">
        <f>IF(Data!S488&gt;0,Data!S488,"")</f>
        <v/>
      </c>
      <c r="V488" s="3">
        <f>IF(COUNT(D488,J488,K488,L488,M488,O488)&gt;0,AVERAGE(D488,J488,K488,L488,M488,O488),"")</f>
        <v/>
      </c>
      <c r="W488" s="3">
        <f>IF(COUNT(C488,F488,G488,N488,Q488)&gt;0,AVERAGE(C488,F488,G488,N488,Q488),"")</f>
        <v/>
      </c>
      <c r="X488" s="3">
        <f>IF(COUNT(B488,E488,H488,I488,P488,R488,S488)&gt;0,AVERAGE(B488,E488,H488,I488,P488,R488,S488),"")</f>
        <v/>
      </c>
      <c r="Y488" s="3" t="n"/>
      <c r="AJ488">
        <f>IFERROR(AVERAGEIF($A$4:$A$1004,AI488,$V$4:$V$1004),"")</f>
        <v/>
      </c>
      <c r="AK488">
        <f>IFERROR(AVERAGEIF($A$4:$A$1004,AI488,$W$4:$W$1004),"")</f>
        <v/>
      </c>
      <c r="AL488">
        <f>IFERROR(AVERAGEIF($A$4:$A$1004,AI488,$X$4:$X$1004),"")</f>
        <v/>
      </c>
    </row>
    <row r="489">
      <c r="A489" s="1">
        <f>IF(Data!A489&gt;0,Data!A489,"")</f>
        <v/>
      </c>
      <c r="B489" s="1">
        <f>IF(Data!B489&gt;0,Data!B489,"")</f>
        <v/>
      </c>
      <c r="C489" s="1">
        <f>IF(Data!C489&gt;0,Data!C489,"")</f>
        <v/>
      </c>
      <c r="D489" s="1">
        <f>IF(Data!D489&gt;0,Data!D489,"")</f>
        <v/>
      </c>
      <c r="E489" s="1">
        <f>IF(Data!E489&gt;0,Data!E489,"")</f>
        <v/>
      </c>
      <c r="F489" s="1">
        <f>IF(Data!F489&gt;0,Data!F489,"")</f>
        <v/>
      </c>
      <c r="G489" s="1">
        <f>IF(Data!G489&gt;0,Data!G489,"")</f>
        <v/>
      </c>
      <c r="H489" s="1">
        <f>IF(Data!H489&gt;0,Data!H489,"")</f>
        <v/>
      </c>
      <c r="I489" s="1">
        <f>IF(Data!I489&gt;0,Data!I489,"")</f>
        <v/>
      </c>
      <c r="J489" s="1">
        <f>IF(Data!J489&gt;0,Data!J489,"")</f>
        <v/>
      </c>
      <c r="K489" s="1">
        <f>IF(Data!K489&gt;0,Data!K489,"")</f>
        <v/>
      </c>
      <c r="L489" s="1">
        <f>IF(Data!L489&gt;0,Data!L489,"")</f>
        <v/>
      </c>
      <c r="M489" s="1">
        <f>IF(Data!M489&gt;0,Data!M489,"")</f>
        <v/>
      </c>
      <c r="N489" s="1">
        <f>IF(Data!N489&gt;0,Data!N489,"")</f>
        <v/>
      </c>
      <c r="O489" s="1">
        <f>IF(Data!O489&gt;0,Data!O489,"")</f>
        <v/>
      </c>
      <c r="P489" s="1">
        <f>IF(Data!P489&gt;0,Data!P489,"")</f>
        <v/>
      </c>
      <c r="Q489" s="1">
        <f>IF(Data!Q489&gt;0,Data!Q489,"")</f>
        <v/>
      </c>
      <c r="R489" s="1">
        <f>IF(Data!R489&gt;0,Data!R489,"")</f>
        <v/>
      </c>
      <c r="S489" s="1">
        <f>IF(Data!S489&gt;0,Data!S489,"")</f>
        <v/>
      </c>
      <c r="V489" s="3">
        <f>IF(COUNT(D489,J489,K489,L489,M489,O489)&gt;0,AVERAGE(D489,J489,K489,L489,M489,O489),"")</f>
        <v/>
      </c>
      <c r="W489" s="3">
        <f>IF(COUNT(C489,F489,G489,N489,Q489)&gt;0,AVERAGE(C489,F489,G489,N489,Q489),"")</f>
        <v/>
      </c>
      <c r="X489" s="3">
        <f>IF(COUNT(B489,E489,H489,I489,P489,R489,S489)&gt;0,AVERAGE(B489,E489,H489,I489,P489,R489,S489),"")</f>
        <v/>
      </c>
      <c r="Y489" s="3" t="n"/>
      <c r="AJ489">
        <f>IFERROR(AVERAGEIF($A$4:$A$1004,AI489,$V$4:$V$1004),"")</f>
        <v/>
      </c>
      <c r="AK489">
        <f>IFERROR(AVERAGEIF($A$4:$A$1004,AI489,$W$4:$W$1004),"")</f>
        <v/>
      </c>
      <c r="AL489">
        <f>IFERROR(AVERAGEIF($A$4:$A$1004,AI489,$X$4:$X$1004),"")</f>
        <v/>
      </c>
    </row>
    <row r="490">
      <c r="A490" s="1">
        <f>IF(Data!A490&gt;0,Data!A490,"")</f>
        <v/>
      </c>
      <c r="B490" s="1">
        <f>IF(Data!B490&gt;0,Data!B490,"")</f>
        <v/>
      </c>
      <c r="C490" s="1">
        <f>IF(Data!C490&gt;0,Data!C490,"")</f>
        <v/>
      </c>
      <c r="D490" s="1">
        <f>IF(Data!D490&gt;0,Data!D490,"")</f>
        <v/>
      </c>
      <c r="E490" s="1">
        <f>IF(Data!E490&gt;0,Data!E490,"")</f>
        <v/>
      </c>
      <c r="F490" s="1">
        <f>IF(Data!F490&gt;0,Data!F490,"")</f>
        <v/>
      </c>
      <c r="G490" s="1">
        <f>IF(Data!G490&gt;0,Data!G490,"")</f>
        <v/>
      </c>
      <c r="H490" s="1">
        <f>IF(Data!H490&gt;0,Data!H490,"")</f>
        <v/>
      </c>
      <c r="I490" s="1">
        <f>IF(Data!I490&gt;0,Data!I490,"")</f>
        <v/>
      </c>
      <c r="J490" s="1">
        <f>IF(Data!J490&gt;0,Data!J490,"")</f>
        <v/>
      </c>
      <c r="K490" s="1">
        <f>IF(Data!K490&gt;0,Data!K490,"")</f>
        <v/>
      </c>
      <c r="L490" s="1">
        <f>IF(Data!L490&gt;0,Data!L490,"")</f>
        <v/>
      </c>
      <c r="M490" s="1">
        <f>IF(Data!M490&gt;0,Data!M490,"")</f>
        <v/>
      </c>
      <c r="N490" s="1">
        <f>IF(Data!N490&gt;0,Data!N490,"")</f>
        <v/>
      </c>
      <c r="O490" s="1">
        <f>IF(Data!O490&gt;0,Data!O490,"")</f>
        <v/>
      </c>
      <c r="P490" s="1">
        <f>IF(Data!P490&gt;0,Data!P490,"")</f>
        <v/>
      </c>
      <c r="Q490" s="1">
        <f>IF(Data!Q490&gt;0,Data!Q490,"")</f>
        <v/>
      </c>
      <c r="R490" s="1">
        <f>IF(Data!R490&gt;0,Data!R490,"")</f>
        <v/>
      </c>
      <c r="S490" s="1">
        <f>IF(Data!S490&gt;0,Data!S490,"")</f>
        <v/>
      </c>
      <c r="V490" s="3">
        <f>IF(COUNT(D490,J490,K490,L490,M490,O490)&gt;0,AVERAGE(D490,J490,K490,L490,M490,O490),"")</f>
        <v/>
      </c>
      <c r="W490" s="3">
        <f>IF(COUNT(C490,F490,G490,N490,Q490)&gt;0,AVERAGE(C490,F490,G490,N490,Q490),"")</f>
        <v/>
      </c>
      <c r="X490" s="3">
        <f>IF(COUNT(B490,E490,H490,I490,P490,R490,S490)&gt;0,AVERAGE(B490,E490,H490,I490,P490,R490,S490),"")</f>
        <v/>
      </c>
      <c r="Y490" s="3" t="n"/>
      <c r="AJ490">
        <f>IFERROR(AVERAGEIF($A$4:$A$1004,AI490,$V$4:$V$1004),"")</f>
        <v/>
      </c>
      <c r="AK490">
        <f>IFERROR(AVERAGEIF($A$4:$A$1004,AI490,$W$4:$W$1004),"")</f>
        <v/>
      </c>
      <c r="AL490">
        <f>IFERROR(AVERAGEIF($A$4:$A$1004,AI490,$X$4:$X$1004),"")</f>
        <v/>
      </c>
    </row>
    <row r="491">
      <c r="A491" s="1">
        <f>IF(Data!A491&gt;0,Data!A491,"")</f>
        <v/>
      </c>
      <c r="B491" s="1">
        <f>IF(Data!B491&gt;0,Data!B491,"")</f>
        <v/>
      </c>
      <c r="C491" s="1">
        <f>IF(Data!C491&gt;0,Data!C491,"")</f>
        <v/>
      </c>
      <c r="D491" s="1">
        <f>IF(Data!D491&gt;0,Data!D491,"")</f>
        <v/>
      </c>
      <c r="E491" s="1">
        <f>IF(Data!E491&gt;0,Data!E491,"")</f>
        <v/>
      </c>
      <c r="F491" s="1">
        <f>IF(Data!F491&gt;0,Data!F491,"")</f>
        <v/>
      </c>
      <c r="G491" s="1">
        <f>IF(Data!G491&gt;0,Data!G491,"")</f>
        <v/>
      </c>
      <c r="H491" s="1">
        <f>IF(Data!H491&gt;0,Data!H491,"")</f>
        <v/>
      </c>
      <c r="I491" s="1">
        <f>IF(Data!I491&gt;0,Data!I491,"")</f>
        <v/>
      </c>
      <c r="J491" s="1">
        <f>IF(Data!J491&gt;0,Data!J491,"")</f>
        <v/>
      </c>
      <c r="K491" s="1">
        <f>IF(Data!K491&gt;0,Data!K491,"")</f>
        <v/>
      </c>
      <c r="L491" s="1">
        <f>IF(Data!L491&gt;0,Data!L491,"")</f>
        <v/>
      </c>
      <c r="M491" s="1">
        <f>IF(Data!M491&gt;0,Data!M491,"")</f>
        <v/>
      </c>
      <c r="N491" s="1">
        <f>IF(Data!N491&gt;0,Data!N491,"")</f>
        <v/>
      </c>
      <c r="O491" s="1">
        <f>IF(Data!O491&gt;0,Data!O491,"")</f>
        <v/>
      </c>
      <c r="P491" s="1">
        <f>IF(Data!P491&gt;0,Data!P491,"")</f>
        <v/>
      </c>
      <c r="Q491" s="1">
        <f>IF(Data!Q491&gt;0,Data!Q491,"")</f>
        <v/>
      </c>
      <c r="R491" s="1">
        <f>IF(Data!R491&gt;0,Data!R491,"")</f>
        <v/>
      </c>
      <c r="S491" s="1">
        <f>IF(Data!S491&gt;0,Data!S491,"")</f>
        <v/>
      </c>
      <c r="V491" s="3">
        <f>IF(COUNT(D491,J491,K491,L491,M491,O491)&gt;0,AVERAGE(D491,J491,K491,L491,M491,O491),"")</f>
        <v/>
      </c>
      <c r="W491" s="3">
        <f>IF(COUNT(C491,F491,G491,N491,Q491)&gt;0,AVERAGE(C491,F491,G491,N491,Q491),"")</f>
        <v/>
      </c>
      <c r="X491" s="3">
        <f>IF(COUNT(B491,E491,H491,I491,P491,R491,S491)&gt;0,AVERAGE(B491,E491,H491,I491,P491,R491,S491),"")</f>
        <v/>
      </c>
      <c r="Y491" s="3" t="n"/>
      <c r="AJ491">
        <f>IFERROR(AVERAGEIF($A$4:$A$1004,AI491,$V$4:$V$1004),"")</f>
        <v/>
      </c>
      <c r="AK491">
        <f>IFERROR(AVERAGEIF($A$4:$A$1004,AI491,$W$4:$W$1004),"")</f>
        <v/>
      </c>
      <c r="AL491">
        <f>IFERROR(AVERAGEIF($A$4:$A$1004,AI491,$X$4:$X$1004),"")</f>
        <v/>
      </c>
    </row>
    <row r="492">
      <c r="A492" s="1">
        <f>IF(Data!A492&gt;0,Data!A492,"")</f>
        <v/>
      </c>
      <c r="B492" s="1">
        <f>IF(Data!B492&gt;0,Data!B492,"")</f>
        <v/>
      </c>
      <c r="C492" s="1">
        <f>IF(Data!C492&gt;0,Data!C492,"")</f>
        <v/>
      </c>
      <c r="D492" s="1">
        <f>IF(Data!D492&gt;0,Data!D492,"")</f>
        <v/>
      </c>
      <c r="E492" s="1">
        <f>IF(Data!E492&gt;0,Data!E492,"")</f>
        <v/>
      </c>
      <c r="F492" s="1">
        <f>IF(Data!F492&gt;0,Data!F492,"")</f>
        <v/>
      </c>
      <c r="G492" s="1">
        <f>IF(Data!G492&gt;0,Data!G492,"")</f>
        <v/>
      </c>
      <c r="H492" s="1">
        <f>IF(Data!H492&gt;0,Data!H492,"")</f>
        <v/>
      </c>
      <c r="I492" s="1">
        <f>IF(Data!I492&gt;0,Data!I492,"")</f>
        <v/>
      </c>
      <c r="J492" s="1">
        <f>IF(Data!J492&gt;0,Data!J492,"")</f>
        <v/>
      </c>
      <c r="K492" s="1">
        <f>IF(Data!K492&gt;0,Data!K492,"")</f>
        <v/>
      </c>
      <c r="L492" s="1">
        <f>IF(Data!L492&gt;0,Data!L492,"")</f>
        <v/>
      </c>
      <c r="M492" s="1">
        <f>IF(Data!M492&gt;0,Data!M492,"")</f>
        <v/>
      </c>
      <c r="N492" s="1">
        <f>IF(Data!N492&gt;0,Data!N492,"")</f>
        <v/>
      </c>
      <c r="O492" s="1">
        <f>IF(Data!O492&gt;0,Data!O492,"")</f>
        <v/>
      </c>
      <c r="P492" s="1">
        <f>IF(Data!P492&gt;0,Data!P492,"")</f>
        <v/>
      </c>
      <c r="Q492" s="1">
        <f>IF(Data!Q492&gt;0,Data!Q492,"")</f>
        <v/>
      </c>
      <c r="R492" s="1">
        <f>IF(Data!R492&gt;0,Data!R492,"")</f>
        <v/>
      </c>
      <c r="S492" s="1">
        <f>IF(Data!S492&gt;0,Data!S492,"")</f>
        <v/>
      </c>
      <c r="V492" s="3">
        <f>IF(COUNT(D492,J492,K492,L492,M492,O492)&gt;0,AVERAGE(D492,J492,K492,L492,M492,O492),"")</f>
        <v/>
      </c>
      <c r="W492" s="3">
        <f>IF(COUNT(C492,F492,G492,N492,Q492)&gt;0,AVERAGE(C492,F492,G492,N492,Q492),"")</f>
        <v/>
      </c>
      <c r="X492" s="3">
        <f>IF(COUNT(B492,E492,H492,I492,P492,R492,S492)&gt;0,AVERAGE(B492,E492,H492,I492,P492,R492,S492),"")</f>
        <v/>
      </c>
      <c r="Y492" s="3" t="n"/>
      <c r="AJ492">
        <f>IFERROR(AVERAGEIF($A$4:$A$1004,AI492,$V$4:$V$1004),"")</f>
        <v/>
      </c>
      <c r="AK492">
        <f>IFERROR(AVERAGEIF($A$4:$A$1004,AI492,$W$4:$W$1004),"")</f>
        <v/>
      </c>
      <c r="AL492">
        <f>IFERROR(AVERAGEIF($A$4:$A$1004,AI492,$X$4:$X$1004),"")</f>
        <v/>
      </c>
    </row>
    <row r="493">
      <c r="A493" s="1">
        <f>IF(Data!A493&gt;0,Data!A493,"")</f>
        <v/>
      </c>
      <c r="B493" s="1">
        <f>IF(Data!B493&gt;0,Data!B493,"")</f>
        <v/>
      </c>
      <c r="C493" s="1">
        <f>IF(Data!C493&gt;0,Data!C493,"")</f>
        <v/>
      </c>
      <c r="D493" s="1">
        <f>IF(Data!D493&gt;0,Data!D493,"")</f>
        <v/>
      </c>
      <c r="E493" s="1">
        <f>IF(Data!E493&gt;0,Data!E493,"")</f>
        <v/>
      </c>
      <c r="F493" s="1">
        <f>IF(Data!F493&gt;0,Data!F493,"")</f>
        <v/>
      </c>
      <c r="G493" s="1">
        <f>IF(Data!G493&gt;0,Data!G493,"")</f>
        <v/>
      </c>
      <c r="H493" s="1">
        <f>IF(Data!H493&gt;0,Data!H493,"")</f>
        <v/>
      </c>
      <c r="I493" s="1">
        <f>IF(Data!I493&gt;0,Data!I493,"")</f>
        <v/>
      </c>
      <c r="J493" s="1">
        <f>IF(Data!J493&gt;0,Data!J493,"")</f>
        <v/>
      </c>
      <c r="K493" s="1">
        <f>IF(Data!K493&gt;0,Data!K493,"")</f>
        <v/>
      </c>
      <c r="L493" s="1">
        <f>IF(Data!L493&gt;0,Data!L493,"")</f>
        <v/>
      </c>
      <c r="M493" s="1">
        <f>IF(Data!M493&gt;0,Data!M493,"")</f>
        <v/>
      </c>
      <c r="N493" s="1">
        <f>IF(Data!N493&gt;0,Data!N493,"")</f>
        <v/>
      </c>
      <c r="O493" s="1">
        <f>IF(Data!O493&gt;0,Data!O493,"")</f>
        <v/>
      </c>
      <c r="P493" s="1">
        <f>IF(Data!P493&gt;0,Data!P493,"")</f>
        <v/>
      </c>
      <c r="Q493" s="1">
        <f>IF(Data!Q493&gt;0,Data!Q493,"")</f>
        <v/>
      </c>
      <c r="R493" s="1">
        <f>IF(Data!R493&gt;0,Data!R493,"")</f>
        <v/>
      </c>
      <c r="S493" s="1">
        <f>IF(Data!S493&gt;0,Data!S493,"")</f>
        <v/>
      </c>
      <c r="V493" s="3">
        <f>IF(COUNT(D493,J493,K493,L493,M493,O493)&gt;0,AVERAGE(D493,J493,K493,L493,M493,O493),"")</f>
        <v/>
      </c>
      <c r="W493" s="3">
        <f>IF(COUNT(C493,F493,G493,N493,Q493)&gt;0,AVERAGE(C493,F493,G493,N493,Q493),"")</f>
        <v/>
      </c>
      <c r="X493" s="3">
        <f>IF(COUNT(B493,E493,H493,I493,P493,R493,S493)&gt;0,AVERAGE(B493,E493,H493,I493,P493,R493,S493),"")</f>
        <v/>
      </c>
      <c r="Y493" s="3" t="n"/>
      <c r="AJ493">
        <f>IFERROR(AVERAGEIF($A$4:$A$1004,AI493,$V$4:$V$1004),"")</f>
        <v/>
      </c>
      <c r="AK493">
        <f>IFERROR(AVERAGEIF($A$4:$A$1004,AI493,$W$4:$W$1004),"")</f>
        <v/>
      </c>
      <c r="AL493">
        <f>IFERROR(AVERAGEIF($A$4:$A$1004,AI493,$X$4:$X$1004),"")</f>
        <v/>
      </c>
    </row>
    <row r="494">
      <c r="A494" s="1">
        <f>IF(Data!A494&gt;0,Data!A494,"")</f>
        <v/>
      </c>
      <c r="B494" s="1">
        <f>IF(Data!B494&gt;0,Data!B494,"")</f>
        <v/>
      </c>
      <c r="C494" s="1">
        <f>IF(Data!C494&gt;0,Data!C494,"")</f>
        <v/>
      </c>
      <c r="D494" s="1">
        <f>IF(Data!D494&gt;0,Data!D494,"")</f>
        <v/>
      </c>
      <c r="E494" s="1">
        <f>IF(Data!E494&gt;0,Data!E494,"")</f>
        <v/>
      </c>
      <c r="F494" s="1">
        <f>IF(Data!F494&gt;0,Data!F494,"")</f>
        <v/>
      </c>
      <c r="G494" s="1">
        <f>IF(Data!G494&gt;0,Data!G494,"")</f>
        <v/>
      </c>
      <c r="H494" s="1">
        <f>IF(Data!H494&gt;0,Data!H494,"")</f>
        <v/>
      </c>
      <c r="I494" s="1">
        <f>IF(Data!I494&gt;0,Data!I494,"")</f>
        <v/>
      </c>
      <c r="J494" s="1">
        <f>IF(Data!J494&gt;0,Data!J494,"")</f>
        <v/>
      </c>
      <c r="K494" s="1">
        <f>IF(Data!K494&gt;0,Data!K494,"")</f>
        <v/>
      </c>
      <c r="L494" s="1">
        <f>IF(Data!L494&gt;0,Data!L494,"")</f>
        <v/>
      </c>
      <c r="M494" s="1">
        <f>IF(Data!M494&gt;0,Data!M494,"")</f>
        <v/>
      </c>
      <c r="N494" s="1">
        <f>IF(Data!N494&gt;0,Data!N494,"")</f>
        <v/>
      </c>
      <c r="O494" s="1">
        <f>IF(Data!O494&gt;0,Data!O494,"")</f>
        <v/>
      </c>
      <c r="P494" s="1">
        <f>IF(Data!P494&gt;0,Data!P494,"")</f>
        <v/>
      </c>
      <c r="Q494" s="1">
        <f>IF(Data!Q494&gt;0,Data!Q494,"")</f>
        <v/>
      </c>
      <c r="R494" s="1">
        <f>IF(Data!R494&gt;0,Data!R494,"")</f>
        <v/>
      </c>
      <c r="S494" s="1">
        <f>IF(Data!S494&gt;0,Data!S494,"")</f>
        <v/>
      </c>
      <c r="V494" s="3">
        <f>IF(COUNT(D494,J494,K494,L494,M494,O494)&gt;0,AVERAGE(D494,J494,K494,L494,M494,O494),"")</f>
        <v/>
      </c>
      <c r="W494" s="3">
        <f>IF(COUNT(C494,F494,G494,N494,Q494)&gt;0,AVERAGE(C494,F494,G494,N494,Q494),"")</f>
        <v/>
      </c>
      <c r="X494" s="3">
        <f>IF(COUNT(B494,E494,H494,I494,P494,R494,S494)&gt;0,AVERAGE(B494,E494,H494,I494,P494,R494,S494),"")</f>
        <v/>
      </c>
      <c r="Y494" s="3" t="n"/>
      <c r="AJ494">
        <f>IFERROR(AVERAGEIF($A$4:$A$1004,AI494,$V$4:$V$1004),"")</f>
        <v/>
      </c>
      <c r="AK494">
        <f>IFERROR(AVERAGEIF($A$4:$A$1004,AI494,$W$4:$W$1004),"")</f>
        <v/>
      </c>
      <c r="AL494">
        <f>IFERROR(AVERAGEIF($A$4:$A$1004,AI494,$X$4:$X$1004),"")</f>
        <v/>
      </c>
    </row>
    <row r="495">
      <c r="A495" s="1">
        <f>IF(Data!A495&gt;0,Data!A495,"")</f>
        <v/>
      </c>
      <c r="B495" s="1">
        <f>IF(Data!B495&gt;0,Data!B495,"")</f>
        <v/>
      </c>
      <c r="C495" s="1">
        <f>IF(Data!C495&gt;0,Data!C495,"")</f>
        <v/>
      </c>
      <c r="D495" s="1">
        <f>IF(Data!D495&gt;0,Data!D495,"")</f>
        <v/>
      </c>
      <c r="E495" s="1">
        <f>IF(Data!E495&gt;0,Data!E495,"")</f>
        <v/>
      </c>
      <c r="F495" s="1">
        <f>IF(Data!F495&gt;0,Data!F495,"")</f>
        <v/>
      </c>
      <c r="G495" s="1">
        <f>IF(Data!G495&gt;0,Data!G495,"")</f>
        <v/>
      </c>
      <c r="H495" s="1">
        <f>IF(Data!H495&gt;0,Data!H495,"")</f>
        <v/>
      </c>
      <c r="I495" s="1">
        <f>IF(Data!I495&gt;0,Data!I495,"")</f>
        <v/>
      </c>
      <c r="J495" s="1">
        <f>IF(Data!J495&gt;0,Data!J495,"")</f>
        <v/>
      </c>
      <c r="K495" s="1">
        <f>IF(Data!K495&gt;0,Data!K495,"")</f>
        <v/>
      </c>
      <c r="L495" s="1">
        <f>IF(Data!L495&gt;0,Data!L495,"")</f>
        <v/>
      </c>
      <c r="M495" s="1">
        <f>IF(Data!M495&gt;0,Data!M495,"")</f>
        <v/>
      </c>
      <c r="N495" s="1">
        <f>IF(Data!N495&gt;0,Data!N495,"")</f>
        <v/>
      </c>
      <c r="O495" s="1">
        <f>IF(Data!O495&gt;0,Data!O495,"")</f>
        <v/>
      </c>
      <c r="P495" s="1">
        <f>IF(Data!P495&gt;0,Data!P495,"")</f>
        <v/>
      </c>
      <c r="Q495" s="1">
        <f>IF(Data!Q495&gt;0,Data!Q495,"")</f>
        <v/>
      </c>
      <c r="R495" s="1">
        <f>IF(Data!R495&gt;0,Data!R495,"")</f>
        <v/>
      </c>
      <c r="S495" s="1">
        <f>IF(Data!S495&gt;0,Data!S495,"")</f>
        <v/>
      </c>
      <c r="V495" s="3">
        <f>IF(COUNT(D495,J495,K495,L495,M495,O495)&gt;0,AVERAGE(D495,J495,K495,L495,M495,O495),"")</f>
        <v/>
      </c>
      <c r="W495" s="3">
        <f>IF(COUNT(C495,F495,G495,N495,Q495)&gt;0,AVERAGE(C495,F495,G495,N495,Q495),"")</f>
        <v/>
      </c>
      <c r="X495" s="3">
        <f>IF(COUNT(B495,E495,H495,I495,P495,R495,S495)&gt;0,AVERAGE(B495,E495,H495,I495,P495,R495,S495),"")</f>
        <v/>
      </c>
      <c r="Y495" s="3" t="n"/>
      <c r="AJ495">
        <f>IFERROR(AVERAGEIF($A$4:$A$1004,AI495,$V$4:$V$1004),"")</f>
        <v/>
      </c>
      <c r="AK495">
        <f>IFERROR(AVERAGEIF($A$4:$A$1004,AI495,$W$4:$W$1004),"")</f>
        <v/>
      </c>
      <c r="AL495">
        <f>IFERROR(AVERAGEIF($A$4:$A$1004,AI495,$X$4:$X$1004),"")</f>
        <v/>
      </c>
    </row>
    <row r="496">
      <c r="A496" s="1">
        <f>IF(Data!A496&gt;0,Data!A496,"")</f>
        <v/>
      </c>
      <c r="B496" s="1">
        <f>IF(Data!B496&gt;0,Data!B496,"")</f>
        <v/>
      </c>
      <c r="C496" s="1">
        <f>IF(Data!C496&gt;0,Data!C496,"")</f>
        <v/>
      </c>
      <c r="D496" s="1">
        <f>IF(Data!D496&gt;0,Data!D496,"")</f>
        <v/>
      </c>
      <c r="E496" s="1">
        <f>IF(Data!E496&gt;0,Data!E496,"")</f>
        <v/>
      </c>
      <c r="F496" s="1">
        <f>IF(Data!F496&gt;0,Data!F496,"")</f>
        <v/>
      </c>
      <c r="G496" s="1">
        <f>IF(Data!G496&gt;0,Data!G496,"")</f>
        <v/>
      </c>
      <c r="H496" s="1">
        <f>IF(Data!H496&gt;0,Data!H496,"")</f>
        <v/>
      </c>
      <c r="I496" s="1">
        <f>IF(Data!I496&gt;0,Data!I496,"")</f>
        <v/>
      </c>
      <c r="J496" s="1">
        <f>IF(Data!J496&gt;0,Data!J496,"")</f>
        <v/>
      </c>
      <c r="K496" s="1">
        <f>IF(Data!K496&gt;0,Data!K496,"")</f>
        <v/>
      </c>
      <c r="L496" s="1">
        <f>IF(Data!L496&gt;0,Data!L496,"")</f>
        <v/>
      </c>
      <c r="M496" s="1">
        <f>IF(Data!M496&gt;0,Data!M496,"")</f>
        <v/>
      </c>
      <c r="N496" s="1">
        <f>IF(Data!N496&gt;0,Data!N496,"")</f>
        <v/>
      </c>
      <c r="O496" s="1">
        <f>IF(Data!O496&gt;0,Data!O496,"")</f>
        <v/>
      </c>
      <c r="P496" s="1">
        <f>IF(Data!P496&gt;0,Data!P496,"")</f>
        <v/>
      </c>
      <c r="Q496" s="1">
        <f>IF(Data!Q496&gt;0,Data!Q496,"")</f>
        <v/>
      </c>
      <c r="R496" s="1">
        <f>IF(Data!R496&gt;0,Data!R496,"")</f>
        <v/>
      </c>
      <c r="S496" s="1">
        <f>IF(Data!S496&gt;0,Data!S496,"")</f>
        <v/>
      </c>
      <c r="V496" s="3">
        <f>IF(COUNT(D496,J496,K496,L496,M496,O496)&gt;0,AVERAGE(D496,J496,K496,L496,M496,O496),"")</f>
        <v/>
      </c>
      <c r="W496" s="3">
        <f>IF(COUNT(C496,F496,G496,N496,Q496)&gt;0,AVERAGE(C496,F496,G496,N496,Q496),"")</f>
        <v/>
      </c>
      <c r="X496" s="3">
        <f>IF(COUNT(B496,E496,H496,I496,P496,R496,S496)&gt;0,AVERAGE(B496,E496,H496,I496,P496,R496,S496),"")</f>
        <v/>
      </c>
      <c r="Y496" s="3" t="n"/>
      <c r="AJ496">
        <f>IFERROR(AVERAGEIF($A$4:$A$1004,AI496,$V$4:$V$1004),"")</f>
        <v/>
      </c>
      <c r="AK496">
        <f>IFERROR(AVERAGEIF($A$4:$A$1004,AI496,$W$4:$W$1004),"")</f>
        <v/>
      </c>
      <c r="AL496">
        <f>IFERROR(AVERAGEIF($A$4:$A$1004,AI496,$X$4:$X$1004),"")</f>
        <v/>
      </c>
    </row>
    <row r="497">
      <c r="A497" s="1">
        <f>IF(Data!A497&gt;0,Data!A497,"")</f>
        <v/>
      </c>
      <c r="B497" s="1">
        <f>IF(Data!B497&gt;0,Data!B497,"")</f>
        <v/>
      </c>
      <c r="C497" s="1">
        <f>IF(Data!C497&gt;0,Data!C497,"")</f>
        <v/>
      </c>
      <c r="D497" s="1">
        <f>IF(Data!D497&gt;0,Data!D497,"")</f>
        <v/>
      </c>
      <c r="E497" s="1">
        <f>IF(Data!E497&gt;0,Data!E497,"")</f>
        <v/>
      </c>
      <c r="F497" s="1">
        <f>IF(Data!F497&gt;0,Data!F497,"")</f>
        <v/>
      </c>
      <c r="G497" s="1">
        <f>IF(Data!G497&gt;0,Data!G497,"")</f>
        <v/>
      </c>
      <c r="H497" s="1">
        <f>IF(Data!H497&gt;0,Data!H497,"")</f>
        <v/>
      </c>
      <c r="I497" s="1">
        <f>IF(Data!I497&gt;0,Data!I497,"")</f>
        <v/>
      </c>
      <c r="J497" s="1">
        <f>IF(Data!J497&gt;0,Data!J497,"")</f>
        <v/>
      </c>
      <c r="K497" s="1">
        <f>IF(Data!K497&gt;0,Data!K497,"")</f>
        <v/>
      </c>
      <c r="L497" s="1">
        <f>IF(Data!L497&gt;0,Data!L497,"")</f>
        <v/>
      </c>
      <c r="M497" s="1">
        <f>IF(Data!M497&gt;0,Data!M497,"")</f>
        <v/>
      </c>
      <c r="N497" s="1">
        <f>IF(Data!N497&gt;0,Data!N497,"")</f>
        <v/>
      </c>
      <c r="O497" s="1">
        <f>IF(Data!O497&gt;0,Data!O497,"")</f>
        <v/>
      </c>
      <c r="P497" s="1">
        <f>IF(Data!P497&gt;0,Data!P497,"")</f>
        <v/>
      </c>
      <c r="Q497" s="1">
        <f>IF(Data!Q497&gt;0,Data!Q497,"")</f>
        <v/>
      </c>
      <c r="R497" s="1">
        <f>IF(Data!R497&gt;0,Data!R497,"")</f>
        <v/>
      </c>
      <c r="S497" s="1">
        <f>IF(Data!S497&gt;0,Data!S497,"")</f>
        <v/>
      </c>
      <c r="V497" s="3">
        <f>IF(COUNT(D497,J497,K497,L497,M497,O497)&gt;0,AVERAGE(D497,J497,K497,L497,M497,O497),"")</f>
        <v/>
      </c>
      <c r="W497" s="3">
        <f>IF(COUNT(C497,F497,G497,N497,Q497)&gt;0,AVERAGE(C497,F497,G497,N497,Q497),"")</f>
        <v/>
      </c>
      <c r="X497" s="3">
        <f>IF(COUNT(B497,E497,H497,I497,P497,R497,S497)&gt;0,AVERAGE(B497,E497,H497,I497,P497,R497,S497),"")</f>
        <v/>
      </c>
      <c r="Y497" s="3" t="n"/>
      <c r="AJ497">
        <f>IFERROR(AVERAGEIF($A$4:$A$1004,AI497,$V$4:$V$1004),"")</f>
        <v/>
      </c>
      <c r="AK497">
        <f>IFERROR(AVERAGEIF($A$4:$A$1004,AI497,$W$4:$W$1004),"")</f>
        <v/>
      </c>
      <c r="AL497">
        <f>IFERROR(AVERAGEIF($A$4:$A$1004,AI497,$X$4:$X$1004),"")</f>
        <v/>
      </c>
    </row>
    <row r="498">
      <c r="A498" s="1">
        <f>IF(Data!A498&gt;0,Data!A498,"")</f>
        <v/>
      </c>
      <c r="B498" s="1">
        <f>IF(Data!B498&gt;0,Data!B498,"")</f>
        <v/>
      </c>
      <c r="C498" s="1">
        <f>IF(Data!C498&gt;0,Data!C498,"")</f>
        <v/>
      </c>
      <c r="D498" s="1">
        <f>IF(Data!D498&gt;0,Data!D498,"")</f>
        <v/>
      </c>
      <c r="E498" s="1">
        <f>IF(Data!E498&gt;0,Data!E498,"")</f>
        <v/>
      </c>
      <c r="F498" s="1">
        <f>IF(Data!F498&gt;0,Data!F498,"")</f>
        <v/>
      </c>
      <c r="G498" s="1">
        <f>IF(Data!G498&gt;0,Data!G498,"")</f>
        <v/>
      </c>
      <c r="H498" s="1">
        <f>IF(Data!H498&gt;0,Data!H498,"")</f>
        <v/>
      </c>
      <c r="I498" s="1">
        <f>IF(Data!I498&gt;0,Data!I498,"")</f>
        <v/>
      </c>
      <c r="J498" s="1">
        <f>IF(Data!J498&gt;0,Data!J498,"")</f>
        <v/>
      </c>
      <c r="K498" s="1">
        <f>IF(Data!K498&gt;0,Data!K498,"")</f>
        <v/>
      </c>
      <c r="L498" s="1">
        <f>IF(Data!L498&gt;0,Data!L498,"")</f>
        <v/>
      </c>
      <c r="M498" s="1">
        <f>IF(Data!M498&gt;0,Data!M498,"")</f>
        <v/>
      </c>
      <c r="N498" s="1">
        <f>IF(Data!N498&gt;0,Data!N498,"")</f>
        <v/>
      </c>
      <c r="O498" s="1">
        <f>IF(Data!O498&gt;0,Data!O498,"")</f>
        <v/>
      </c>
      <c r="P498" s="1">
        <f>IF(Data!P498&gt;0,Data!P498,"")</f>
        <v/>
      </c>
      <c r="Q498" s="1">
        <f>IF(Data!Q498&gt;0,Data!Q498,"")</f>
        <v/>
      </c>
      <c r="R498" s="1">
        <f>IF(Data!R498&gt;0,Data!R498,"")</f>
        <v/>
      </c>
      <c r="S498" s="1">
        <f>IF(Data!S498&gt;0,Data!S498,"")</f>
        <v/>
      </c>
      <c r="V498" s="3">
        <f>IF(COUNT(D498,J498,K498,L498,M498,O498)&gt;0,AVERAGE(D498,J498,K498,L498,M498,O498),"")</f>
        <v/>
      </c>
      <c r="W498" s="3">
        <f>IF(COUNT(C498,F498,G498,N498,Q498)&gt;0,AVERAGE(C498,F498,G498,N498,Q498),"")</f>
        <v/>
      </c>
      <c r="X498" s="3">
        <f>IF(COUNT(B498,E498,H498,I498,P498,R498,S498)&gt;0,AVERAGE(B498,E498,H498,I498,P498,R498,S498),"")</f>
        <v/>
      </c>
      <c r="Y498" s="3" t="n"/>
      <c r="AJ498">
        <f>IFERROR(AVERAGEIF($A$4:$A$1004,AI498,$V$4:$V$1004),"")</f>
        <v/>
      </c>
      <c r="AK498">
        <f>IFERROR(AVERAGEIF($A$4:$A$1004,AI498,$W$4:$W$1004),"")</f>
        <v/>
      </c>
      <c r="AL498">
        <f>IFERROR(AVERAGEIF($A$4:$A$1004,AI498,$X$4:$X$1004),"")</f>
        <v/>
      </c>
    </row>
    <row r="499">
      <c r="A499" s="1">
        <f>IF(Data!A499&gt;0,Data!A499,"")</f>
        <v/>
      </c>
      <c r="B499" s="1">
        <f>IF(Data!B499&gt;0,Data!B499,"")</f>
        <v/>
      </c>
      <c r="C499" s="1">
        <f>IF(Data!C499&gt;0,Data!C499,"")</f>
        <v/>
      </c>
      <c r="D499" s="1">
        <f>IF(Data!D499&gt;0,Data!D499,"")</f>
        <v/>
      </c>
      <c r="E499" s="1">
        <f>IF(Data!E499&gt;0,Data!E499,"")</f>
        <v/>
      </c>
      <c r="F499" s="1">
        <f>IF(Data!F499&gt;0,Data!F499,"")</f>
        <v/>
      </c>
      <c r="G499" s="1">
        <f>IF(Data!G499&gt;0,Data!G499,"")</f>
        <v/>
      </c>
      <c r="H499" s="1">
        <f>IF(Data!H499&gt;0,Data!H499,"")</f>
        <v/>
      </c>
      <c r="I499" s="1">
        <f>IF(Data!I499&gt;0,Data!I499,"")</f>
        <v/>
      </c>
      <c r="J499" s="1">
        <f>IF(Data!J499&gt;0,Data!J499,"")</f>
        <v/>
      </c>
      <c r="K499" s="1">
        <f>IF(Data!K499&gt;0,Data!K499,"")</f>
        <v/>
      </c>
      <c r="L499" s="1">
        <f>IF(Data!L499&gt;0,Data!L499,"")</f>
        <v/>
      </c>
      <c r="M499" s="1">
        <f>IF(Data!M499&gt;0,Data!M499,"")</f>
        <v/>
      </c>
      <c r="N499" s="1">
        <f>IF(Data!N499&gt;0,Data!N499,"")</f>
        <v/>
      </c>
      <c r="O499" s="1">
        <f>IF(Data!O499&gt;0,Data!O499,"")</f>
        <v/>
      </c>
      <c r="P499" s="1">
        <f>IF(Data!P499&gt;0,Data!P499,"")</f>
        <v/>
      </c>
      <c r="Q499" s="1">
        <f>IF(Data!Q499&gt;0,Data!Q499,"")</f>
        <v/>
      </c>
      <c r="R499" s="1">
        <f>IF(Data!R499&gt;0,Data!R499,"")</f>
        <v/>
      </c>
      <c r="S499" s="1">
        <f>IF(Data!S499&gt;0,Data!S499,"")</f>
        <v/>
      </c>
      <c r="V499" s="3">
        <f>IF(COUNT(D499,J499,K499,L499,M499,O499)&gt;0,AVERAGE(D499,J499,K499,L499,M499,O499),"")</f>
        <v/>
      </c>
      <c r="W499" s="3">
        <f>IF(COUNT(C499,F499,G499,N499,Q499)&gt;0,AVERAGE(C499,F499,G499,N499,Q499),"")</f>
        <v/>
      </c>
      <c r="X499" s="3">
        <f>IF(COUNT(B499,E499,H499,I499,P499,R499,S499)&gt;0,AVERAGE(B499,E499,H499,I499,P499,R499,S499),"")</f>
        <v/>
      </c>
      <c r="Y499" s="3" t="n"/>
      <c r="AJ499">
        <f>IFERROR(AVERAGEIF($A$4:$A$1004,AI499,$V$4:$V$1004),"")</f>
        <v/>
      </c>
      <c r="AK499">
        <f>IFERROR(AVERAGEIF($A$4:$A$1004,AI499,$W$4:$W$1004),"")</f>
        <v/>
      </c>
      <c r="AL499">
        <f>IFERROR(AVERAGEIF($A$4:$A$1004,AI499,$X$4:$X$1004),"")</f>
        <v/>
      </c>
    </row>
    <row r="500">
      <c r="A500" s="1">
        <f>IF(Data!A500&gt;0,Data!A500,"")</f>
        <v/>
      </c>
      <c r="B500" s="1">
        <f>IF(Data!B500&gt;0,Data!B500,"")</f>
        <v/>
      </c>
      <c r="C500" s="1">
        <f>IF(Data!C500&gt;0,Data!C500,"")</f>
        <v/>
      </c>
      <c r="D500" s="1">
        <f>IF(Data!D500&gt;0,Data!D500,"")</f>
        <v/>
      </c>
      <c r="E500" s="1">
        <f>IF(Data!E500&gt;0,Data!E500,"")</f>
        <v/>
      </c>
      <c r="F500" s="1">
        <f>IF(Data!F500&gt;0,Data!F500,"")</f>
        <v/>
      </c>
      <c r="G500" s="1">
        <f>IF(Data!G500&gt;0,Data!G500,"")</f>
        <v/>
      </c>
      <c r="H500" s="1">
        <f>IF(Data!H500&gt;0,Data!H500,"")</f>
        <v/>
      </c>
      <c r="I500" s="1">
        <f>IF(Data!I500&gt;0,Data!I500,"")</f>
        <v/>
      </c>
      <c r="J500" s="1">
        <f>IF(Data!J500&gt;0,Data!J500,"")</f>
        <v/>
      </c>
      <c r="K500" s="1">
        <f>IF(Data!K500&gt;0,Data!K500,"")</f>
        <v/>
      </c>
      <c r="L500" s="1">
        <f>IF(Data!L500&gt;0,Data!L500,"")</f>
        <v/>
      </c>
      <c r="M500" s="1">
        <f>IF(Data!M500&gt;0,Data!M500,"")</f>
        <v/>
      </c>
      <c r="N500" s="1">
        <f>IF(Data!N500&gt;0,Data!N500,"")</f>
        <v/>
      </c>
      <c r="O500" s="1">
        <f>IF(Data!O500&gt;0,Data!O500,"")</f>
        <v/>
      </c>
      <c r="P500" s="1">
        <f>IF(Data!P500&gt;0,Data!P500,"")</f>
        <v/>
      </c>
      <c r="Q500" s="1">
        <f>IF(Data!Q500&gt;0,Data!Q500,"")</f>
        <v/>
      </c>
      <c r="R500" s="1">
        <f>IF(Data!R500&gt;0,Data!R500,"")</f>
        <v/>
      </c>
      <c r="S500" s="1">
        <f>IF(Data!S500&gt;0,Data!S500,"")</f>
        <v/>
      </c>
      <c r="V500" s="3">
        <f>IF(COUNT(D500,J500,K500,L500,M500,O500)&gt;0,AVERAGE(D500,J500,K500,L500,M500,O500),"")</f>
        <v/>
      </c>
      <c r="W500" s="3">
        <f>IF(COUNT(C500,F500,G500,N500,Q500)&gt;0,AVERAGE(C500,F500,G500,N500,Q500),"")</f>
        <v/>
      </c>
      <c r="X500" s="3">
        <f>IF(COUNT(B500,E500,H500,I500,P500,R500,S500)&gt;0,AVERAGE(B500,E500,H500,I500,P500,R500,S500),"")</f>
        <v/>
      </c>
      <c r="Y500" s="3" t="n"/>
      <c r="AJ500">
        <f>IFERROR(AVERAGEIF($A$4:$A$1004,AI500,$V$4:$V$1004),"")</f>
        <v/>
      </c>
      <c r="AK500">
        <f>IFERROR(AVERAGEIF($A$4:$A$1004,AI500,$W$4:$W$1004),"")</f>
        <v/>
      </c>
      <c r="AL500">
        <f>IFERROR(AVERAGEIF($A$4:$A$1004,AI500,$X$4:$X$1004),"")</f>
        <v/>
      </c>
    </row>
    <row r="501">
      <c r="A501" s="1">
        <f>IF(Data!A501&gt;0,Data!A501,"")</f>
        <v/>
      </c>
      <c r="B501" s="1">
        <f>IF(Data!B501&gt;0,Data!B501,"")</f>
        <v/>
      </c>
      <c r="C501" s="1">
        <f>IF(Data!C501&gt;0,Data!C501,"")</f>
        <v/>
      </c>
      <c r="D501" s="1">
        <f>IF(Data!D501&gt;0,Data!D501,"")</f>
        <v/>
      </c>
      <c r="E501" s="1">
        <f>IF(Data!E501&gt;0,Data!E501,"")</f>
        <v/>
      </c>
      <c r="F501" s="1">
        <f>IF(Data!F501&gt;0,Data!F501,"")</f>
        <v/>
      </c>
      <c r="G501" s="1">
        <f>IF(Data!G501&gt;0,Data!G501,"")</f>
        <v/>
      </c>
      <c r="H501" s="1">
        <f>IF(Data!H501&gt;0,Data!H501,"")</f>
        <v/>
      </c>
      <c r="I501" s="1">
        <f>IF(Data!I501&gt;0,Data!I501,"")</f>
        <v/>
      </c>
      <c r="J501" s="1">
        <f>IF(Data!J501&gt;0,Data!J501,"")</f>
        <v/>
      </c>
      <c r="K501" s="1">
        <f>IF(Data!K501&gt;0,Data!K501,"")</f>
        <v/>
      </c>
      <c r="L501" s="1">
        <f>IF(Data!L501&gt;0,Data!L501,"")</f>
        <v/>
      </c>
      <c r="M501" s="1">
        <f>IF(Data!M501&gt;0,Data!M501,"")</f>
        <v/>
      </c>
      <c r="N501" s="1">
        <f>IF(Data!N501&gt;0,Data!N501,"")</f>
        <v/>
      </c>
      <c r="O501" s="1">
        <f>IF(Data!O501&gt;0,Data!O501,"")</f>
        <v/>
      </c>
      <c r="P501" s="1">
        <f>IF(Data!P501&gt;0,Data!P501,"")</f>
        <v/>
      </c>
      <c r="Q501" s="1">
        <f>IF(Data!Q501&gt;0,Data!Q501,"")</f>
        <v/>
      </c>
      <c r="R501" s="1">
        <f>IF(Data!R501&gt;0,Data!R501,"")</f>
        <v/>
      </c>
      <c r="S501" s="1">
        <f>IF(Data!S501&gt;0,Data!S501,"")</f>
        <v/>
      </c>
      <c r="V501" s="3">
        <f>IF(COUNT(D501,J501,K501,L501,M501,O501)&gt;0,AVERAGE(D501,J501,K501,L501,M501,O501),"")</f>
        <v/>
      </c>
      <c r="W501" s="3">
        <f>IF(COUNT(C501,F501,G501,N501,Q501)&gt;0,AVERAGE(C501,F501,G501,N501,Q501),"")</f>
        <v/>
      </c>
      <c r="X501" s="3">
        <f>IF(COUNT(B501,E501,H501,I501,P501,R501,S501)&gt;0,AVERAGE(B501,E501,H501,I501,P501,R501,S501),"")</f>
        <v/>
      </c>
      <c r="Y501" s="3" t="n"/>
      <c r="AJ501">
        <f>IFERROR(AVERAGEIF($A$4:$A$1004,AI501,$V$4:$V$1004),"")</f>
        <v/>
      </c>
      <c r="AK501">
        <f>IFERROR(AVERAGEIF($A$4:$A$1004,AI501,$W$4:$W$1004),"")</f>
        <v/>
      </c>
      <c r="AL501">
        <f>IFERROR(AVERAGEIF($A$4:$A$1004,AI501,$X$4:$X$1004),"")</f>
        <v/>
      </c>
    </row>
    <row r="502">
      <c r="A502" s="1">
        <f>IF(Data!A502&gt;0,Data!A502,"")</f>
        <v/>
      </c>
      <c r="B502" s="1">
        <f>IF(Data!B502&gt;0,Data!B502,"")</f>
        <v/>
      </c>
      <c r="C502" s="1">
        <f>IF(Data!C502&gt;0,Data!C502,"")</f>
        <v/>
      </c>
      <c r="D502" s="1">
        <f>IF(Data!D502&gt;0,Data!D502,"")</f>
        <v/>
      </c>
      <c r="E502" s="1">
        <f>IF(Data!E502&gt;0,Data!E502,"")</f>
        <v/>
      </c>
      <c r="F502" s="1">
        <f>IF(Data!F502&gt;0,Data!F502,"")</f>
        <v/>
      </c>
      <c r="G502" s="1">
        <f>IF(Data!G502&gt;0,Data!G502,"")</f>
        <v/>
      </c>
      <c r="H502" s="1">
        <f>IF(Data!H502&gt;0,Data!H502,"")</f>
        <v/>
      </c>
      <c r="I502" s="1">
        <f>IF(Data!I502&gt;0,Data!I502,"")</f>
        <v/>
      </c>
      <c r="J502" s="1">
        <f>IF(Data!J502&gt;0,Data!J502,"")</f>
        <v/>
      </c>
      <c r="K502" s="1">
        <f>IF(Data!K502&gt;0,Data!K502,"")</f>
        <v/>
      </c>
      <c r="L502" s="1">
        <f>IF(Data!L502&gt;0,Data!L502,"")</f>
        <v/>
      </c>
      <c r="M502" s="1">
        <f>IF(Data!M502&gt;0,Data!M502,"")</f>
        <v/>
      </c>
      <c r="N502" s="1">
        <f>IF(Data!N502&gt;0,Data!N502,"")</f>
        <v/>
      </c>
      <c r="O502" s="1">
        <f>IF(Data!O502&gt;0,Data!O502,"")</f>
        <v/>
      </c>
      <c r="P502" s="1">
        <f>IF(Data!P502&gt;0,Data!P502,"")</f>
        <v/>
      </c>
      <c r="Q502" s="1">
        <f>IF(Data!Q502&gt;0,Data!Q502,"")</f>
        <v/>
      </c>
      <c r="R502" s="1">
        <f>IF(Data!R502&gt;0,Data!R502,"")</f>
        <v/>
      </c>
      <c r="S502" s="1">
        <f>IF(Data!S502&gt;0,Data!S502,"")</f>
        <v/>
      </c>
      <c r="V502" s="3">
        <f>IF(COUNT(D502,J502,K502,L502,M502,O502)&gt;0,AVERAGE(D502,J502,K502,L502,M502,O502),"")</f>
        <v/>
      </c>
      <c r="W502" s="3">
        <f>IF(COUNT(C502,F502,G502,N502,Q502)&gt;0,AVERAGE(C502,F502,G502,N502,Q502),"")</f>
        <v/>
      </c>
      <c r="X502" s="3">
        <f>IF(COUNT(B502,E502,H502,I502,P502,R502,S502)&gt;0,AVERAGE(B502,E502,H502,I502,P502,R502,S502),"")</f>
        <v/>
      </c>
      <c r="Y502" s="3" t="n"/>
      <c r="AJ502">
        <f>IFERROR(AVERAGEIF($A$4:$A$1004,AI502,$V$4:$V$1004),"")</f>
        <v/>
      </c>
      <c r="AK502">
        <f>IFERROR(AVERAGEIF($A$4:$A$1004,AI502,$W$4:$W$1004),"")</f>
        <v/>
      </c>
      <c r="AL502">
        <f>IFERROR(AVERAGEIF($A$4:$A$1004,AI502,$X$4:$X$1004),"")</f>
        <v/>
      </c>
    </row>
    <row r="503">
      <c r="A503" s="1">
        <f>IF(Data!A503&gt;0,Data!A503,"")</f>
        <v/>
      </c>
      <c r="B503" s="1">
        <f>IF(Data!B503&gt;0,Data!B503,"")</f>
        <v/>
      </c>
      <c r="C503" s="1">
        <f>IF(Data!C503&gt;0,Data!C503,"")</f>
        <v/>
      </c>
      <c r="D503" s="1">
        <f>IF(Data!D503&gt;0,Data!D503,"")</f>
        <v/>
      </c>
      <c r="E503" s="1">
        <f>IF(Data!E503&gt;0,Data!E503,"")</f>
        <v/>
      </c>
      <c r="F503" s="1">
        <f>IF(Data!F503&gt;0,Data!F503,"")</f>
        <v/>
      </c>
      <c r="G503" s="1">
        <f>IF(Data!G503&gt;0,Data!G503,"")</f>
        <v/>
      </c>
      <c r="H503" s="1">
        <f>IF(Data!H503&gt;0,Data!H503,"")</f>
        <v/>
      </c>
      <c r="I503" s="1">
        <f>IF(Data!I503&gt;0,Data!I503,"")</f>
        <v/>
      </c>
      <c r="J503" s="1">
        <f>IF(Data!J503&gt;0,Data!J503,"")</f>
        <v/>
      </c>
      <c r="K503" s="1">
        <f>IF(Data!K503&gt;0,Data!K503,"")</f>
        <v/>
      </c>
      <c r="L503" s="1">
        <f>IF(Data!L503&gt;0,Data!L503,"")</f>
        <v/>
      </c>
      <c r="M503" s="1">
        <f>IF(Data!M503&gt;0,Data!M503,"")</f>
        <v/>
      </c>
      <c r="N503" s="1">
        <f>IF(Data!N503&gt;0,Data!N503,"")</f>
        <v/>
      </c>
      <c r="O503" s="1">
        <f>IF(Data!O503&gt;0,Data!O503,"")</f>
        <v/>
      </c>
      <c r="P503" s="1">
        <f>IF(Data!P503&gt;0,Data!P503,"")</f>
        <v/>
      </c>
      <c r="Q503" s="1">
        <f>IF(Data!Q503&gt;0,Data!Q503,"")</f>
        <v/>
      </c>
      <c r="R503" s="1">
        <f>IF(Data!R503&gt;0,Data!R503,"")</f>
        <v/>
      </c>
      <c r="S503" s="1">
        <f>IF(Data!S503&gt;0,Data!S503,"")</f>
        <v/>
      </c>
      <c r="V503" s="3">
        <f>IF(COUNT(D503,J503,K503,L503,M503,O503)&gt;0,AVERAGE(D503,J503,K503,L503,M503,O503),"")</f>
        <v/>
      </c>
      <c r="W503" s="3">
        <f>IF(COUNT(C503,F503,G503,N503,Q503)&gt;0,AVERAGE(C503,F503,G503,N503,Q503),"")</f>
        <v/>
      </c>
      <c r="X503" s="3">
        <f>IF(COUNT(B503,E503,H503,I503,P503,R503,S503)&gt;0,AVERAGE(B503,E503,H503,I503,P503,R503,S503),"")</f>
        <v/>
      </c>
      <c r="Y503" s="3" t="n"/>
      <c r="AJ503">
        <f>IFERROR(AVERAGEIF($A$4:$A$1004,AI503,$V$4:$V$1004),"")</f>
        <v/>
      </c>
      <c r="AK503">
        <f>IFERROR(AVERAGEIF($A$4:$A$1004,AI503,$W$4:$W$1004),"")</f>
        <v/>
      </c>
      <c r="AL503">
        <f>IFERROR(AVERAGEIF($A$4:$A$1004,AI503,$X$4:$X$1004),"")</f>
        <v/>
      </c>
    </row>
    <row r="504">
      <c r="A504" s="1">
        <f>IF(Data!A504&gt;0,Data!A504,"")</f>
        <v/>
      </c>
      <c r="B504" s="1">
        <f>IF(Data!B504&gt;0,Data!B504,"")</f>
        <v/>
      </c>
      <c r="C504" s="1">
        <f>IF(Data!C504&gt;0,Data!C504,"")</f>
        <v/>
      </c>
      <c r="D504" s="1">
        <f>IF(Data!D504&gt;0,Data!D504,"")</f>
        <v/>
      </c>
      <c r="E504" s="1">
        <f>IF(Data!E504&gt;0,Data!E504,"")</f>
        <v/>
      </c>
      <c r="F504" s="1">
        <f>IF(Data!F504&gt;0,Data!F504,"")</f>
        <v/>
      </c>
      <c r="G504" s="1">
        <f>IF(Data!G504&gt;0,Data!G504,"")</f>
        <v/>
      </c>
      <c r="H504" s="1">
        <f>IF(Data!H504&gt;0,Data!H504,"")</f>
        <v/>
      </c>
      <c r="I504" s="1">
        <f>IF(Data!I504&gt;0,Data!I504,"")</f>
        <v/>
      </c>
      <c r="J504" s="1">
        <f>IF(Data!J504&gt;0,Data!J504,"")</f>
        <v/>
      </c>
      <c r="K504" s="1">
        <f>IF(Data!K504&gt;0,Data!K504,"")</f>
        <v/>
      </c>
      <c r="L504" s="1">
        <f>IF(Data!L504&gt;0,Data!L504,"")</f>
        <v/>
      </c>
      <c r="M504" s="1">
        <f>IF(Data!M504&gt;0,Data!M504,"")</f>
        <v/>
      </c>
      <c r="N504" s="1">
        <f>IF(Data!N504&gt;0,Data!N504,"")</f>
        <v/>
      </c>
      <c r="O504" s="1">
        <f>IF(Data!O504&gt;0,Data!O504,"")</f>
        <v/>
      </c>
      <c r="P504" s="1">
        <f>IF(Data!P504&gt;0,Data!P504,"")</f>
        <v/>
      </c>
      <c r="Q504" s="1">
        <f>IF(Data!Q504&gt;0,Data!Q504,"")</f>
        <v/>
      </c>
      <c r="R504" s="1">
        <f>IF(Data!R504&gt;0,Data!R504,"")</f>
        <v/>
      </c>
      <c r="S504" s="1">
        <f>IF(Data!S504&gt;0,Data!S504,"")</f>
        <v/>
      </c>
      <c r="V504" s="3">
        <f>IF(COUNT(D504,J504,K504,L504,M504,O504)&gt;0,AVERAGE(D504,J504,K504,L504,M504,O504),"")</f>
        <v/>
      </c>
      <c r="W504" s="3">
        <f>IF(COUNT(C504,F504,G504,N504,Q504)&gt;0,AVERAGE(C504,F504,G504,N504,Q504),"")</f>
        <v/>
      </c>
      <c r="X504" s="3">
        <f>IF(COUNT(B504,E504,H504,I504,P504,R504,S504)&gt;0,AVERAGE(B504,E504,H504,I504,P504,R504,S504),"")</f>
        <v/>
      </c>
      <c r="Y504" s="3" t="n"/>
      <c r="AJ504">
        <f>IFERROR(AVERAGEIF($A$4:$A$1004,AI504,$V$4:$V$1004),"")</f>
        <v/>
      </c>
      <c r="AK504">
        <f>IFERROR(AVERAGEIF($A$4:$A$1004,AI504,$W$4:$W$1004),"")</f>
        <v/>
      </c>
      <c r="AL504">
        <f>IFERROR(AVERAGEIF($A$4:$A$1004,AI504,$X$4:$X$1004),"")</f>
        <v/>
      </c>
    </row>
    <row r="505">
      <c r="A505" s="1">
        <f>IF(Data!A505&gt;0,Data!A505,"")</f>
        <v/>
      </c>
      <c r="B505" s="1">
        <f>IF(Data!B505&gt;0,Data!B505,"")</f>
        <v/>
      </c>
      <c r="C505" s="1">
        <f>IF(Data!C505&gt;0,Data!C505,"")</f>
        <v/>
      </c>
      <c r="D505" s="1">
        <f>IF(Data!D505&gt;0,Data!D505,"")</f>
        <v/>
      </c>
      <c r="E505" s="1">
        <f>IF(Data!E505&gt;0,Data!E505,"")</f>
        <v/>
      </c>
      <c r="F505" s="1">
        <f>IF(Data!F505&gt;0,Data!F505,"")</f>
        <v/>
      </c>
      <c r="G505" s="1">
        <f>IF(Data!G505&gt;0,Data!G505,"")</f>
        <v/>
      </c>
      <c r="H505" s="1">
        <f>IF(Data!H505&gt;0,Data!H505,"")</f>
        <v/>
      </c>
      <c r="I505" s="1">
        <f>IF(Data!I505&gt;0,Data!I505,"")</f>
        <v/>
      </c>
      <c r="J505" s="1">
        <f>IF(Data!J505&gt;0,Data!J505,"")</f>
        <v/>
      </c>
      <c r="K505" s="1">
        <f>IF(Data!K505&gt;0,Data!K505,"")</f>
        <v/>
      </c>
      <c r="L505" s="1">
        <f>IF(Data!L505&gt;0,Data!L505,"")</f>
        <v/>
      </c>
      <c r="M505" s="1">
        <f>IF(Data!M505&gt;0,Data!M505,"")</f>
        <v/>
      </c>
      <c r="N505" s="1">
        <f>IF(Data!N505&gt;0,Data!N505,"")</f>
        <v/>
      </c>
      <c r="O505" s="1">
        <f>IF(Data!O505&gt;0,Data!O505,"")</f>
        <v/>
      </c>
      <c r="P505" s="1">
        <f>IF(Data!P505&gt;0,Data!P505,"")</f>
        <v/>
      </c>
      <c r="Q505" s="1">
        <f>IF(Data!Q505&gt;0,Data!Q505,"")</f>
        <v/>
      </c>
      <c r="R505" s="1">
        <f>IF(Data!R505&gt;0,Data!R505,"")</f>
        <v/>
      </c>
      <c r="S505" s="1">
        <f>IF(Data!S505&gt;0,Data!S505,"")</f>
        <v/>
      </c>
      <c r="V505" s="3">
        <f>IF(COUNT(D505,J505,K505,L505,M505,O505)&gt;0,AVERAGE(D505,J505,K505,L505,M505,O505),"")</f>
        <v/>
      </c>
      <c r="W505" s="3">
        <f>IF(COUNT(C505,F505,G505,N505,Q505)&gt;0,AVERAGE(C505,F505,G505,N505,Q505),"")</f>
        <v/>
      </c>
      <c r="X505" s="3">
        <f>IF(COUNT(B505,E505,H505,I505,P505,R505,S505)&gt;0,AVERAGE(B505,E505,H505,I505,P505,R505,S505),"")</f>
        <v/>
      </c>
      <c r="Y505" s="3" t="n"/>
      <c r="AJ505">
        <f>IFERROR(AVERAGEIF($A$4:$A$1004,AI505,$V$4:$V$1004),"")</f>
        <v/>
      </c>
      <c r="AK505">
        <f>IFERROR(AVERAGEIF($A$4:$A$1004,AI505,$W$4:$W$1004),"")</f>
        <v/>
      </c>
      <c r="AL505">
        <f>IFERROR(AVERAGEIF($A$4:$A$1004,AI505,$X$4:$X$1004),"")</f>
        <v/>
      </c>
    </row>
    <row r="506">
      <c r="A506" s="1">
        <f>IF(Data!A506&gt;0,Data!A506,"")</f>
        <v/>
      </c>
      <c r="B506" s="1">
        <f>IF(Data!B506&gt;0,Data!B506,"")</f>
        <v/>
      </c>
      <c r="C506" s="1">
        <f>IF(Data!C506&gt;0,Data!C506,"")</f>
        <v/>
      </c>
      <c r="D506" s="1">
        <f>IF(Data!D506&gt;0,Data!D506,"")</f>
        <v/>
      </c>
      <c r="E506" s="1">
        <f>IF(Data!E506&gt;0,Data!E506,"")</f>
        <v/>
      </c>
      <c r="F506" s="1">
        <f>IF(Data!F506&gt;0,Data!F506,"")</f>
        <v/>
      </c>
      <c r="G506" s="1">
        <f>IF(Data!G506&gt;0,Data!G506,"")</f>
        <v/>
      </c>
      <c r="H506" s="1">
        <f>IF(Data!H506&gt;0,Data!H506,"")</f>
        <v/>
      </c>
      <c r="I506" s="1">
        <f>IF(Data!I506&gt;0,Data!I506,"")</f>
        <v/>
      </c>
      <c r="J506" s="1">
        <f>IF(Data!J506&gt;0,Data!J506,"")</f>
        <v/>
      </c>
      <c r="K506" s="1">
        <f>IF(Data!K506&gt;0,Data!K506,"")</f>
        <v/>
      </c>
      <c r="L506" s="1">
        <f>IF(Data!L506&gt;0,Data!L506,"")</f>
        <v/>
      </c>
      <c r="M506" s="1">
        <f>IF(Data!M506&gt;0,Data!M506,"")</f>
        <v/>
      </c>
      <c r="N506" s="1">
        <f>IF(Data!N506&gt;0,Data!N506,"")</f>
        <v/>
      </c>
      <c r="O506" s="1">
        <f>IF(Data!O506&gt;0,Data!O506,"")</f>
        <v/>
      </c>
      <c r="P506" s="1">
        <f>IF(Data!P506&gt;0,Data!P506,"")</f>
        <v/>
      </c>
      <c r="Q506" s="1">
        <f>IF(Data!Q506&gt;0,Data!Q506,"")</f>
        <v/>
      </c>
      <c r="R506" s="1">
        <f>IF(Data!R506&gt;0,Data!R506,"")</f>
        <v/>
      </c>
      <c r="S506" s="1">
        <f>IF(Data!S506&gt;0,Data!S506,"")</f>
        <v/>
      </c>
      <c r="V506" s="3">
        <f>IF(COUNT(D506,J506,K506,L506,M506,O506)&gt;0,AVERAGE(D506,J506,K506,L506,M506,O506),"")</f>
        <v/>
      </c>
      <c r="W506" s="3">
        <f>IF(COUNT(C506,F506,G506,N506,Q506)&gt;0,AVERAGE(C506,F506,G506,N506,Q506),"")</f>
        <v/>
      </c>
      <c r="X506" s="3">
        <f>IF(COUNT(B506,E506,H506,I506,P506,R506,S506)&gt;0,AVERAGE(B506,E506,H506,I506,P506,R506,S506),"")</f>
        <v/>
      </c>
      <c r="Y506" s="3" t="n"/>
      <c r="AJ506">
        <f>IFERROR(AVERAGEIF($A$4:$A$1004,AI506,$V$4:$V$1004),"")</f>
        <v/>
      </c>
      <c r="AK506">
        <f>IFERROR(AVERAGEIF($A$4:$A$1004,AI506,$W$4:$W$1004),"")</f>
        <v/>
      </c>
      <c r="AL506">
        <f>IFERROR(AVERAGEIF($A$4:$A$1004,AI506,$X$4:$X$1004),"")</f>
        <v/>
      </c>
    </row>
    <row r="507">
      <c r="A507" s="1">
        <f>IF(Data!A507&gt;0,Data!A507,"")</f>
        <v/>
      </c>
      <c r="B507" s="1">
        <f>IF(Data!B507&gt;0,Data!B507,"")</f>
        <v/>
      </c>
      <c r="C507" s="1">
        <f>IF(Data!C507&gt;0,Data!C507,"")</f>
        <v/>
      </c>
      <c r="D507" s="1">
        <f>IF(Data!D507&gt;0,Data!D507,"")</f>
        <v/>
      </c>
      <c r="E507" s="1">
        <f>IF(Data!E507&gt;0,Data!E507,"")</f>
        <v/>
      </c>
      <c r="F507" s="1">
        <f>IF(Data!F507&gt;0,Data!F507,"")</f>
        <v/>
      </c>
      <c r="G507" s="1">
        <f>IF(Data!G507&gt;0,Data!G507,"")</f>
        <v/>
      </c>
      <c r="H507" s="1">
        <f>IF(Data!H507&gt;0,Data!H507,"")</f>
        <v/>
      </c>
      <c r="I507" s="1">
        <f>IF(Data!I507&gt;0,Data!I507,"")</f>
        <v/>
      </c>
      <c r="J507" s="1">
        <f>IF(Data!J507&gt;0,Data!J507,"")</f>
        <v/>
      </c>
      <c r="K507" s="1">
        <f>IF(Data!K507&gt;0,Data!K507,"")</f>
        <v/>
      </c>
      <c r="L507" s="1">
        <f>IF(Data!L507&gt;0,Data!L507,"")</f>
        <v/>
      </c>
      <c r="M507" s="1">
        <f>IF(Data!M507&gt;0,Data!M507,"")</f>
        <v/>
      </c>
      <c r="N507" s="1">
        <f>IF(Data!N507&gt;0,Data!N507,"")</f>
        <v/>
      </c>
      <c r="O507" s="1">
        <f>IF(Data!O507&gt;0,Data!O507,"")</f>
        <v/>
      </c>
      <c r="P507" s="1">
        <f>IF(Data!P507&gt;0,Data!P507,"")</f>
        <v/>
      </c>
      <c r="Q507" s="1">
        <f>IF(Data!Q507&gt;0,Data!Q507,"")</f>
        <v/>
      </c>
      <c r="R507" s="1">
        <f>IF(Data!R507&gt;0,Data!R507,"")</f>
        <v/>
      </c>
      <c r="S507" s="1">
        <f>IF(Data!S507&gt;0,Data!S507,"")</f>
        <v/>
      </c>
      <c r="V507" s="3">
        <f>IF(COUNT(D507,J507,K507,L507,M507,O507)&gt;0,AVERAGE(D507,J507,K507,L507,M507,O507),"")</f>
        <v/>
      </c>
      <c r="W507" s="3">
        <f>IF(COUNT(C507,F507,G507,N507,Q507)&gt;0,AVERAGE(C507,F507,G507,N507,Q507),"")</f>
        <v/>
      </c>
      <c r="X507" s="3">
        <f>IF(COUNT(B507,E507,H507,I507,P507,R507,S507)&gt;0,AVERAGE(B507,E507,H507,I507,P507,R507,S507),"")</f>
        <v/>
      </c>
      <c r="Y507" s="3" t="n"/>
      <c r="AJ507">
        <f>IFERROR(AVERAGEIF($A$4:$A$1004,AI507,$V$4:$V$1004),"")</f>
        <v/>
      </c>
      <c r="AK507">
        <f>IFERROR(AVERAGEIF($A$4:$A$1004,AI507,$W$4:$W$1004),"")</f>
        <v/>
      </c>
      <c r="AL507">
        <f>IFERROR(AVERAGEIF($A$4:$A$1004,AI507,$X$4:$X$1004),"")</f>
        <v/>
      </c>
    </row>
    <row r="508">
      <c r="A508" s="1">
        <f>IF(Data!A508&gt;0,Data!A508,"")</f>
        <v/>
      </c>
      <c r="B508" s="1">
        <f>IF(Data!B508&gt;0,Data!B508,"")</f>
        <v/>
      </c>
      <c r="C508" s="1">
        <f>IF(Data!C508&gt;0,Data!C508,"")</f>
        <v/>
      </c>
      <c r="D508" s="1">
        <f>IF(Data!D508&gt;0,Data!D508,"")</f>
        <v/>
      </c>
      <c r="E508" s="1">
        <f>IF(Data!E508&gt;0,Data!E508,"")</f>
        <v/>
      </c>
      <c r="F508" s="1">
        <f>IF(Data!F508&gt;0,Data!F508,"")</f>
        <v/>
      </c>
      <c r="G508" s="1">
        <f>IF(Data!G508&gt;0,Data!G508,"")</f>
        <v/>
      </c>
      <c r="H508" s="1">
        <f>IF(Data!H508&gt;0,Data!H508,"")</f>
        <v/>
      </c>
      <c r="I508" s="1">
        <f>IF(Data!I508&gt;0,Data!I508,"")</f>
        <v/>
      </c>
      <c r="J508" s="1">
        <f>IF(Data!J508&gt;0,Data!J508,"")</f>
        <v/>
      </c>
      <c r="K508" s="1">
        <f>IF(Data!K508&gt;0,Data!K508,"")</f>
        <v/>
      </c>
      <c r="L508" s="1">
        <f>IF(Data!L508&gt;0,Data!L508,"")</f>
        <v/>
      </c>
      <c r="M508" s="1">
        <f>IF(Data!M508&gt;0,Data!M508,"")</f>
        <v/>
      </c>
      <c r="N508" s="1">
        <f>IF(Data!N508&gt;0,Data!N508,"")</f>
        <v/>
      </c>
      <c r="O508" s="1">
        <f>IF(Data!O508&gt;0,Data!O508,"")</f>
        <v/>
      </c>
      <c r="P508" s="1">
        <f>IF(Data!P508&gt;0,Data!P508,"")</f>
        <v/>
      </c>
      <c r="Q508" s="1">
        <f>IF(Data!Q508&gt;0,Data!Q508,"")</f>
        <v/>
      </c>
      <c r="R508" s="1">
        <f>IF(Data!R508&gt;0,Data!R508,"")</f>
        <v/>
      </c>
      <c r="S508" s="1">
        <f>IF(Data!S508&gt;0,Data!S508,"")</f>
        <v/>
      </c>
      <c r="V508" s="3">
        <f>IF(COUNT(D508,J508,K508,L508,M508,O508)&gt;0,AVERAGE(D508,J508,K508,L508,M508,O508),"")</f>
        <v/>
      </c>
      <c r="W508" s="3">
        <f>IF(COUNT(C508,F508,G508,N508,Q508)&gt;0,AVERAGE(C508,F508,G508,N508,Q508),"")</f>
        <v/>
      </c>
      <c r="X508" s="3">
        <f>IF(COUNT(B508,E508,H508,I508,P508,R508,S508)&gt;0,AVERAGE(B508,E508,H508,I508,P508,R508,S508),"")</f>
        <v/>
      </c>
      <c r="Y508" s="3" t="n"/>
      <c r="AJ508">
        <f>IFERROR(AVERAGEIF($A$4:$A$1004,AI508,$V$4:$V$1004),"")</f>
        <v/>
      </c>
      <c r="AK508">
        <f>IFERROR(AVERAGEIF($A$4:$A$1004,AI508,$W$4:$W$1004),"")</f>
        <v/>
      </c>
      <c r="AL508">
        <f>IFERROR(AVERAGEIF($A$4:$A$1004,AI508,$X$4:$X$1004),"")</f>
        <v/>
      </c>
    </row>
    <row r="509">
      <c r="A509" s="1">
        <f>IF(Data!A509&gt;0,Data!A509,"")</f>
        <v/>
      </c>
      <c r="B509" s="1">
        <f>IF(Data!B509&gt;0,Data!B509,"")</f>
        <v/>
      </c>
      <c r="C509" s="1">
        <f>IF(Data!C509&gt;0,Data!C509,"")</f>
        <v/>
      </c>
      <c r="D509" s="1">
        <f>IF(Data!D509&gt;0,Data!D509,"")</f>
        <v/>
      </c>
      <c r="E509" s="1">
        <f>IF(Data!E509&gt;0,Data!E509,"")</f>
        <v/>
      </c>
      <c r="F509" s="1">
        <f>IF(Data!F509&gt;0,Data!F509,"")</f>
        <v/>
      </c>
      <c r="G509" s="1">
        <f>IF(Data!G509&gt;0,Data!G509,"")</f>
        <v/>
      </c>
      <c r="H509" s="1">
        <f>IF(Data!H509&gt;0,Data!H509,"")</f>
        <v/>
      </c>
      <c r="I509" s="1">
        <f>IF(Data!I509&gt;0,Data!I509,"")</f>
        <v/>
      </c>
      <c r="J509" s="1">
        <f>IF(Data!J509&gt;0,Data!J509,"")</f>
        <v/>
      </c>
      <c r="K509" s="1">
        <f>IF(Data!K509&gt;0,Data!K509,"")</f>
        <v/>
      </c>
      <c r="L509" s="1">
        <f>IF(Data!L509&gt;0,Data!L509,"")</f>
        <v/>
      </c>
      <c r="M509" s="1">
        <f>IF(Data!M509&gt;0,Data!M509,"")</f>
        <v/>
      </c>
      <c r="N509" s="1">
        <f>IF(Data!N509&gt;0,Data!N509,"")</f>
        <v/>
      </c>
      <c r="O509" s="1">
        <f>IF(Data!O509&gt;0,Data!O509,"")</f>
        <v/>
      </c>
      <c r="P509" s="1">
        <f>IF(Data!P509&gt;0,Data!P509,"")</f>
        <v/>
      </c>
      <c r="Q509" s="1">
        <f>IF(Data!Q509&gt;0,Data!Q509,"")</f>
        <v/>
      </c>
      <c r="R509" s="1">
        <f>IF(Data!R509&gt;0,Data!R509,"")</f>
        <v/>
      </c>
      <c r="S509" s="1">
        <f>IF(Data!S509&gt;0,Data!S509,"")</f>
        <v/>
      </c>
      <c r="V509" s="3">
        <f>IF(COUNT(D509,J509,K509,L509,M509,O509)&gt;0,AVERAGE(D509,J509,K509,L509,M509,O509),"")</f>
        <v/>
      </c>
      <c r="W509" s="3">
        <f>IF(COUNT(C509,F509,G509,N509,Q509)&gt;0,AVERAGE(C509,F509,G509,N509,Q509),"")</f>
        <v/>
      </c>
      <c r="X509" s="3">
        <f>IF(COUNT(B509,E509,H509,I509,P509,R509,S509)&gt;0,AVERAGE(B509,E509,H509,I509,P509,R509,S509),"")</f>
        <v/>
      </c>
      <c r="Y509" s="3" t="n"/>
      <c r="AJ509">
        <f>IFERROR(AVERAGEIF($A$4:$A$1004,AI509,$V$4:$V$1004),"")</f>
        <v/>
      </c>
      <c r="AK509">
        <f>IFERROR(AVERAGEIF($A$4:$A$1004,AI509,$W$4:$W$1004),"")</f>
        <v/>
      </c>
      <c r="AL509">
        <f>IFERROR(AVERAGEIF($A$4:$A$1004,AI509,$X$4:$X$1004),"")</f>
        <v/>
      </c>
    </row>
    <row r="510">
      <c r="A510" s="1">
        <f>IF(Data!A510&gt;0,Data!A510,"")</f>
        <v/>
      </c>
      <c r="B510" s="1">
        <f>IF(Data!B510&gt;0,Data!B510,"")</f>
        <v/>
      </c>
      <c r="C510" s="1">
        <f>IF(Data!C510&gt;0,Data!C510,"")</f>
        <v/>
      </c>
      <c r="D510" s="1">
        <f>IF(Data!D510&gt;0,Data!D510,"")</f>
        <v/>
      </c>
      <c r="E510" s="1">
        <f>IF(Data!E510&gt;0,Data!E510,"")</f>
        <v/>
      </c>
      <c r="F510" s="1">
        <f>IF(Data!F510&gt;0,Data!F510,"")</f>
        <v/>
      </c>
      <c r="G510" s="1">
        <f>IF(Data!G510&gt;0,Data!G510,"")</f>
        <v/>
      </c>
      <c r="H510" s="1">
        <f>IF(Data!H510&gt;0,Data!H510,"")</f>
        <v/>
      </c>
      <c r="I510" s="1">
        <f>IF(Data!I510&gt;0,Data!I510,"")</f>
        <v/>
      </c>
      <c r="J510" s="1">
        <f>IF(Data!J510&gt;0,Data!J510,"")</f>
        <v/>
      </c>
      <c r="K510" s="1">
        <f>IF(Data!K510&gt;0,Data!K510,"")</f>
        <v/>
      </c>
      <c r="L510" s="1">
        <f>IF(Data!L510&gt;0,Data!L510,"")</f>
        <v/>
      </c>
      <c r="M510" s="1">
        <f>IF(Data!M510&gt;0,Data!M510,"")</f>
        <v/>
      </c>
      <c r="N510" s="1">
        <f>IF(Data!N510&gt;0,Data!N510,"")</f>
        <v/>
      </c>
      <c r="O510" s="1">
        <f>IF(Data!O510&gt;0,Data!O510,"")</f>
        <v/>
      </c>
      <c r="P510" s="1">
        <f>IF(Data!P510&gt;0,Data!P510,"")</f>
        <v/>
      </c>
      <c r="Q510" s="1">
        <f>IF(Data!Q510&gt;0,Data!Q510,"")</f>
        <v/>
      </c>
      <c r="R510" s="1">
        <f>IF(Data!R510&gt;0,Data!R510,"")</f>
        <v/>
      </c>
      <c r="S510" s="1">
        <f>IF(Data!S510&gt;0,Data!S510,"")</f>
        <v/>
      </c>
      <c r="V510" s="3">
        <f>IF(COUNT(D510,J510,K510,L510,M510,O510)&gt;0,AVERAGE(D510,J510,K510,L510,M510,O510),"")</f>
        <v/>
      </c>
      <c r="W510" s="3">
        <f>IF(COUNT(C510,F510,G510,N510,Q510)&gt;0,AVERAGE(C510,F510,G510,N510,Q510),"")</f>
        <v/>
      </c>
      <c r="X510" s="3">
        <f>IF(COUNT(B510,E510,H510,I510,P510,R510,S510)&gt;0,AVERAGE(B510,E510,H510,I510,P510,R510,S510),"")</f>
        <v/>
      </c>
      <c r="Y510" s="3" t="n"/>
      <c r="AJ510">
        <f>IFERROR(AVERAGEIF($A$4:$A$1004,AI510,$V$4:$V$1004),"")</f>
        <v/>
      </c>
      <c r="AK510">
        <f>IFERROR(AVERAGEIF($A$4:$A$1004,AI510,$W$4:$W$1004),"")</f>
        <v/>
      </c>
      <c r="AL510">
        <f>IFERROR(AVERAGEIF($A$4:$A$1004,AI510,$X$4:$X$1004),"")</f>
        <v/>
      </c>
    </row>
    <row r="511">
      <c r="A511" s="1">
        <f>IF(Data!A511&gt;0,Data!A511,"")</f>
        <v/>
      </c>
      <c r="B511" s="1">
        <f>IF(Data!B511&gt;0,Data!B511,"")</f>
        <v/>
      </c>
      <c r="C511" s="1">
        <f>IF(Data!C511&gt;0,Data!C511,"")</f>
        <v/>
      </c>
      <c r="D511" s="1">
        <f>IF(Data!D511&gt;0,Data!D511,"")</f>
        <v/>
      </c>
      <c r="E511" s="1">
        <f>IF(Data!E511&gt;0,Data!E511,"")</f>
        <v/>
      </c>
      <c r="F511" s="1">
        <f>IF(Data!F511&gt;0,Data!F511,"")</f>
        <v/>
      </c>
      <c r="G511" s="1">
        <f>IF(Data!G511&gt;0,Data!G511,"")</f>
        <v/>
      </c>
      <c r="H511" s="1">
        <f>IF(Data!H511&gt;0,Data!H511,"")</f>
        <v/>
      </c>
      <c r="I511" s="1">
        <f>IF(Data!I511&gt;0,Data!I511,"")</f>
        <v/>
      </c>
      <c r="J511" s="1">
        <f>IF(Data!J511&gt;0,Data!J511,"")</f>
        <v/>
      </c>
      <c r="K511" s="1">
        <f>IF(Data!K511&gt;0,Data!K511,"")</f>
        <v/>
      </c>
      <c r="L511" s="1">
        <f>IF(Data!L511&gt;0,Data!L511,"")</f>
        <v/>
      </c>
      <c r="M511" s="1">
        <f>IF(Data!M511&gt;0,Data!M511,"")</f>
        <v/>
      </c>
      <c r="N511" s="1">
        <f>IF(Data!N511&gt;0,Data!N511,"")</f>
        <v/>
      </c>
      <c r="O511" s="1">
        <f>IF(Data!O511&gt;0,Data!O511,"")</f>
        <v/>
      </c>
      <c r="P511" s="1">
        <f>IF(Data!P511&gt;0,Data!P511,"")</f>
        <v/>
      </c>
      <c r="Q511" s="1">
        <f>IF(Data!Q511&gt;0,Data!Q511,"")</f>
        <v/>
      </c>
      <c r="R511" s="1">
        <f>IF(Data!R511&gt;0,Data!R511,"")</f>
        <v/>
      </c>
      <c r="S511" s="1">
        <f>IF(Data!S511&gt;0,Data!S511,"")</f>
        <v/>
      </c>
      <c r="V511" s="3">
        <f>IF(COUNT(D511,J511,K511,L511,M511,O511)&gt;0,AVERAGE(D511,J511,K511,L511,M511,O511),"")</f>
        <v/>
      </c>
      <c r="W511" s="3">
        <f>IF(COUNT(C511,F511,G511,N511,Q511)&gt;0,AVERAGE(C511,F511,G511,N511,Q511),"")</f>
        <v/>
      </c>
      <c r="X511" s="3">
        <f>IF(COUNT(B511,E511,H511,I511,P511,R511,S511)&gt;0,AVERAGE(B511,E511,H511,I511,P511,R511,S511),"")</f>
        <v/>
      </c>
      <c r="Y511" s="3" t="n"/>
      <c r="AJ511">
        <f>IFERROR(AVERAGEIF($A$4:$A$1004,AI511,$V$4:$V$1004),"")</f>
        <v/>
      </c>
      <c r="AK511">
        <f>IFERROR(AVERAGEIF($A$4:$A$1004,AI511,$W$4:$W$1004),"")</f>
        <v/>
      </c>
      <c r="AL511">
        <f>IFERROR(AVERAGEIF($A$4:$A$1004,AI511,$X$4:$X$1004),"")</f>
        <v/>
      </c>
    </row>
    <row r="512">
      <c r="A512" s="1">
        <f>IF(Data!A512&gt;0,Data!A512,"")</f>
        <v/>
      </c>
      <c r="B512" s="1">
        <f>IF(Data!B512&gt;0,Data!B512,"")</f>
        <v/>
      </c>
      <c r="C512" s="1">
        <f>IF(Data!C512&gt;0,Data!C512,"")</f>
        <v/>
      </c>
      <c r="D512" s="1">
        <f>IF(Data!D512&gt;0,Data!D512,"")</f>
        <v/>
      </c>
      <c r="E512" s="1">
        <f>IF(Data!E512&gt;0,Data!E512,"")</f>
        <v/>
      </c>
      <c r="F512" s="1">
        <f>IF(Data!F512&gt;0,Data!F512,"")</f>
        <v/>
      </c>
      <c r="G512" s="1">
        <f>IF(Data!G512&gt;0,Data!G512,"")</f>
        <v/>
      </c>
      <c r="H512" s="1">
        <f>IF(Data!H512&gt;0,Data!H512,"")</f>
        <v/>
      </c>
      <c r="I512" s="1">
        <f>IF(Data!I512&gt;0,Data!I512,"")</f>
        <v/>
      </c>
      <c r="J512" s="1">
        <f>IF(Data!J512&gt;0,Data!J512,"")</f>
        <v/>
      </c>
      <c r="K512" s="1">
        <f>IF(Data!K512&gt;0,Data!K512,"")</f>
        <v/>
      </c>
      <c r="L512" s="1">
        <f>IF(Data!L512&gt;0,Data!L512,"")</f>
        <v/>
      </c>
      <c r="M512" s="1">
        <f>IF(Data!M512&gt;0,Data!M512,"")</f>
        <v/>
      </c>
      <c r="N512" s="1">
        <f>IF(Data!N512&gt;0,Data!N512,"")</f>
        <v/>
      </c>
      <c r="O512" s="1">
        <f>IF(Data!O512&gt;0,Data!O512,"")</f>
        <v/>
      </c>
      <c r="P512" s="1">
        <f>IF(Data!P512&gt;0,Data!P512,"")</f>
        <v/>
      </c>
      <c r="Q512" s="1">
        <f>IF(Data!Q512&gt;0,Data!Q512,"")</f>
        <v/>
      </c>
      <c r="R512" s="1">
        <f>IF(Data!R512&gt;0,Data!R512,"")</f>
        <v/>
      </c>
      <c r="S512" s="1">
        <f>IF(Data!S512&gt;0,Data!S512,"")</f>
        <v/>
      </c>
      <c r="V512" s="3">
        <f>IF(COUNT(D512,J512,K512,L512,M512,O512)&gt;0,AVERAGE(D512,J512,K512,L512,M512,O512),"")</f>
        <v/>
      </c>
      <c r="W512" s="3">
        <f>IF(COUNT(C512,F512,G512,N512,Q512)&gt;0,AVERAGE(C512,F512,G512,N512,Q512),"")</f>
        <v/>
      </c>
      <c r="X512" s="3">
        <f>IF(COUNT(B512,E512,H512,I512,P512,R512,S512)&gt;0,AVERAGE(B512,E512,H512,I512,P512,R512,S512),"")</f>
        <v/>
      </c>
      <c r="Y512" s="3" t="n"/>
      <c r="AJ512">
        <f>IFERROR(AVERAGEIF($A$4:$A$1004,AI512,$V$4:$V$1004),"")</f>
        <v/>
      </c>
      <c r="AK512">
        <f>IFERROR(AVERAGEIF($A$4:$A$1004,AI512,$W$4:$W$1004),"")</f>
        <v/>
      </c>
      <c r="AL512">
        <f>IFERROR(AVERAGEIF($A$4:$A$1004,AI512,$X$4:$X$1004),"")</f>
        <v/>
      </c>
    </row>
    <row r="513">
      <c r="A513" s="1">
        <f>IF(Data!A513&gt;0,Data!A513,"")</f>
        <v/>
      </c>
      <c r="B513" s="1">
        <f>IF(Data!B513&gt;0,Data!B513,"")</f>
        <v/>
      </c>
      <c r="C513" s="1">
        <f>IF(Data!C513&gt;0,Data!C513,"")</f>
        <v/>
      </c>
      <c r="D513" s="1">
        <f>IF(Data!D513&gt;0,Data!D513,"")</f>
        <v/>
      </c>
      <c r="E513" s="1">
        <f>IF(Data!E513&gt;0,Data!E513,"")</f>
        <v/>
      </c>
      <c r="F513" s="1">
        <f>IF(Data!F513&gt;0,Data!F513,"")</f>
        <v/>
      </c>
      <c r="G513" s="1">
        <f>IF(Data!G513&gt;0,Data!G513,"")</f>
        <v/>
      </c>
      <c r="H513" s="1">
        <f>IF(Data!H513&gt;0,Data!H513,"")</f>
        <v/>
      </c>
      <c r="I513" s="1">
        <f>IF(Data!I513&gt;0,Data!I513,"")</f>
        <v/>
      </c>
      <c r="J513" s="1">
        <f>IF(Data!J513&gt;0,Data!J513,"")</f>
        <v/>
      </c>
      <c r="K513" s="1">
        <f>IF(Data!K513&gt;0,Data!K513,"")</f>
        <v/>
      </c>
      <c r="L513" s="1">
        <f>IF(Data!L513&gt;0,Data!L513,"")</f>
        <v/>
      </c>
      <c r="M513" s="1">
        <f>IF(Data!M513&gt;0,Data!M513,"")</f>
        <v/>
      </c>
      <c r="N513" s="1">
        <f>IF(Data!N513&gt;0,Data!N513,"")</f>
        <v/>
      </c>
      <c r="O513" s="1">
        <f>IF(Data!O513&gt;0,Data!O513,"")</f>
        <v/>
      </c>
      <c r="P513" s="1">
        <f>IF(Data!P513&gt;0,Data!P513,"")</f>
        <v/>
      </c>
      <c r="Q513" s="1">
        <f>IF(Data!Q513&gt;0,Data!Q513,"")</f>
        <v/>
      </c>
      <c r="R513" s="1">
        <f>IF(Data!R513&gt;0,Data!R513,"")</f>
        <v/>
      </c>
      <c r="S513" s="1">
        <f>IF(Data!S513&gt;0,Data!S513,"")</f>
        <v/>
      </c>
      <c r="V513" s="3">
        <f>IF(COUNT(D513,J513,K513,L513,M513,O513)&gt;0,AVERAGE(D513,J513,K513,L513,M513,O513),"")</f>
        <v/>
      </c>
      <c r="W513" s="3">
        <f>IF(COUNT(C513,F513,G513,N513,Q513)&gt;0,AVERAGE(C513,F513,G513,N513,Q513),"")</f>
        <v/>
      </c>
      <c r="X513" s="3">
        <f>IF(COUNT(B513,E513,H513,I513,P513,R513,S513)&gt;0,AVERAGE(B513,E513,H513,I513,P513,R513,S513),"")</f>
        <v/>
      </c>
      <c r="Y513" s="3" t="n"/>
      <c r="AJ513">
        <f>IFERROR(AVERAGEIF($A$4:$A$1004,AI513,$V$4:$V$1004),"")</f>
        <v/>
      </c>
      <c r="AK513">
        <f>IFERROR(AVERAGEIF($A$4:$A$1004,AI513,$W$4:$W$1004),"")</f>
        <v/>
      </c>
      <c r="AL513">
        <f>IFERROR(AVERAGEIF($A$4:$A$1004,AI513,$X$4:$X$1004),"")</f>
        <v/>
      </c>
    </row>
    <row r="514">
      <c r="A514" s="1">
        <f>IF(Data!A514&gt;0,Data!A514,"")</f>
        <v/>
      </c>
      <c r="B514" s="1">
        <f>IF(Data!B514&gt;0,Data!B514,"")</f>
        <v/>
      </c>
      <c r="C514" s="1">
        <f>IF(Data!C514&gt;0,Data!C514,"")</f>
        <v/>
      </c>
      <c r="D514" s="1">
        <f>IF(Data!D514&gt;0,Data!D514,"")</f>
        <v/>
      </c>
      <c r="E514" s="1">
        <f>IF(Data!E514&gt;0,Data!E514,"")</f>
        <v/>
      </c>
      <c r="F514" s="1">
        <f>IF(Data!F514&gt;0,Data!F514,"")</f>
        <v/>
      </c>
      <c r="G514" s="1">
        <f>IF(Data!G514&gt;0,Data!G514,"")</f>
        <v/>
      </c>
      <c r="H514" s="1">
        <f>IF(Data!H514&gt;0,Data!H514,"")</f>
        <v/>
      </c>
      <c r="I514" s="1">
        <f>IF(Data!I514&gt;0,Data!I514,"")</f>
        <v/>
      </c>
      <c r="J514" s="1">
        <f>IF(Data!J514&gt;0,Data!J514,"")</f>
        <v/>
      </c>
      <c r="K514" s="1">
        <f>IF(Data!K514&gt;0,Data!K514,"")</f>
        <v/>
      </c>
      <c r="L514" s="1">
        <f>IF(Data!L514&gt;0,Data!L514,"")</f>
        <v/>
      </c>
      <c r="M514" s="1">
        <f>IF(Data!M514&gt;0,Data!M514,"")</f>
        <v/>
      </c>
      <c r="N514" s="1">
        <f>IF(Data!N514&gt;0,Data!N514,"")</f>
        <v/>
      </c>
      <c r="O514" s="1">
        <f>IF(Data!O514&gt;0,Data!O514,"")</f>
        <v/>
      </c>
      <c r="P514" s="1">
        <f>IF(Data!P514&gt;0,Data!P514,"")</f>
        <v/>
      </c>
      <c r="Q514" s="1">
        <f>IF(Data!Q514&gt;0,Data!Q514,"")</f>
        <v/>
      </c>
      <c r="R514" s="1">
        <f>IF(Data!R514&gt;0,Data!R514,"")</f>
        <v/>
      </c>
      <c r="S514" s="1">
        <f>IF(Data!S514&gt;0,Data!S514,"")</f>
        <v/>
      </c>
      <c r="V514" s="3">
        <f>IF(COUNT(D514,J514,K514,L514,M514,O514)&gt;0,AVERAGE(D514,J514,K514,L514,M514,O514),"")</f>
        <v/>
      </c>
      <c r="W514" s="3">
        <f>IF(COUNT(C514,F514,G514,N514,Q514)&gt;0,AVERAGE(C514,F514,G514,N514,Q514),"")</f>
        <v/>
      </c>
      <c r="X514" s="3">
        <f>IF(COUNT(B514,E514,H514,I514,P514,R514,S514)&gt;0,AVERAGE(B514,E514,H514,I514,P514,R514,S514),"")</f>
        <v/>
      </c>
      <c r="Y514" s="3" t="n"/>
      <c r="AJ514">
        <f>IFERROR(AVERAGEIF($A$4:$A$1004,AI514,$V$4:$V$1004),"")</f>
        <v/>
      </c>
      <c r="AK514">
        <f>IFERROR(AVERAGEIF($A$4:$A$1004,AI514,$W$4:$W$1004),"")</f>
        <v/>
      </c>
      <c r="AL514">
        <f>IFERROR(AVERAGEIF($A$4:$A$1004,AI514,$X$4:$X$1004),"")</f>
        <v/>
      </c>
    </row>
    <row r="515">
      <c r="A515" s="1">
        <f>IF(Data!A515&gt;0,Data!A515,"")</f>
        <v/>
      </c>
      <c r="B515" s="1">
        <f>IF(Data!B515&gt;0,Data!B515,"")</f>
        <v/>
      </c>
      <c r="C515" s="1">
        <f>IF(Data!C515&gt;0,Data!C515,"")</f>
        <v/>
      </c>
      <c r="D515" s="1">
        <f>IF(Data!D515&gt;0,Data!D515,"")</f>
        <v/>
      </c>
      <c r="E515" s="1">
        <f>IF(Data!E515&gt;0,Data!E515,"")</f>
        <v/>
      </c>
      <c r="F515" s="1">
        <f>IF(Data!F515&gt;0,Data!F515,"")</f>
        <v/>
      </c>
      <c r="G515" s="1">
        <f>IF(Data!G515&gt;0,Data!G515,"")</f>
        <v/>
      </c>
      <c r="H515" s="1">
        <f>IF(Data!H515&gt;0,Data!H515,"")</f>
        <v/>
      </c>
      <c r="I515" s="1">
        <f>IF(Data!I515&gt;0,Data!I515,"")</f>
        <v/>
      </c>
      <c r="J515" s="1">
        <f>IF(Data!J515&gt;0,Data!J515,"")</f>
        <v/>
      </c>
      <c r="K515" s="1">
        <f>IF(Data!K515&gt;0,Data!K515,"")</f>
        <v/>
      </c>
      <c r="L515" s="1">
        <f>IF(Data!L515&gt;0,Data!L515,"")</f>
        <v/>
      </c>
      <c r="M515" s="1">
        <f>IF(Data!M515&gt;0,Data!M515,"")</f>
        <v/>
      </c>
      <c r="N515" s="1">
        <f>IF(Data!N515&gt;0,Data!N515,"")</f>
        <v/>
      </c>
      <c r="O515" s="1">
        <f>IF(Data!O515&gt;0,Data!O515,"")</f>
        <v/>
      </c>
      <c r="P515" s="1">
        <f>IF(Data!P515&gt;0,Data!P515,"")</f>
        <v/>
      </c>
      <c r="Q515" s="1">
        <f>IF(Data!Q515&gt;0,Data!Q515,"")</f>
        <v/>
      </c>
      <c r="R515" s="1">
        <f>IF(Data!R515&gt;0,Data!R515,"")</f>
        <v/>
      </c>
      <c r="S515" s="1">
        <f>IF(Data!S515&gt;0,Data!S515,"")</f>
        <v/>
      </c>
      <c r="V515" s="3">
        <f>IF(COUNT(D515,J515,K515,L515,M515,O515)&gt;0,AVERAGE(D515,J515,K515,L515,M515,O515),"")</f>
        <v/>
      </c>
      <c r="W515" s="3">
        <f>IF(COUNT(C515,F515,G515,N515,Q515)&gt;0,AVERAGE(C515,F515,G515,N515,Q515),"")</f>
        <v/>
      </c>
      <c r="X515" s="3">
        <f>IF(COUNT(B515,E515,H515,I515,P515,R515,S515)&gt;0,AVERAGE(B515,E515,H515,I515,P515,R515,S515),"")</f>
        <v/>
      </c>
      <c r="Y515" s="3" t="n"/>
      <c r="AJ515">
        <f>IFERROR(AVERAGEIF($A$4:$A$1004,AI515,$V$4:$V$1004),"")</f>
        <v/>
      </c>
      <c r="AK515">
        <f>IFERROR(AVERAGEIF($A$4:$A$1004,AI515,$W$4:$W$1004),"")</f>
        <v/>
      </c>
      <c r="AL515">
        <f>IFERROR(AVERAGEIF($A$4:$A$1004,AI515,$X$4:$X$1004),"")</f>
        <v/>
      </c>
    </row>
    <row r="516">
      <c r="A516" s="1">
        <f>IF(Data!A516&gt;0,Data!A516,"")</f>
        <v/>
      </c>
      <c r="B516" s="1">
        <f>IF(Data!B516&gt;0,Data!B516,"")</f>
        <v/>
      </c>
      <c r="C516" s="1">
        <f>IF(Data!C516&gt;0,Data!C516,"")</f>
        <v/>
      </c>
      <c r="D516" s="1">
        <f>IF(Data!D516&gt;0,Data!D516,"")</f>
        <v/>
      </c>
      <c r="E516" s="1">
        <f>IF(Data!E516&gt;0,Data!E516,"")</f>
        <v/>
      </c>
      <c r="F516" s="1">
        <f>IF(Data!F516&gt;0,Data!F516,"")</f>
        <v/>
      </c>
      <c r="G516" s="1">
        <f>IF(Data!G516&gt;0,Data!G516,"")</f>
        <v/>
      </c>
      <c r="H516" s="1">
        <f>IF(Data!H516&gt;0,Data!H516,"")</f>
        <v/>
      </c>
      <c r="I516" s="1">
        <f>IF(Data!I516&gt;0,Data!I516,"")</f>
        <v/>
      </c>
      <c r="J516" s="1">
        <f>IF(Data!J516&gt;0,Data!J516,"")</f>
        <v/>
      </c>
      <c r="K516" s="1">
        <f>IF(Data!K516&gt;0,Data!K516,"")</f>
        <v/>
      </c>
      <c r="L516" s="1">
        <f>IF(Data!L516&gt;0,Data!L516,"")</f>
        <v/>
      </c>
      <c r="M516" s="1">
        <f>IF(Data!M516&gt;0,Data!M516,"")</f>
        <v/>
      </c>
      <c r="N516" s="1">
        <f>IF(Data!N516&gt;0,Data!N516,"")</f>
        <v/>
      </c>
      <c r="O516" s="1">
        <f>IF(Data!O516&gt;0,Data!O516,"")</f>
        <v/>
      </c>
      <c r="P516" s="1">
        <f>IF(Data!P516&gt;0,Data!P516,"")</f>
        <v/>
      </c>
      <c r="Q516" s="1">
        <f>IF(Data!Q516&gt;0,Data!Q516,"")</f>
        <v/>
      </c>
      <c r="R516" s="1">
        <f>IF(Data!R516&gt;0,Data!R516,"")</f>
        <v/>
      </c>
      <c r="S516" s="1">
        <f>IF(Data!S516&gt;0,Data!S516,"")</f>
        <v/>
      </c>
      <c r="V516" s="3">
        <f>IF(COUNT(D516,J516,K516,L516,M516,O516)&gt;0,AVERAGE(D516,J516,K516,L516,M516,O516),"")</f>
        <v/>
      </c>
      <c r="W516" s="3">
        <f>IF(COUNT(C516,F516,G516,N516,Q516)&gt;0,AVERAGE(C516,F516,G516,N516,Q516),"")</f>
        <v/>
      </c>
      <c r="X516" s="3">
        <f>IF(COUNT(B516,E516,H516,I516,P516,R516,S516)&gt;0,AVERAGE(B516,E516,H516,I516,P516,R516,S516),"")</f>
        <v/>
      </c>
      <c r="Y516" s="3" t="n"/>
      <c r="AJ516">
        <f>IFERROR(AVERAGEIF($A$4:$A$1004,AI516,$V$4:$V$1004),"")</f>
        <v/>
      </c>
      <c r="AK516">
        <f>IFERROR(AVERAGEIF($A$4:$A$1004,AI516,$W$4:$W$1004),"")</f>
        <v/>
      </c>
      <c r="AL516">
        <f>IFERROR(AVERAGEIF($A$4:$A$1004,AI516,$X$4:$X$1004),"")</f>
        <v/>
      </c>
    </row>
    <row r="517">
      <c r="A517" s="1">
        <f>IF(Data!A517&gt;0,Data!A517,"")</f>
        <v/>
      </c>
      <c r="B517" s="1">
        <f>IF(Data!B517&gt;0,Data!B517,"")</f>
        <v/>
      </c>
      <c r="C517" s="1">
        <f>IF(Data!C517&gt;0,Data!C517,"")</f>
        <v/>
      </c>
      <c r="D517" s="1">
        <f>IF(Data!D517&gt;0,Data!D517,"")</f>
        <v/>
      </c>
      <c r="E517" s="1">
        <f>IF(Data!E517&gt;0,Data!E517,"")</f>
        <v/>
      </c>
      <c r="F517" s="1">
        <f>IF(Data!F517&gt;0,Data!F517,"")</f>
        <v/>
      </c>
      <c r="G517" s="1">
        <f>IF(Data!G517&gt;0,Data!G517,"")</f>
        <v/>
      </c>
      <c r="H517" s="1">
        <f>IF(Data!H517&gt;0,Data!H517,"")</f>
        <v/>
      </c>
      <c r="I517" s="1">
        <f>IF(Data!I517&gt;0,Data!I517,"")</f>
        <v/>
      </c>
      <c r="J517" s="1">
        <f>IF(Data!J517&gt;0,Data!J517,"")</f>
        <v/>
      </c>
      <c r="K517" s="1">
        <f>IF(Data!K517&gt;0,Data!K517,"")</f>
        <v/>
      </c>
      <c r="L517" s="1">
        <f>IF(Data!L517&gt;0,Data!L517,"")</f>
        <v/>
      </c>
      <c r="M517" s="1">
        <f>IF(Data!M517&gt;0,Data!M517,"")</f>
        <v/>
      </c>
      <c r="N517" s="1">
        <f>IF(Data!N517&gt;0,Data!N517,"")</f>
        <v/>
      </c>
      <c r="O517" s="1">
        <f>IF(Data!O517&gt;0,Data!O517,"")</f>
        <v/>
      </c>
      <c r="P517" s="1">
        <f>IF(Data!P517&gt;0,Data!P517,"")</f>
        <v/>
      </c>
      <c r="Q517" s="1">
        <f>IF(Data!Q517&gt;0,Data!Q517,"")</f>
        <v/>
      </c>
      <c r="R517" s="1">
        <f>IF(Data!R517&gt;0,Data!R517,"")</f>
        <v/>
      </c>
      <c r="S517" s="1">
        <f>IF(Data!S517&gt;0,Data!S517,"")</f>
        <v/>
      </c>
      <c r="V517" s="3">
        <f>IF(COUNT(D517,J517,K517,L517,M517,O517)&gt;0,AVERAGE(D517,J517,K517,L517,M517,O517),"")</f>
        <v/>
      </c>
      <c r="W517" s="3">
        <f>IF(COUNT(C517,F517,G517,N517,Q517)&gt;0,AVERAGE(C517,F517,G517,N517,Q517),"")</f>
        <v/>
      </c>
      <c r="X517" s="3">
        <f>IF(COUNT(B517,E517,H517,I517,P517,R517,S517)&gt;0,AVERAGE(B517,E517,H517,I517,P517,R517,S517),"")</f>
        <v/>
      </c>
      <c r="Y517" s="3" t="n"/>
      <c r="AJ517">
        <f>IFERROR(AVERAGEIF($A$4:$A$1004,AI517,$V$4:$V$1004),"")</f>
        <v/>
      </c>
      <c r="AK517">
        <f>IFERROR(AVERAGEIF($A$4:$A$1004,AI517,$W$4:$W$1004),"")</f>
        <v/>
      </c>
      <c r="AL517">
        <f>IFERROR(AVERAGEIF($A$4:$A$1004,AI517,$X$4:$X$1004),"")</f>
        <v/>
      </c>
    </row>
    <row r="518">
      <c r="A518" s="1">
        <f>IF(Data!A518&gt;0,Data!A518,"")</f>
        <v/>
      </c>
      <c r="B518" s="1">
        <f>IF(Data!B518&gt;0,Data!B518,"")</f>
        <v/>
      </c>
      <c r="C518" s="1">
        <f>IF(Data!C518&gt;0,Data!C518,"")</f>
        <v/>
      </c>
      <c r="D518" s="1">
        <f>IF(Data!D518&gt;0,Data!D518,"")</f>
        <v/>
      </c>
      <c r="E518" s="1">
        <f>IF(Data!E518&gt;0,Data!E518,"")</f>
        <v/>
      </c>
      <c r="F518" s="1">
        <f>IF(Data!F518&gt;0,Data!F518,"")</f>
        <v/>
      </c>
      <c r="G518" s="1">
        <f>IF(Data!G518&gt;0,Data!G518,"")</f>
        <v/>
      </c>
      <c r="H518" s="1">
        <f>IF(Data!H518&gt;0,Data!H518,"")</f>
        <v/>
      </c>
      <c r="I518" s="1">
        <f>IF(Data!I518&gt;0,Data!I518,"")</f>
        <v/>
      </c>
      <c r="J518" s="1">
        <f>IF(Data!J518&gt;0,Data!J518,"")</f>
        <v/>
      </c>
      <c r="K518" s="1">
        <f>IF(Data!K518&gt;0,Data!K518,"")</f>
        <v/>
      </c>
      <c r="L518" s="1">
        <f>IF(Data!L518&gt;0,Data!L518,"")</f>
        <v/>
      </c>
      <c r="M518" s="1">
        <f>IF(Data!M518&gt;0,Data!M518,"")</f>
        <v/>
      </c>
      <c r="N518" s="1">
        <f>IF(Data!N518&gt;0,Data!N518,"")</f>
        <v/>
      </c>
      <c r="O518" s="1">
        <f>IF(Data!O518&gt;0,Data!O518,"")</f>
        <v/>
      </c>
      <c r="P518" s="1">
        <f>IF(Data!P518&gt;0,Data!P518,"")</f>
        <v/>
      </c>
      <c r="Q518" s="1">
        <f>IF(Data!Q518&gt;0,Data!Q518,"")</f>
        <v/>
      </c>
      <c r="R518" s="1">
        <f>IF(Data!R518&gt;0,Data!R518,"")</f>
        <v/>
      </c>
      <c r="S518" s="1">
        <f>IF(Data!S518&gt;0,Data!S518,"")</f>
        <v/>
      </c>
      <c r="V518" s="3">
        <f>IF(COUNT(D518,J518,K518,L518,M518,O518)&gt;0,AVERAGE(D518,J518,K518,L518,M518,O518),"")</f>
        <v/>
      </c>
      <c r="W518" s="3">
        <f>IF(COUNT(C518,F518,G518,N518,Q518)&gt;0,AVERAGE(C518,F518,G518,N518,Q518),"")</f>
        <v/>
      </c>
      <c r="X518" s="3">
        <f>IF(COUNT(B518,E518,H518,I518,P518,R518,S518)&gt;0,AVERAGE(B518,E518,H518,I518,P518,R518,S518),"")</f>
        <v/>
      </c>
      <c r="Y518" s="3" t="n"/>
      <c r="AJ518">
        <f>IFERROR(AVERAGEIF($A$4:$A$1004,AI518,$V$4:$V$1004),"")</f>
        <v/>
      </c>
      <c r="AK518">
        <f>IFERROR(AVERAGEIF($A$4:$A$1004,AI518,$W$4:$W$1004),"")</f>
        <v/>
      </c>
      <c r="AL518">
        <f>IFERROR(AVERAGEIF($A$4:$A$1004,AI518,$X$4:$X$1004),"")</f>
        <v/>
      </c>
    </row>
    <row r="519">
      <c r="A519" s="1">
        <f>IF(Data!A519&gt;0,Data!A519,"")</f>
        <v/>
      </c>
      <c r="B519" s="1">
        <f>IF(Data!B519&gt;0,Data!B519,"")</f>
        <v/>
      </c>
      <c r="C519" s="1">
        <f>IF(Data!C519&gt;0,Data!C519,"")</f>
        <v/>
      </c>
      <c r="D519" s="1">
        <f>IF(Data!D519&gt;0,Data!D519,"")</f>
        <v/>
      </c>
      <c r="E519" s="1">
        <f>IF(Data!E519&gt;0,Data!E519,"")</f>
        <v/>
      </c>
      <c r="F519" s="1">
        <f>IF(Data!F519&gt;0,Data!F519,"")</f>
        <v/>
      </c>
      <c r="G519" s="1">
        <f>IF(Data!G519&gt;0,Data!G519,"")</f>
        <v/>
      </c>
      <c r="H519" s="1">
        <f>IF(Data!H519&gt;0,Data!H519,"")</f>
        <v/>
      </c>
      <c r="I519" s="1">
        <f>IF(Data!I519&gt;0,Data!I519,"")</f>
        <v/>
      </c>
      <c r="J519" s="1">
        <f>IF(Data!J519&gt;0,Data!J519,"")</f>
        <v/>
      </c>
      <c r="K519" s="1">
        <f>IF(Data!K519&gt;0,Data!K519,"")</f>
        <v/>
      </c>
      <c r="L519" s="1">
        <f>IF(Data!L519&gt;0,Data!L519,"")</f>
        <v/>
      </c>
      <c r="M519" s="1">
        <f>IF(Data!M519&gt;0,Data!M519,"")</f>
        <v/>
      </c>
      <c r="N519" s="1">
        <f>IF(Data!N519&gt;0,Data!N519,"")</f>
        <v/>
      </c>
      <c r="O519" s="1">
        <f>IF(Data!O519&gt;0,Data!O519,"")</f>
        <v/>
      </c>
      <c r="P519" s="1">
        <f>IF(Data!P519&gt;0,Data!P519,"")</f>
        <v/>
      </c>
      <c r="Q519" s="1">
        <f>IF(Data!Q519&gt;0,Data!Q519,"")</f>
        <v/>
      </c>
      <c r="R519" s="1">
        <f>IF(Data!R519&gt;0,Data!R519,"")</f>
        <v/>
      </c>
      <c r="S519" s="1">
        <f>IF(Data!S519&gt;0,Data!S519,"")</f>
        <v/>
      </c>
      <c r="V519" s="3">
        <f>IF(COUNT(D519,J519,K519,L519,M519,O519)&gt;0,AVERAGE(D519,J519,K519,L519,M519,O519),"")</f>
        <v/>
      </c>
      <c r="W519" s="3">
        <f>IF(COUNT(C519,F519,G519,N519,Q519)&gt;0,AVERAGE(C519,F519,G519,N519,Q519),"")</f>
        <v/>
      </c>
      <c r="X519" s="3">
        <f>IF(COUNT(B519,E519,H519,I519,P519,R519,S519)&gt;0,AVERAGE(B519,E519,H519,I519,P519,R519,S519),"")</f>
        <v/>
      </c>
      <c r="Y519" s="3" t="n"/>
      <c r="AJ519">
        <f>IFERROR(AVERAGEIF($A$4:$A$1004,AI519,$V$4:$V$1004),"")</f>
        <v/>
      </c>
      <c r="AK519">
        <f>IFERROR(AVERAGEIF($A$4:$A$1004,AI519,$W$4:$W$1004),"")</f>
        <v/>
      </c>
      <c r="AL519">
        <f>IFERROR(AVERAGEIF($A$4:$A$1004,AI519,$X$4:$X$1004),"")</f>
        <v/>
      </c>
    </row>
    <row r="520">
      <c r="A520" s="1">
        <f>IF(Data!A520&gt;0,Data!A520,"")</f>
        <v/>
      </c>
      <c r="B520" s="1">
        <f>IF(Data!B520&gt;0,Data!B520,"")</f>
        <v/>
      </c>
      <c r="C520" s="1">
        <f>IF(Data!C520&gt;0,Data!C520,"")</f>
        <v/>
      </c>
      <c r="D520" s="1">
        <f>IF(Data!D520&gt;0,Data!D520,"")</f>
        <v/>
      </c>
      <c r="E520" s="1">
        <f>IF(Data!E520&gt;0,Data!E520,"")</f>
        <v/>
      </c>
      <c r="F520" s="1">
        <f>IF(Data!F520&gt;0,Data!F520,"")</f>
        <v/>
      </c>
      <c r="G520" s="1">
        <f>IF(Data!G520&gt;0,Data!G520,"")</f>
        <v/>
      </c>
      <c r="H520" s="1">
        <f>IF(Data!H520&gt;0,Data!H520,"")</f>
        <v/>
      </c>
      <c r="I520" s="1">
        <f>IF(Data!I520&gt;0,Data!I520,"")</f>
        <v/>
      </c>
      <c r="J520" s="1">
        <f>IF(Data!J520&gt;0,Data!J520,"")</f>
        <v/>
      </c>
      <c r="K520" s="1">
        <f>IF(Data!K520&gt;0,Data!K520,"")</f>
        <v/>
      </c>
      <c r="L520" s="1">
        <f>IF(Data!L520&gt;0,Data!L520,"")</f>
        <v/>
      </c>
      <c r="M520" s="1">
        <f>IF(Data!M520&gt;0,Data!M520,"")</f>
        <v/>
      </c>
      <c r="N520" s="1">
        <f>IF(Data!N520&gt;0,Data!N520,"")</f>
        <v/>
      </c>
      <c r="O520" s="1">
        <f>IF(Data!O520&gt;0,Data!O520,"")</f>
        <v/>
      </c>
      <c r="P520" s="1">
        <f>IF(Data!P520&gt;0,Data!P520,"")</f>
        <v/>
      </c>
      <c r="Q520" s="1">
        <f>IF(Data!Q520&gt;0,Data!Q520,"")</f>
        <v/>
      </c>
      <c r="R520" s="1">
        <f>IF(Data!R520&gt;0,Data!R520,"")</f>
        <v/>
      </c>
      <c r="S520" s="1">
        <f>IF(Data!S520&gt;0,Data!S520,"")</f>
        <v/>
      </c>
      <c r="V520" s="3">
        <f>IF(COUNT(D520,J520,K520,L520,M520,O520)&gt;0,AVERAGE(D520,J520,K520,L520,M520,O520),"")</f>
        <v/>
      </c>
      <c r="W520" s="3">
        <f>IF(COUNT(C520,F520,G520,N520,Q520)&gt;0,AVERAGE(C520,F520,G520,N520,Q520),"")</f>
        <v/>
      </c>
      <c r="X520" s="3">
        <f>IF(COUNT(B520,E520,H520,I520,P520,R520,S520)&gt;0,AVERAGE(B520,E520,H520,I520,P520,R520,S520),"")</f>
        <v/>
      </c>
      <c r="Y520" s="3" t="n"/>
      <c r="AJ520">
        <f>IFERROR(AVERAGEIF($A$4:$A$1004,AI520,$V$4:$V$1004),"")</f>
        <v/>
      </c>
      <c r="AK520">
        <f>IFERROR(AVERAGEIF($A$4:$A$1004,AI520,$W$4:$W$1004),"")</f>
        <v/>
      </c>
      <c r="AL520">
        <f>IFERROR(AVERAGEIF($A$4:$A$1004,AI520,$X$4:$X$1004),"")</f>
        <v/>
      </c>
    </row>
    <row r="521">
      <c r="A521" s="1">
        <f>IF(Data!A521&gt;0,Data!A521,"")</f>
        <v/>
      </c>
      <c r="B521" s="1">
        <f>IF(Data!B521&gt;0,Data!B521,"")</f>
        <v/>
      </c>
      <c r="C521" s="1">
        <f>IF(Data!C521&gt;0,Data!C521,"")</f>
        <v/>
      </c>
      <c r="D521" s="1">
        <f>IF(Data!D521&gt;0,Data!D521,"")</f>
        <v/>
      </c>
      <c r="E521" s="1">
        <f>IF(Data!E521&gt;0,Data!E521,"")</f>
        <v/>
      </c>
      <c r="F521" s="1">
        <f>IF(Data!F521&gt;0,Data!F521,"")</f>
        <v/>
      </c>
      <c r="G521" s="1">
        <f>IF(Data!G521&gt;0,Data!G521,"")</f>
        <v/>
      </c>
      <c r="H521" s="1">
        <f>IF(Data!H521&gt;0,Data!H521,"")</f>
        <v/>
      </c>
      <c r="I521" s="1">
        <f>IF(Data!I521&gt;0,Data!I521,"")</f>
        <v/>
      </c>
      <c r="J521" s="1">
        <f>IF(Data!J521&gt;0,Data!J521,"")</f>
        <v/>
      </c>
      <c r="K521" s="1">
        <f>IF(Data!K521&gt;0,Data!K521,"")</f>
        <v/>
      </c>
      <c r="L521" s="1">
        <f>IF(Data!L521&gt;0,Data!L521,"")</f>
        <v/>
      </c>
      <c r="M521" s="1">
        <f>IF(Data!M521&gt;0,Data!M521,"")</f>
        <v/>
      </c>
      <c r="N521" s="1">
        <f>IF(Data!N521&gt;0,Data!N521,"")</f>
        <v/>
      </c>
      <c r="O521" s="1">
        <f>IF(Data!O521&gt;0,Data!O521,"")</f>
        <v/>
      </c>
      <c r="P521" s="1">
        <f>IF(Data!P521&gt;0,Data!P521,"")</f>
        <v/>
      </c>
      <c r="Q521" s="1">
        <f>IF(Data!Q521&gt;0,Data!Q521,"")</f>
        <v/>
      </c>
      <c r="R521" s="1">
        <f>IF(Data!R521&gt;0,Data!R521,"")</f>
        <v/>
      </c>
      <c r="S521" s="1">
        <f>IF(Data!S521&gt;0,Data!S521,"")</f>
        <v/>
      </c>
      <c r="V521" s="3">
        <f>IF(COUNT(D521,J521,K521,L521,M521,O521)&gt;0,AVERAGE(D521,J521,K521,L521,M521,O521),"")</f>
        <v/>
      </c>
      <c r="W521" s="3">
        <f>IF(COUNT(C521,F521,G521,N521,Q521)&gt;0,AVERAGE(C521,F521,G521,N521,Q521),"")</f>
        <v/>
      </c>
      <c r="X521" s="3">
        <f>IF(COUNT(B521,E521,H521,I521,P521,R521,S521)&gt;0,AVERAGE(B521,E521,H521,I521,P521,R521,S521),"")</f>
        <v/>
      </c>
      <c r="Y521" s="3" t="n"/>
      <c r="AJ521">
        <f>IFERROR(AVERAGEIF($A$4:$A$1004,AI521,$V$4:$V$1004),"")</f>
        <v/>
      </c>
      <c r="AK521">
        <f>IFERROR(AVERAGEIF($A$4:$A$1004,AI521,$W$4:$W$1004),"")</f>
        <v/>
      </c>
      <c r="AL521">
        <f>IFERROR(AVERAGEIF($A$4:$A$1004,AI521,$X$4:$X$1004),"")</f>
        <v/>
      </c>
    </row>
    <row r="522">
      <c r="A522" s="1">
        <f>IF(Data!A522&gt;0,Data!A522,"")</f>
        <v/>
      </c>
      <c r="B522" s="1">
        <f>IF(Data!B522&gt;0,Data!B522,"")</f>
        <v/>
      </c>
      <c r="C522" s="1">
        <f>IF(Data!C522&gt;0,Data!C522,"")</f>
        <v/>
      </c>
      <c r="D522" s="1">
        <f>IF(Data!D522&gt;0,Data!D522,"")</f>
        <v/>
      </c>
      <c r="E522" s="1">
        <f>IF(Data!E522&gt;0,Data!E522,"")</f>
        <v/>
      </c>
      <c r="F522" s="1">
        <f>IF(Data!F522&gt;0,Data!F522,"")</f>
        <v/>
      </c>
      <c r="G522" s="1">
        <f>IF(Data!G522&gt;0,Data!G522,"")</f>
        <v/>
      </c>
      <c r="H522" s="1">
        <f>IF(Data!H522&gt;0,Data!H522,"")</f>
        <v/>
      </c>
      <c r="I522" s="1">
        <f>IF(Data!I522&gt;0,Data!I522,"")</f>
        <v/>
      </c>
      <c r="J522" s="1">
        <f>IF(Data!J522&gt;0,Data!J522,"")</f>
        <v/>
      </c>
      <c r="K522" s="1">
        <f>IF(Data!K522&gt;0,Data!K522,"")</f>
        <v/>
      </c>
      <c r="L522" s="1">
        <f>IF(Data!L522&gt;0,Data!L522,"")</f>
        <v/>
      </c>
      <c r="M522" s="1">
        <f>IF(Data!M522&gt;0,Data!M522,"")</f>
        <v/>
      </c>
      <c r="N522" s="1">
        <f>IF(Data!N522&gt;0,Data!N522,"")</f>
        <v/>
      </c>
      <c r="O522" s="1">
        <f>IF(Data!O522&gt;0,Data!O522,"")</f>
        <v/>
      </c>
      <c r="P522" s="1">
        <f>IF(Data!P522&gt;0,Data!P522,"")</f>
        <v/>
      </c>
      <c r="Q522" s="1">
        <f>IF(Data!Q522&gt;0,Data!Q522,"")</f>
        <v/>
      </c>
      <c r="R522" s="1">
        <f>IF(Data!R522&gt;0,Data!R522,"")</f>
        <v/>
      </c>
      <c r="S522" s="1">
        <f>IF(Data!S522&gt;0,Data!S522,"")</f>
        <v/>
      </c>
      <c r="V522" s="3">
        <f>IF(COUNT(D522,J522,K522,L522,M522,O522)&gt;0,AVERAGE(D522,J522,K522,L522,M522,O522),"")</f>
        <v/>
      </c>
      <c r="W522" s="3">
        <f>IF(COUNT(C522,F522,G522,N522,Q522)&gt;0,AVERAGE(C522,F522,G522,N522,Q522),"")</f>
        <v/>
      </c>
      <c r="X522" s="3">
        <f>IF(COUNT(B522,E522,H522,I522,P522,R522,S522)&gt;0,AVERAGE(B522,E522,H522,I522,P522,R522,S522),"")</f>
        <v/>
      </c>
      <c r="Y522" s="3" t="n"/>
      <c r="AJ522">
        <f>IFERROR(AVERAGEIF($A$4:$A$1004,AI522,$V$4:$V$1004),"")</f>
        <v/>
      </c>
      <c r="AK522">
        <f>IFERROR(AVERAGEIF($A$4:$A$1004,AI522,$W$4:$W$1004),"")</f>
        <v/>
      </c>
      <c r="AL522">
        <f>IFERROR(AVERAGEIF($A$4:$A$1004,AI522,$X$4:$X$1004),"")</f>
        <v/>
      </c>
    </row>
    <row r="523">
      <c r="A523" s="1">
        <f>IF(Data!A523&gt;0,Data!A523,"")</f>
        <v/>
      </c>
      <c r="B523" s="1">
        <f>IF(Data!B523&gt;0,Data!B523,"")</f>
        <v/>
      </c>
      <c r="C523" s="1">
        <f>IF(Data!C523&gt;0,Data!C523,"")</f>
        <v/>
      </c>
      <c r="D523" s="1">
        <f>IF(Data!D523&gt;0,Data!D523,"")</f>
        <v/>
      </c>
      <c r="E523" s="1">
        <f>IF(Data!E523&gt;0,Data!E523,"")</f>
        <v/>
      </c>
      <c r="F523" s="1">
        <f>IF(Data!F523&gt;0,Data!F523,"")</f>
        <v/>
      </c>
      <c r="G523" s="1">
        <f>IF(Data!G523&gt;0,Data!G523,"")</f>
        <v/>
      </c>
      <c r="H523" s="1">
        <f>IF(Data!H523&gt;0,Data!H523,"")</f>
        <v/>
      </c>
      <c r="I523" s="1">
        <f>IF(Data!I523&gt;0,Data!I523,"")</f>
        <v/>
      </c>
      <c r="J523" s="1">
        <f>IF(Data!J523&gt;0,Data!J523,"")</f>
        <v/>
      </c>
      <c r="K523" s="1">
        <f>IF(Data!K523&gt;0,Data!K523,"")</f>
        <v/>
      </c>
      <c r="L523" s="1">
        <f>IF(Data!L523&gt;0,Data!L523,"")</f>
        <v/>
      </c>
      <c r="M523" s="1">
        <f>IF(Data!M523&gt;0,Data!M523,"")</f>
        <v/>
      </c>
      <c r="N523" s="1">
        <f>IF(Data!N523&gt;0,Data!N523,"")</f>
        <v/>
      </c>
      <c r="O523" s="1">
        <f>IF(Data!O523&gt;0,Data!O523,"")</f>
        <v/>
      </c>
      <c r="P523" s="1">
        <f>IF(Data!P523&gt;0,Data!P523,"")</f>
        <v/>
      </c>
      <c r="Q523" s="1">
        <f>IF(Data!Q523&gt;0,Data!Q523,"")</f>
        <v/>
      </c>
      <c r="R523" s="1">
        <f>IF(Data!R523&gt;0,Data!R523,"")</f>
        <v/>
      </c>
      <c r="S523" s="1">
        <f>IF(Data!S523&gt;0,Data!S523,"")</f>
        <v/>
      </c>
      <c r="V523" s="3">
        <f>IF(COUNT(D523,J523,K523,L523,M523,O523)&gt;0,AVERAGE(D523,J523,K523,L523,M523,O523),"")</f>
        <v/>
      </c>
      <c r="W523" s="3">
        <f>IF(COUNT(C523,F523,G523,N523,Q523)&gt;0,AVERAGE(C523,F523,G523,N523,Q523),"")</f>
        <v/>
      </c>
      <c r="X523" s="3">
        <f>IF(COUNT(B523,E523,H523,I523,P523,R523,S523)&gt;0,AVERAGE(B523,E523,H523,I523,P523,R523,S523),"")</f>
        <v/>
      </c>
      <c r="Y523" s="3" t="n"/>
      <c r="AJ523">
        <f>IFERROR(AVERAGEIF($A$4:$A$1004,AI523,$V$4:$V$1004),"")</f>
        <v/>
      </c>
      <c r="AK523">
        <f>IFERROR(AVERAGEIF($A$4:$A$1004,AI523,$W$4:$W$1004),"")</f>
        <v/>
      </c>
      <c r="AL523">
        <f>IFERROR(AVERAGEIF($A$4:$A$1004,AI523,$X$4:$X$1004),"")</f>
        <v/>
      </c>
    </row>
    <row r="524">
      <c r="A524" s="1">
        <f>IF(Data!A524&gt;0,Data!A524,"")</f>
        <v/>
      </c>
      <c r="B524" s="1">
        <f>IF(Data!B524&gt;0,Data!B524,"")</f>
        <v/>
      </c>
      <c r="C524" s="1">
        <f>IF(Data!C524&gt;0,Data!C524,"")</f>
        <v/>
      </c>
      <c r="D524" s="1">
        <f>IF(Data!D524&gt;0,Data!D524,"")</f>
        <v/>
      </c>
      <c r="E524" s="1">
        <f>IF(Data!E524&gt;0,Data!E524,"")</f>
        <v/>
      </c>
      <c r="F524" s="1">
        <f>IF(Data!F524&gt;0,Data!F524,"")</f>
        <v/>
      </c>
      <c r="G524" s="1">
        <f>IF(Data!G524&gt;0,Data!G524,"")</f>
        <v/>
      </c>
      <c r="H524" s="1">
        <f>IF(Data!H524&gt;0,Data!H524,"")</f>
        <v/>
      </c>
      <c r="I524" s="1">
        <f>IF(Data!I524&gt;0,Data!I524,"")</f>
        <v/>
      </c>
      <c r="J524" s="1">
        <f>IF(Data!J524&gt;0,Data!J524,"")</f>
        <v/>
      </c>
      <c r="K524" s="1">
        <f>IF(Data!K524&gt;0,Data!K524,"")</f>
        <v/>
      </c>
      <c r="L524" s="1">
        <f>IF(Data!L524&gt;0,Data!L524,"")</f>
        <v/>
      </c>
      <c r="M524" s="1">
        <f>IF(Data!M524&gt;0,Data!M524,"")</f>
        <v/>
      </c>
      <c r="N524" s="1">
        <f>IF(Data!N524&gt;0,Data!N524,"")</f>
        <v/>
      </c>
      <c r="O524" s="1">
        <f>IF(Data!O524&gt;0,Data!O524,"")</f>
        <v/>
      </c>
      <c r="P524" s="1">
        <f>IF(Data!P524&gt;0,Data!P524,"")</f>
        <v/>
      </c>
      <c r="Q524" s="1">
        <f>IF(Data!Q524&gt;0,Data!Q524,"")</f>
        <v/>
      </c>
      <c r="R524" s="1">
        <f>IF(Data!R524&gt;0,Data!R524,"")</f>
        <v/>
      </c>
      <c r="S524" s="1">
        <f>IF(Data!S524&gt;0,Data!S524,"")</f>
        <v/>
      </c>
      <c r="V524" s="3">
        <f>IF(COUNT(D524,J524,K524,L524,M524,O524)&gt;0,AVERAGE(D524,J524,K524,L524,M524,O524),"")</f>
        <v/>
      </c>
      <c r="W524" s="3">
        <f>IF(COUNT(C524,F524,G524,N524,Q524)&gt;0,AVERAGE(C524,F524,G524,N524,Q524),"")</f>
        <v/>
      </c>
      <c r="X524" s="3">
        <f>IF(COUNT(B524,E524,H524,I524,P524,R524,S524)&gt;0,AVERAGE(B524,E524,H524,I524,P524,R524,S524),"")</f>
        <v/>
      </c>
      <c r="Y524" s="3" t="n"/>
      <c r="AJ524">
        <f>IFERROR(AVERAGEIF($A$4:$A$1004,AI524,$V$4:$V$1004),"")</f>
        <v/>
      </c>
      <c r="AK524">
        <f>IFERROR(AVERAGEIF($A$4:$A$1004,AI524,$W$4:$W$1004),"")</f>
        <v/>
      </c>
      <c r="AL524">
        <f>IFERROR(AVERAGEIF($A$4:$A$1004,AI524,$X$4:$X$1004),"")</f>
        <v/>
      </c>
    </row>
    <row r="525">
      <c r="A525" s="1">
        <f>IF(Data!A525&gt;0,Data!A525,"")</f>
        <v/>
      </c>
      <c r="B525" s="1">
        <f>IF(Data!B525&gt;0,Data!B525,"")</f>
        <v/>
      </c>
      <c r="C525" s="1">
        <f>IF(Data!C525&gt;0,Data!C525,"")</f>
        <v/>
      </c>
      <c r="D525" s="1">
        <f>IF(Data!D525&gt;0,Data!D525,"")</f>
        <v/>
      </c>
      <c r="E525" s="1">
        <f>IF(Data!E525&gt;0,Data!E525,"")</f>
        <v/>
      </c>
      <c r="F525" s="1">
        <f>IF(Data!F525&gt;0,Data!F525,"")</f>
        <v/>
      </c>
      <c r="G525" s="1">
        <f>IF(Data!G525&gt;0,Data!G525,"")</f>
        <v/>
      </c>
      <c r="H525" s="1">
        <f>IF(Data!H525&gt;0,Data!H525,"")</f>
        <v/>
      </c>
      <c r="I525" s="1">
        <f>IF(Data!I525&gt;0,Data!I525,"")</f>
        <v/>
      </c>
      <c r="J525" s="1">
        <f>IF(Data!J525&gt;0,Data!J525,"")</f>
        <v/>
      </c>
      <c r="K525" s="1">
        <f>IF(Data!K525&gt;0,Data!K525,"")</f>
        <v/>
      </c>
      <c r="L525" s="1">
        <f>IF(Data!L525&gt;0,Data!L525,"")</f>
        <v/>
      </c>
      <c r="M525" s="1">
        <f>IF(Data!M525&gt;0,Data!M525,"")</f>
        <v/>
      </c>
      <c r="N525" s="1">
        <f>IF(Data!N525&gt;0,Data!N525,"")</f>
        <v/>
      </c>
      <c r="O525" s="1">
        <f>IF(Data!O525&gt;0,Data!O525,"")</f>
        <v/>
      </c>
      <c r="P525" s="1">
        <f>IF(Data!P525&gt;0,Data!P525,"")</f>
        <v/>
      </c>
      <c r="Q525" s="1">
        <f>IF(Data!Q525&gt;0,Data!Q525,"")</f>
        <v/>
      </c>
      <c r="R525" s="1">
        <f>IF(Data!R525&gt;0,Data!R525,"")</f>
        <v/>
      </c>
      <c r="S525" s="1">
        <f>IF(Data!S525&gt;0,Data!S525,"")</f>
        <v/>
      </c>
      <c r="V525" s="3">
        <f>IF(COUNT(D525,J525,K525,L525,M525,O525)&gt;0,AVERAGE(D525,J525,K525,L525,M525,O525),"")</f>
        <v/>
      </c>
      <c r="W525" s="3">
        <f>IF(COUNT(C525,F525,G525,N525,Q525)&gt;0,AVERAGE(C525,F525,G525,N525,Q525),"")</f>
        <v/>
      </c>
      <c r="X525" s="3">
        <f>IF(COUNT(B525,E525,H525,I525,P525,R525,S525)&gt;0,AVERAGE(B525,E525,H525,I525,P525,R525,S525),"")</f>
        <v/>
      </c>
      <c r="Y525" s="3" t="n"/>
      <c r="AJ525">
        <f>IFERROR(AVERAGEIF($A$4:$A$1004,AI525,$V$4:$V$1004),"")</f>
        <v/>
      </c>
      <c r="AK525">
        <f>IFERROR(AVERAGEIF($A$4:$A$1004,AI525,$W$4:$W$1004),"")</f>
        <v/>
      </c>
      <c r="AL525">
        <f>IFERROR(AVERAGEIF($A$4:$A$1004,AI525,$X$4:$X$1004),"")</f>
        <v/>
      </c>
    </row>
    <row r="526">
      <c r="A526" s="1">
        <f>IF(Data!A526&gt;0,Data!A526,"")</f>
        <v/>
      </c>
      <c r="B526" s="1">
        <f>IF(Data!B526&gt;0,Data!B526,"")</f>
        <v/>
      </c>
      <c r="C526" s="1">
        <f>IF(Data!C526&gt;0,Data!C526,"")</f>
        <v/>
      </c>
      <c r="D526" s="1">
        <f>IF(Data!D526&gt;0,Data!D526,"")</f>
        <v/>
      </c>
      <c r="E526" s="1">
        <f>IF(Data!E526&gt;0,Data!E526,"")</f>
        <v/>
      </c>
      <c r="F526" s="1">
        <f>IF(Data!F526&gt;0,Data!F526,"")</f>
        <v/>
      </c>
      <c r="G526" s="1">
        <f>IF(Data!G526&gt;0,Data!G526,"")</f>
        <v/>
      </c>
      <c r="H526" s="1">
        <f>IF(Data!H526&gt;0,Data!H526,"")</f>
        <v/>
      </c>
      <c r="I526" s="1">
        <f>IF(Data!I526&gt;0,Data!I526,"")</f>
        <v/>
      </c>
      <c r="J526" s="1">
        <f>IF(Data!J526&gt;0,Data!J526,"")</f>
        <v/>
      </c>
      <c r="K526" s="1">
        <f>IF(Data!K526&gt;0,Data!K526,"")</f>
        <v/>
      </c>
      <c r="L526" s="1">
        <f>IF(Data!L526&gt;0,Data!L526,"")</f>
        <v/>
      </c>
      <c r="M526" s="1">
        <f>IF(Data!M526&gt;0,Data!M526,"")</f>
        <v/>
      </c>
      <c r="N526" s="1">
        <f>IF(Data!N526&gt;0,Data!N526,"")</f>
        <v/>
      </c>
      <c r="O526" s="1">
        <f>IF(Data!O526&gt;0,Data!O526,"")</f>
        <v/>
      </c>
      <c r="P526" s="1">
        <f>IF(Data!P526&gt;0,Data!P526,"")</f>
        <v/>
      </c>
      <c r="Q526" s="1">
        <f>IF(Data!Q526&gt;0,Data!Q526,"")</f>
        <v/>
      </c>
      <c r="R526" s="1">
        <f>IF(Data!R526&gt;0,Data!R526,"")</f>
        <v/>
      </c>
      <c r="S526" s="1">
        <f>IF(Data!S526&gt;0,Data!S526,"")</f>
        <v/>
      </c>
      <c r="V526" s="3">
        <f>IF(COUNT(D526,J526,K526,L526,M526,O526)&gt;0,AVERAGE(D526,J526,K526,L526,M526,O526),"")</f>
        <v/>
      </c>
      <c r="W526" s="3">
        <f>IF(COUNT(C526,F526,G526,N526,Q526)&gt;0,AVERAGE(C526,F526,G526,N526,Q526),"")</f>
        <v/>
      </c>
      <c r="X526" s="3">
        <f>IF(COUNT(B526,E526,H526,I526,P526,R526,S526)&gt;0,AVERAGE(B526,E526,H526,I526,P526,R526,S526),"")</f>
        <v/>
      </c>
      <c r="Y526" s="3" t="n"/>
      <c r="AJ526">
        <f>IFERROR(AVERAGEIF($A$4:$A$1004,AI526,$V$4:$V$1004),"")</f>
        <v/>
      </c>
      <c r="AK526">
        <f>IFERROR(AVERAGEIF($A$4:$A$1004,AI526,$W$4:$W$1004),"")</f>
        <v/>
      </c>
      <c r="AL526">
        <f>IFERROR(AVERAGEIF($A$4:$A$1004,AI526,$X$4:$X$1004),"")</f>
        <v/>
      </c>
    </row>
    <row r="527">
      <c r="A527" s="1">
        <f>IF(Data!A527&gt;0,Data!A527,"")</f>
        <v/>
      </c>
      <c r="B527" s="1">
        <f>IF(Data!B527&gt;0,Data!B527,"")</f>
        <v/>
      </c>
      <c r="C527" s="1">
        <f>IF(Data!C527&gt;0,Data!C527,"")</f>
        <v/>
      </c>
      <c r="D527" s="1">
        <f>IF(Data!D527&gt;0,Data!D527,"")</f>
        <v/>
      </c>
      <c r="E527" s="1">
        <f>IF(Data!E527&gt;0,Data!E527,"")</f>
        <v/>
      </c>
      <c r="F527" s="1">
        <f>IF(Data!F527&gt;0,Data!F527,"")</f>
        <v/>
      </c>
      <c r="G527" s="1">
        <f>IF(Data!G527&gt;0,Data!G527,"")</f>
        <v/>
      </c>
      <c r="H527" s="1">
        <f>IF(Data!H527&gt;0,Data!H527,"")</f>
        <v/>
      </c>
      <c r="I527" s="1">
        <f>IF(Data!I527&gt;0,Data!I527,"")</f>
        <v/>
      </c>
      <c r="J527" s="1">
        <f>IF(Data!J527&gt;0,Data!J527,"")</f>
        <v/>
      </c>
      <c r="K527" s="1">
        <f>IF(Data!K527&gt;0,Data!K527,"")</f>
        <v/>
      </c>
      <c r="L527" s="1">
        <f>IF(Data!L527&gt;0,Data!L527,"")</f>
        <v/>
      </c>
      <c r="M527" s="1">
        <f>IF(Data!M527&gt;0,Data!M527,"")</f>
        <v/>
      </c>
      <c r="N527" s="1">
        <f>IF(Data!N527&gt;0,Data!N527,"")</f>
        <v/>
      </c>
      <c r="O527" s="1">
        <f>IF(Data!O527&gt;0,Data!O527,"")</f>
        <v/>
      </c>
      <c r="P527" s="1">
        <f>IF(Data!P527&gt;0,Data!P527,"")</f>
        <v/>
      </c>
      <c r="Q527" s="1">
        <f>IF(Data!Q527&gt;0,Data!Q527,"")</f>
        <v/>
      </c>
      <c r="R527" s="1">
        <f>IF(Data!R527&gt;0,Data!R527,"")</f>
        <v/>
      </c>
      <c r="S527" s="1">
        <f>IF(Data!S527&gt;0,Data!S527,"")</f>
        <v/>
      </c>
      <c r="V527" s="3">
        <f>IF(COUNT(D527,J527,K527,L527,M527,O527)&gt;0,AVERAGE(D527,J527,K527,L527,M527,O527),"")</f>
        <v/>
      </c>
      <c r="W527" s="3">
        <f>IF(COUNT(C527,F527,G527,N527,Q527)&gt;0,AVERAGE(C527,F527,G527,N527,Q527),"")</f>
        <v/>
      </c>
      <c r="X527" s="3">
        <f>IF(COUNT(B527,E527,H527,I527,P527,R527,S527)&gt;0,AVERAGE(B527,E527,H527,I527,P527,R527,S527),"")</f>
        <v/>
      </c>
      <c r="Y527" s="3" t="n"/>
      <c r="AJ527">
        <f>IFERROR(AVERAGEIF($A$4:$A$1004,AI527,$V$4:$V$1004),"")</f>
        <v/>
      </c>
      <c r="AK527">
        <f>IFERROR(AVERAGEIF($A$4:$A$1004,AI527,$W$4:$W$1004),"")</f>
        <v/>
      </c>
      <c r="AL527">
        <f>IFERROR(AVERAGEIF($A$4:$A$1004,AI527,$X$4:$X$1004),"")</f>
        <v/>
      </c>
    </row>
    <row r="528">
      <c r="A528" s="1">
        <f>IF(Data!A528&gt;0,Data!A528,"")</f>
        <v/>
      </c>
      <c r="B528" s="1">
        <f>IF(Data!B528&gt;0,Data!B528,"")</f>
        <v/>
      </c>
      <c r="C528" s="1">
        <f>IF(Data!C528&gt;0,Data!C528,"")</f>
        <v/>
      </c>
      <c r="D528" s="1">
        <f>IF(Data!D528&gt;0,Data!D528,"")</f>
        <v/>
      </c>
      <c r="E528" s="1">
        <f>IF(Data!E528&gt;0,Data!E528,"")</f>
        <v/>
      </c>
      <c r="F528" s="1">
        <f>IF(Data!F528&gt;0,Data!F528,"")</f>
        <v/>
      </c>
      <c r="G528" s="1">
        <f>IF(Data!G528&gt;0,Data!G528,"")</f>
        <v/>
      </c>
      <c r="H528" s="1">
        <f>IF(Data!H528&gt;0,Data!H528,"")</f>
        <v/>
      </c>
      <c r="I528" s="1">
        <f>IF(Data!I528&gt;0,Data!I528,"")</f>
        <v/>
      </c>
      <c r="J528" s="1">
        <f>IF(Data!J528&gt;0,Data!J528,"")</f>
        <v/>
      </c>
      <c r="K528" s="1">
        <f>IF(Data!K528&gt;0,Data!K528,"")</f>
        <v/>
      </c>
      <c r="L528" s="1">
        <f>IF(Data!L528&gt;0,Data!L528,"")</f>
        <v/>
      </c>
      <c r="M528" s="1">
        <f>IF(Data!M528&gt;0,Data!M528,"")</f>
        <v/>
      </c>
      <c r="N528" s="1">
        <f>IF(Data!N528&gt;0,Data!N528,"")</f>
        <v/>
      </c>
      <c r="O528" s="1">
        <f>IF(Data!O528&gt;0,Data!O528,"")</f>
        <v/>
      </c>
      <c r="P528" s="1">
        <f>IF(Data!P528&gt;0,Data!P528,"")</f>
        <v/>
      </c>
      <c r="Q528" s="1">
        <f>IF(Data!Q528&gt;0,Data!Q528,"")</f>
        <v/>
      </c>
      <c r="R528" s="1">
        <f>IF(Data!R528&gt;0,Data!R528,"")</f>
        <v/>
      </c>
      <c r="S528" s="1">
        <f>IF(Data!S528&gt;0,Data!S528,"")</f>
        <v/>
      </c>
      <c r="V528" s="3">
        <f>IF(COUNT(D528,J528,K528,L528,M528,O528)&gt;0,AVERAGE(D528,J528,K528,L528,M528,O528),"")</f>
        <v/>
      </c>
      <c r="W528" s="3">
        <f>IF(COUNT(C528,F528,G528,N528,Q528)&gt;0,AVERAGE(C528,F528,G528,N528,Q528),"")</f>
        <v/>
      </c>
      <c r="X528" s="3">
        <f>IF(COUNT(B528,E528,H528,I528,P528,R528,S528)&gt;0,AVERAGE(B528,E528,H528,I528,P528,R528,S528),"")</f>
        <v/>
      </c>
      <c r="Y528" s="3" t="n"/>
      <c r="AJ528">
        <f>IFERROR(AVERAGEIF($A$4:$A$1004,AI528,$V$4:$V$1004),"")</f>
        <v/>
      </c>
      <c r="AK528">
        <f>IFERROR(AVERAGEIF($A$4:$A$1004,AI528,$W$4:$W$1004),"")</f>
        <v/>
      </c>
      <c r="AL528">
        <f>IFERROR(AVERAGEIF($A$4:$A$1004,AI528,$X$4:$X$1004),"")</f>
        <v/>
      </c>
    </row>
    <row r="529">
      <c r="A529" s="1">
        <f>IF(Data!A529&gt;0,Data!A529,"")</f>
        <v/>
      </c>
      <c r="B529" s="1">
        <f>IF(Data!B529&gt;0,Data!B529,"")</f>
        <v/>
      </c>
      <c r="C529" s="1">
        <f>IF(Data!C529&gt;0,Data!C529,"")</f>
        <v/>
      </c>
      <c r="D529" s="1">
        <f>IF(Data!D529&gt;0,Data!D529,"")</f>
        <v/>
      </c>
      <c r="E529" s="1">
        <f>IF(Data!E529&gt;0,Data!E529,"")</f>
        <v/>
      </c>
      <c r="F529" s="1">
        <f>IF(Data!F529&gt;0,Data!F529,"")</f>
        <v/>
      </c>
      <c r="G529" s="1">
        <f>IF(Data!G529&gt;0,Data!G529,"")</f>
        <v/>
      </c>
      <c r="H529" s="1">
        <f>IF(Data!H529&gt;0,Data!H529,"")</f>
        <v/>
      </c>
      <c r="I529" s="1">
        <f>IF(Data!I529&gt;0,Data!I529,"")</f>
        <v/>
      </c>
      <c r="J529" s="1">
        <f>IF(Data!J529&gt;0,Data!J529,"")</f>
        <v/>
      </c>
      <c r="K529" s="1">
        <f>IF(Data!K529&gt;0,Data!K529,"")</f>
        <v/>
      </c>
      <c r="L529" s="1">
        <f>IF(Data!L529&gt;0,Data!L529,"")</f>
        <v/>
      </c>
      <c r="M529" s="1">
        <f>IF(Data!M529&gt;0,Data!M529,"")</f>
        <v/>
      </c>
      <c r="N529" s="1">
        <f>IF(Data!N529&gt;0,Data!N529,"")</f>
        <v/>
      </c>
      <c r="O529" s="1">
        <f>IF(Data!O529&gt;0,Data!O529,"")</f>
        <v/>
      </c>
      <c r="P529" s="1">
        <f>IF(Data!P529&gt;0,Data!P529,"")</f>
        <v/>
      </c>
      <c r="Q529" s="1">
        <f>IF(Data!Q529&gt;0,Data!Q529,"")</f>
        <v/>
      </c>
      <c r="R529" s="1">
        <f>IF(Data!R529&gt;0,Data!R529,"")</f>
        <v/>
      </c>
      <c r="S529" s="1">
        <f>IF(Data!S529&gt;0,Data!S529,"")</f>
        <v/>
      </c>
      <c r="V529" s="3">
        <f>IF(COUNT(D529,J529,K529,L529,M529,O529)&gt;0,AVERAGE(D529,J529,K529,L529,M529,O529),"")</f>
        <v/>
      </c>
      <c r="W529" s="3">
        <f>IF(COUNT(C529,F529,G529,N529,Q529)&gt;0,AVERAGE(C529,F529,G529,N529,Q529),"")</f>
        <v/>
      </c>
      <c r="X529" s="3">
        <f>IF(COUNT(B529,E529,H529,I529,P529,R529,S529)&gt;0,AVERAGE(B529,E529,H529,I529,P529,R529,S529),"")</f>
        <v/>
      </c>
      <c r="Y529" s="3" t="n"/>
      <c r="AJ529">
        <f>IFERROR(AVERAGEIF($A$4:$A$1004,AI529,$V$4:$V$1004),"")</f>
        <v/>
      </c>
      <c r="AK529">
        <f>IFERROR(AVERAGEIF($A$4:$A$1004,AI529,$W$4:$W$1004),"")</f>
        <v/>
      </c>
      <c r="AL529">
        <f>IFERROR(AVERAGEIF($A$4:$A$1004,AI529,$X$4:$X$1004),"")</f>
        <v/>
      </c>
    </row>
    <row r="530">
      <c r="A530" s="1">
        <f>IF(Data!A530&gt;0,Data!A530,"")</f>
        <v/>
      </c>
      <c r="B530" s="1">
        <f>IF(Data!B530&gt;0,Data!B530,"")</f>
        <v/>
      </c>
      <c r="C530" s="1">
        <f>IF(Data!C530&gt;0,Data!C530,"")</f>
        <v/>
      </c>
      <c r="D530" s="1">
        <f>IF(Data!D530&gt;0,Data!D530,"")</f>
        <v/>
      </c>
      <c r="E530" s="1">
        <f>IF(Data!E530&gt;0,Data!E530,"")</f>
        <v/>
      </c>
      <c r="F530" s="1">
        <f>IF(Data!F530&gt;0,Data!F530,"")</f>
        <v/>
      </c>
      <c r="G530" s="1">
        <f>IF(Data!G530&gt;0,Data!G530,"")</f>
        <v/>
      </c>
      <c r="H530" s="1">
        <f>IF(Data!H530&gt;0,Data!H530,"")</f>
        <v/>
      </c>
      <c r="I530" s="1">
        <f>IF(Data!I530&gt;0,Data!I530,"")</f>
        <v/>
      </c>
      <c r="J530" s="1">
        <f>IF(Data!J530&gt;0,Data!J530,"")</f>
        <v/>
      </c>
      <c r="K530" s="1">
        <f>IF(Data!K530&gt;0,Data!K530,"")</f>
        <v/>
      </c>
      <c r="L530" s="1">
        <f>IF(Data!L530&gt;0,Data!L530,"")</f>
        <v/>
      </c>
      <c r="M530" s="1">
        <f>IF(Data!M530&gt;0,Data!M530,"")</f>
        <v/>
      </c>
      <c r="N530" s="1">
        <f>IF(Data!N530&gt;0,Data!N530,"")</f>
        <v/>
      </c>
      <c r="O530" s="1">
        <f>IF(Data!O530&gt;0,Data!O530,"")</f>
        <v/>
      </c>
      <c r="P530" s="1">
        <f>IF(Data!P530&gt;0,Data!P530,"")</f>
        <v/>
      </c>
      <c r="Q530" s="1">
        <f>IF(Data!Q530&gt;0,Data!Q530,"")</f>
        <v/>
      </c>
      <c r="R530" s="1">
        <f>IF(Data!R530&gt;0,Data!R530,"")</f>
        <v/>
      </c>
      <c r="S530" s="1">
        <f>IF(Data!S530&gt;0,Data!S530,"")</f>
        <v/>
      </c>
      <c r="V530" s="3">
        <f>IF(COUNT(D530,J530,K530,L530,M530,O530)&gt;0,AVERAGE(D530,J530,K530,L530,M530,O530),"")</f>
        <v/>
      </c>
      <c r="W530" s="3">
        <f>IF(COUNT(C530,F530,G530,N530,Q530)&gt;0,AVERAGE(C530,F530,G530,N530,Q530),"")</f>
        <v/>
      </c>
      <c r="X530" s="3">
        <f>IF(COUNT(B530,E530,H530,I530,P530,R530,S530)&gt;0,AVERAGE(B530,E530,H530,I530,P530,R530,S530),"")</f>
        <v/>
      </c>
      <c r="Y530" s="3" t="n"/>
      <c r="AJ530">
        <f>IFERROR(AVERAGEIF($A$4:$A$1004,AI530,$V$4:$V$1004),"")</f>
        <v/>
      </c>
      <c r="AK530">
        <f>IFERROR(AVERAGEIF($A$4:$A$1004,AI530,$W$4:$W$1004),"")</f>
        <v/>
      </c>
      <c r="AL530">
        <f>IFERROR(AVERAGEIF($A$4:$A$1004,AI530,$X$4:$X$1004),"")</f>
        <v/>
      </c>
    </row>
    <row r="531">
      <c r="A531" s="1">
        <f>IF(Data!A531&gt;0,Data!A531,"")</f>
        <v/>
      </c>
      <c r="B531" s="1">
        <f>IF(Data!B531&gt;0,Data!B531,"")</f>
        <v/>
      </c>
      <c r="C531" s="1">
        <f>IF(Data!C531&gt;0,Data!C531,"")</f>
        <v/>
      </c>
      <c r="D531" s="1">
        <f>IF(Data!D531&gt;0,Data!D531,"")</f>
        <v/>
      </c>
      <c r="E531" s="1">
        <f>IF(Data!E531&gt;0,Data!E531,"")</f>
        <v/>
      </c>
      <c r="F531" s="1">
        <f>IF(Data!F531&gt;0,Data!F531,"")</f>
        <v/>
      </c>
      <c r="G531" s="1">
        <f>IF(Data!G531&gt;0,Data!G531,"")</f>
        <v/>
      </c>
      <c r="H531" s="1">
        <f>IF(Data!H531&gt;0,Data!H531,"")</f>
        <v/>
      </c>
      <c r="I531" s="1">
        <f>IF(Data!I531&gt;0,Data!I531,"")</f>
        <v/>
      </c>
      <c r="J531" s="1">
        <f>IF(Data!J531&gt;0,Data!J531,"")</f>
        <v/>
      </c>
      <c r="K531" s="1">
        <f>IF(Data!K531&gt;0,Data!K531,"")</f>
        <v/>
      </c>
      <c r="L531" s="1">
        <f>IF(Data!L531&gt;0,Data!L531,"")</f>
        <v/>
      </c>
      <c r="M531" s="1">
        <f>IF(Data!M531&gt;0,Data!M531,"")</f>
        <v/>
      </c>
      <c r="N531" s="1">
        <f>IF(Data!N531&gt;0,Data!N531,"")</f>
        <v/>
      </c>
      <c r="O531" s="1">
        <f>IF(Data!O531&gt;0,Data!O531,"")</f>
        <v/>
      </c>
      <c r="P531" s="1">
        <f>IF(Data!P531&gt;0,Data!P531,"")</f>
        <v/>
      </c>
      <c r="Q531" s="1">
        <f>IF(Data!Q531&gt;0,Data!Q531,"")</f>
        <v/>
      </c>
      <c r="R531" s="1">
        <f>IF(Data!R531&gt;0,Data!R531,"")</f>
        <v/>
      </c>
      <c r="S531" s="1">
        <f>IF(Data!S531&gt;0,Data!S531,"")</f>
        <v/>
      </c>
      <c r="V531" s="3">
        <f>IF(COUNT(D531,J531,K531,L531,M531,O531)&gt;0,AVERAGE(D531,J531,K531,L531,M531,O531),"")</f>
        <v/>
      </c>
      <c r="W531" s="3">
        <f>IF(COUNT(C531,F531,G531,N531,Q531)&gt;0,AVERAGE(C531,F531,G531,N531,Q531),"")</f>
        <v/>
      </c>
      <c r="X531" s="3">
        <f>IF(COUNT(B531,E531,H531,I531,P531,R531,S531)&gt;0,AVERAGE(B531,E531,H531,I531,P531,R531,S531),"")</f>
        <v/>
      </c>
      <c r="Y531" s="3" t="n"/>
      <c r="AJ531">
        <f>IFERROR(AVERAGEIF($A$4:$A$1004,AI531,$V$4:$V$1004),"")</f>
        <v/>
      </c>
      <c r="AK531">
        <f>IFERROR(AVERAGEIF($A$4:$A$1004,AI531,$W$4:$W$1004),"")</f>
        <v/>
      </c>
      <c r="AL531">
        <f>IFERROR(AVERAGEIF($A$4:$A$1004,AI531,$X$4:$X$1004),"")</f>
        <v/>
      </c>
    </row>
    <row r="532">
      <c r="A532" s="1">
        <f>IF(Data!A532&gt;0,Data!A532,"")</f>
        <v/>
      </c>
      <c r="B532" s="1">
        <f>IF(Data!B532&gt;0,Data!B532,"")</f>
        <v/>
      </c>
      <c r="C532" s="1">
        <f>IF(Data!C532&gt;0,Data!C532,"")</f>
        <v/>
      </c>
      <c r="D532" s="1">
        <f>IF(Data!D532&gt;0,Data!D532,"")</f>
        <v/>
      </c>
      <c r="E532" s="1">
        <f>IF(Data!E532&gt;0,Data!E532,"")</f>
        <v/>
      </c>
      <c r="F532" s="1">
        <f>IF(Data!F532&gt;0,Data!F532,"")</f>
        <v/>
      </c>
      <c r="G532" s="1">
        <f>IF(Data!G532&gt;0,Data!G532,"")</f>
        <v/>
      </c>
      <c r="H532" s="1">
        <f>IF(Data!H532&gt;0,Data!H532,"")</f>
        <v/>
      </c>
      <c r="I532" s="1">
        <f>IF(Data!I532&gt;0,Data!I532,"")</f>
        <v/>
      </c>
      <c r="J532" s="1">
        <f>IF(Data!J532&gt;0,Data!J532,"")</f>
        <v/>
      </c>
      <c r="K532" s="1">
        <f>IF(Data!K532&gt;0,Data!K532,"")</f>
        <v/>
      </c>
      <c r="L532" s="1">
        <f>IF(Data!L532&gt;0,Data!L532,"")</f>
        <v/>
      </c>
      <c r="M532" s="1">
        <f>IF(Data!M532&gt;0,Data!M532,"")</f>
        <v/>
      </c>
      <c r="N532" s="1">
        <f>IF(Data!N532&gt;0,Data!N532,"")</f>
        <v/>
      </c>
      <c r="O532" s="1">
        <f>IF(Data!O532&gt;0,Data!O532,"")</f>
        <v/>
      </c>
      <c r="P532" s="1">
        <f>IF(Data!P532&gt;0,Data!P532,"")</f>
        <v/>
      </c>
      <c r="Q532" s="1">
        <f>IF(Data!Q532&gt;0,Data!Q532,"")</f>
        <v/>
      </c>
      <c r="R532" s="1">
        <f>IF(Data!R532&gt;0,Data!R532,"")</f>
        <v/>
      </c>
      <c r="S532" s="1">
        <f>IF(Data!S532&gt;0,Data!S532,"")</f>
        <v/>
      </c>
      <c r="V532" s="3">
        <f>IF(COUNT(D532,J532,K532,L532,M532,O532)&gt;0,AVERAGE(D532,J532,K532,L532,M532,O532),"")</f>
        <v/>
      </c>
      <c r="W532" s="3">
        <f>IF(COUNT(C532,F532,G532,N532,Q532)&gt;0,AVERAGE(C532,F532,G532,N532,Q532),"")</f>
        <v/>
      </c>
      <c r="X532" s="3">
        <f>IF(COUNT(B532,E532,H532,I532,P532,R532,S532)&gt;0,AVERAGE(B532,E532,H532,I532,P532,R532,S532),"")</f>
        <v/>
      </c>
      <c r="Y532" s="3" t="n"/>
      <c r="AJ532">
        <f>IFERROR(AVERAGEIF($A$4:$A$1004,AI532,$V$4:$V$1004),"")</f>
        <v/>
      </c>
      <c r="AK532">
        <f>IFERROR(AVERAGEIF($A$4:$A$1004,AI532,$W$4:$W$1004),"")</f>
        <v/>
      </c>
      <c r="AL532">
        <f>IFERROR(AVERAGEIF($A$4:$A$1004,AI532,$X$4:$X$1004),"")</f>
        <v/>
      </c>
    </row>
    <row r="533">
      <c r="A533" s="1">
        <f>IF(Data!A533&gt;0,Data!A533,"")</f>
        <v/>
      </c>
      <c r="B533" s="1">
        <f>IF(Data!B533&gt;0,Data!B533,"")</f>
        <v/>
      </c>
      <c r="C533" s="1">
        <f>IF(Data!C533&gt;0,Data!C533,"")</f>
        <v/>
      </c>
      <c r="D533" s="1">
        <f>IF(Data!D533&gt;0,Data!D533,"")</f>
        <v/>
      </c>
      <c r="E533" s="1">
        <f>IF(Data!E533&gt;0,Data!E533,"")</f>
        <v/>
      </c>
      <c r="F533" s="1">
        <f>IF(Data!F533&gt;0,Data!F533,"")</f>
        <v/>
      </c>
      <c r="G533" s="1">
        <f>IF(Data!G533&gt;0,Data!G533,"")</f>
        <v/>
      </c>
      <c r="H533" s="1">
        <f>IF(Data!H533&gt;0,Data!H533,"")</f>
        <v/>
      </c>
      <c r="I533" s="1">
        <f>IF(Data!I533&gt;0,Data!I533,"")</f>
        <v/>
      </c>
      <c r="J533" s="1">
        <f>IF(Data!J533&gt;0,Data!J533,"")</f>
        <v/>
      </c>
      <c r="K533" s="1">
        <f>IF(Data!K533&gt;0,Data!K533,"")</f>
        <v/>
      </c>
      <c r="L533" s="1">
        <f>IF(Data!L533&gt;0,Data!L533,"")</f>
        <v/>
      </c>
      <c r="M533" s="1">
        <f>IF(Data!M533&gt;0,Data!M533,"")</f>
        <v/>
      </c>
      <c r="N533" s="1">
        <f>IF(Data!N533&gt;0,Data!N533,"")</f>
        <v/>
      </c>
      <c r="O533" s="1">
        <f>IF(Data!O533&gt;0,Data!O533,"")</f>
        <v/>
      </c>
      <c r="P533" s="1">
        <f>IF(Data!P533&gt;0,Data!P533,"")</f>
        <v/>
      </c>
      <c r="Q533" s="1">
        <f>IF(Data!Q533&gt;0,Data!Q533,"")</f>
        <v/>
      </c>
      <c r="R533" s="1">
        <f>IF(Data!R533&gt;0,Data!R533,"")</f>
        <v/>
      </c>
      <c r="S533" s="1">
        <f>IF(Data!S533&gt;0,Data!S533,"")</f>
        <v/>
      </c>
      <c r="V533" s="3">
        <f>IF(COUNT(D533,J533,K533,L533,M533,O533)&gt;0,AVERAGE(D533,J533,K533,L533,M533,O533),"")</f>
        <v/>
      </c>
      <c r="W533" s="3">
        <f>IF(COUNT(C533,F533,G533,N533,Q533)&gt;0,AVERAGE(C533,F533,G533,N533,Q533),"")</f>
        <v/>
      </c>
      <c r="X533" s="3">
        <f>IF(COUNT(B533,E533,H533,I533,P533,R533,S533)&gt;0,AVERAGE(B533,E533,H533,I533,P533,R533,S533),"")</f>
        <v/>
      </c>
      <c r="Y533" s="3" t="n"/>
      <c r="AJ533">
        <f>IFERROR(AVERAGEIF($A$4:$A$1004,AI533,$V$4:$V$1004),"")</f>
        <v/>
      </c>
      <c r="AK533">
        <f>IFERROR(AVERAGEIF($A$4:$A$1004,AI533,$W$4:$W$1004),"")</f>
        <v/>
      </c>
      <c r="AL533">
        <f>IFERROR(AVERAGEIF($A$4:$A$1004,AI533,$X$4:$X$1004),"")</f>
        <v/>
      </c>
    </row>
    <row r="534">
      <c r="A534" s="1">
        <f>IF(Data!A534&gt;0,Data!A534,"")</f>
        <v/>
      </c>
      <c r="B534" s="1">
        <f>IF(Data!B534&gt;0,Data!B534,"")</f>
        <v/>
      </c>
      <c r="C534" s="1">
        <f>IF(Data!C534&gt;0,Data!C534,"")</f>
        <v/>
      </c>
      <c r="D534" s="1">
        <f>IF(Data!D534&gt;0,Data!D534,"")</f>
        <v/>
      </c>
      <c r="E534" s="1">
        <f>IF(Data!E534&gt;0,Data!E534,"")</f>
        <v/>
      </c>
      <c r="F534" s="1">
        <f>IF(Data!F534&gt;0,Data!F534,"")</f>
        <v/>
      </c>
      <c r="G534" s="1">
        <f>IF(Data!G534&gt;0,Data!G534,"")</f>
        <v/>
      </c>
      <c r="H534" s="1">
        <f>IF(Data!H534&gt;0,Data!H534,"")</f>
        <v/>
      </c>
      <c r="I534" s="1">
        <f>IF(Data!I534&gt;0,Data!I534,"")</f>
        <v/>
      </c>
      <c r="J534" s="1">
        <f>IF(Data!J534&gt;0,Data!J534,"")</f>
        <v/>
      </c>
      <c r="K534" s="1">
        <f>IF(Data!K534&gt;0,Data!K534,"")</f>
        <v/>
      </c>
      <c r="L534" s="1">
        <f>IF(Data!L534&gt;0,Data!L534,"")</f>
        <v/>
      </c>
      <c r="M534" s="1">
        <f>IF(Data!M534&gt;0,Data!M534,"")</f>
        <v/>
      </c>
      <c r="N534" s="1">
        <f>IF(Data!N534&gt;0,Data!N534,"")</f>
        <v/>
      </c>
      <c r="O534" s="1">
        <f>IF(Data!O534&gt;0,Data!O534,"")</f>
        <v/>
      </c>
      <c r="P534" s="1">
        <f>IF(Data!P534&gt;0,Data!P534,"")</f>
        <v/>
      </c>
      <c r="Q534" s="1">
        <f>IF(Data!Q534&gt;0,Data!Q534,"")</f>
        <v/>
      </c>
      <c r="R534" s="1">
        <f>IF(Data!R534&gt;0,Data!R534,"")</f>
        <v/>
      </c>
      <c r="S534" s="1">
        <f>IF(Data!S534&gt;0,Data!S534,"")</f>
        <v/>
      </c>
      <c r="V534" s="3">
        <f>IF(COUNT(D534,J534,K534,L534,M534,O534)&gt;0,AVERAGE(D534,J534,K534,L534,M534,O534),"")</f>
        <v/>
      </c>
      <c r="W534" s="3">
        <f>IF(COUNT(C534,F534,G534,N534,Q534)&gt;0,AVERAGE(C534,F534,G534,N534,Q534),"")</f>
        <v/>
      </c>
      <c r="X534" s="3">
        <f>IF(COUNT(B534,E534,H534,I534,P534,R534,S534)&gt;0,AVERAGE(B534,E534,H534,I534,P534,R534,S534),"")</f>
        <v/>
      </c>
      <c r="Y534" s="3" t="n"/>
      <c r="AJ534">
        <f>IFERROR(AVERAGEIF($A$4:$A$1004,AI534,$V$4:$V$1004),"")</f>
        <v/>
      </c>
      <c r="AK534">
        <f>IFERROR(AVERAGEIF($A$4:$A$1004,AI534,$W$4:$W$1004),"")</f>
        <v/>
      </c>
      <c r="AL534">
        <f>IFERROR(AVERAGEIF($A$4:$A$1004,AI534,$X$4:$X$1004),"")</f>
        <v/>
      </c>
    </row>
    <row r="535">
      <c r="A535" s="1">
        <f>IF(Data!A535&gt;0,Data!A535,"")</f>
        <v/>
      </c>
      <c r="B535" s="1">
        <f>IF(Data!B535&gt;0,Data!B535,"")</f>
        <v/>
      </c>
      <c r="C535" s="1">
        <f>IF(Data!C535&gt;0,Data!C535,"")</f>
        <v/>
      </c>
      <c r="D535" s="1">
        <f>IF(Data!D535&gt;0,Data!D535,"")</f>
        <v/>
      </c>
      <c r="E535" s="1">
        <f>IF(Data!E535&gt;0,Data!E535,"")</f>
        <v/>
      </c>
      <c r="F535" s="1">
        <f>IF(Data!F535&gt;0,Data!F535,"")</f>
        <v/>
      </c>
      <c r="G535" s="1">
        <f>IF(Data!G535&gt;0,Data!G535,"")</f>
        <v/>
      </c>
      <c r="H535" s="1">
        <f>IF(Data!H535&gt;0,Data!H535,"")</f>
        <v/>
      </c>
      <c r="I535" s="1">
        <f>IF(Data!I535&gt;0,Data!I535,"")</f>
        <v/>
      </c>
      <c r="J535" s="1">
        <f>IF(Data!J535&gt;0,Data!J535,"")</f>
        <v/>
      </c>
      <c r="K535" s="1">
        <f>IF(Data!K535&gt;0,Data!K535,"")</f>
        <v/>
      </c>
      <c r="L535" s="1">
        <f>IF(Data!L535&gt;0,Data!L535,"")</f>
        <v/>
      </c>
      <c r="M535" s="1">
        <f>IF(Data!M535&gt;0,Data!M535,"")</f>
        <v/>
      </c>
      <c r="N535" s="1">
        <f>IF(Data!N535&gt;0,Data!N535,"")</f>
        <v/>
      </c>
      <c r="O535" s="1">
        <f>IF(Data!O535&gt;0,Data!O535,"")</f>
        <v/>
      </c>
      <c r="P535" s="1">
        <f>IF(Data!P535&gt;0,Data!P535,"")</f>
        <v/>
      </c>
      <c r="Q535" s="1">
        <f>IF(Data!Q535&gt;0,Data!Q535,"")</f>
        <v/>
      </c>
      <c r="R535" s="1">
        <f>IF(Data!R535&gt;0,Data!R535,"")</f>
        <v/>
      </c>
      <c r="S535" s="1">
        <f>IF(Data!S535&gt;0,Data!S535,"")</f>
        <v/>
      </c>
      <c r="V535" s="3">
        <f>IF(COUNT(D535,J535,K535,L535,M535,O535)&gt;0,AVERAGE(D535,J535,K535,L535,M535,O535),"")</f>
        <v/>
      </c>
      <c r="W535" s="3">
        <f>IF(COUNT(C535,F535,G535,N535,Q535)&gt;0,AVERAGE(C535,F535,G535,N535,Q535),"")</f>
        <v/>
      </c>
      <c r="X535" s="3">
        <f>IF(COUNT(B535,E535,H535,I535,P535,R535,S535)&gt;0,AVERAGE(B535,E535,H535,I535,P535,R535,S535),"")</f>
        <v/>
      </c>
      <c r="Y535" s="3" t="n"/>
      <c r="AJ535">
        <f>IFERROR(AVERAGEIF($A$4:$A$1004,AI535,$V$4:$V$1004),"")</f>
        <v/>
      </c>
      <c r="AK535">
        <f>IFERROR(AVERAGEIF($A$4:$A$1004,AI535,$W$4:$W$1004),"")</f>
        <v/>
      </c>
      <c r="AL535">
        <f>IFERROR(AVERAGEIF($A$4:$A$1004,AI535,$X$4:$X$1004),"")</f>
        <v/>
      </c>
    </row>
    <row r="536">
      <c r="A536" s="1">
        <f>IF(Data!A536&gt;0,Data!A536,"")</f>
        <v/>
      </c>
      <c r="B536" s="1">
        <f>IF(Data!B536&gt;0,Data!B536,"")</f>
        <v/>
      </c>
      <c r="C536" s="1">
        <f>IF(Data!C536&gt;0,Data!C536,"")</f>
        <v/>
      </c>
      <c r="D536" s="1">
        <f>IF(Data!D536&gt;0,Data!D536,"")</f>
        <v/>
      </c>
      <c r="E536" s="1">
        <f>IF(Data!E536&gt;0,Data!E536,"")</f>
        <v/>
      </c>
      <c r="F536" s="1">
        <f>IF(Data!F536&gt;0,Data!F536,"")</f>
        <v/>
      </c>
      <c r="G536" s="1">
        <f>IF(Data!G536&gt;0,Data!G536,"")</f>
        <v/>
      </c>
      <c r="H536" s="1">
        <f>IF(Data!H536&gt;0,Data!H536,"")</f>
        <v/>
      </c>
      <c r="I536" s="1">
        <f>IF(Data!I536&gt;0,Data!I536,"")</f>
        <v/>
      </c>
      <c r="J536" s="1">
        <f>IF(Data!J536&gt;0,Data!J536,"")</f>
        <v/>
      </c>
      <c r="K536" s="1">
        <f>IF(Data!K536&gt;0,Data!K536,"")</f>
        <v/>
      </c>
      <c r="L536" s="1">
        <f>IF(Data!L536&gt;0,Data!L536,"")</f>
        <v/>
      </c>
      <c r="M536" s="1">
        <f>IF(Data!M536&gt;0,Data!M536,"")</f>
        <v/>
      </c>
      <c r="N536" s="1">
        <f>IF(Data!N536&gt;0,Data!N536,"")</f>
        <v/>
      </c>
      <c r="O536" s="1">
        <f>IF(Data!O536&gt;0,Data!O536,"")</f>
        <v/>
      </c>
      <c r="P536" s="1">
        <f>IF(Data!P536&gt;0,Data!P536,"")</f>
        <v/>
      </c>
      <c r="Q536" s="1">
        <f>IF(Data!Q536&gt;0,Data!Q536,"")</f>
        <v/>
      </c>
      <c r="R536" s="1">
        <f>IF(Data!R536&gt;0,Data!R536,"")</f>
        <v/>
      </c>
      <c r="S536" s="1">
        <f>IF(Data!S536&gt;0,Data!S536,"")</f>
        <v/>
      </c>
      <c r="V536" s="3">
        <f>IF(COUNT(D536,J536,K536,L536,M536,O536)&gt;0,AVERAGE(D536,J536,K536,L536,M536,O536),"")</f>
        <v/>
      </c>
      <c r="W536" s="3">
        <f>IF(COUNT(C536,F536,G536,N536,Q536)&gt;0,AVERAGE(C536,F536,G536,N536,Q536),"")</f>
        <v/>
      </c>
      <c r="X536" s="3">
        <f>IF(COUNT(B536,E536,H536,I536,P536,R536,S536)&gt;0,AVERAGE(B536,E536,H536,I536,P536,R536,S536),"")</f>
        <v/>
      </c>
      <c r="Y536" s="3" t="n"/>
      <c r="AJ536">
        <f>IFERROR(AVERAGEIF($A$4:$A$1004,AI536,$V$4:$V$1004),"")</f>
        <v/>
      </c>
      <c r="AK536">
        <f>IFERROR(AVERAGEIF($A$4:$A$1004,AI536,$W$4:$W$1004),"")</f>
        <v/>
      </c>
      <c r="AL536">
        <f>IFERROR(AVERAGEIF($A$4:$A$1004,AI536,$X$4:$X$1004),"")</f>
        <v/>
      </c>
    </row>
    <row r="537">
      <c r="A537" s="1">
        <f>IF(Data!A537&gt;0,Data!A537,"")</f>
        <v/>
      </c>
      <c r="B537" s="1">
        <f>IF(Data!B537&gt;0,Data!B537,"")</f>
        <v/>
      </c>
      <c r="C537" s="1">
        <f>IF(Data!C537&gt;0,Data!C537,"")</f>
        <v/>
      </c>
      <c r="D537" s="1">
        <f>IF(Data!D537&gt;0,Data!D537,"")</f>
        <v/>
      </c>
      <c r="E537" s="1">
        <f>IF(Data!E537&gt;0,Data!E537,"")</f>
        <v/>
      </c>
      <c r="F537" s="1">
        <f>IF(Data!F537&gt;0,Data!F537,"")</f>
        <v/>
      </c>
      <c r="G537" s="1">
        <f>IF(Data!G537&gt;0,Data!G537,"")</f>
        <v/>
      </c>
      <c r="H537" s="1">
        <f>IF(Data!H537&gt;0,Data!H537,"")</f>
        <v/>
      </c>
      <c r="I537" s="1">
        <f>IF(Data!I537&gt;0,Data!I537,"")</f>
        <v/>
      </c>
      <c r="J537" s="1">
        <f>IF(Data!J537&gt;0,Data!J537,"")</f>
        <v/>
      </c>
      <c r="K537" s="1">
        <f>IF(Data!K537&gt;0,Data!K537,"")</f>
        <v/>
      </c>
      <c r="L537" s="1">
        <f>IF(Data!L537&gt;0,Data!L537,"")</f>
        <v/>
      </c>
      <c r="M537" s="1">
        <f>IF(Data!M537&gt;0,Data!M537,"")</f>
        <v/>
      </c>
      <c r="N537" s="1">
        <f>IF(Data!N537&gt;0,Data!N537,"")</f>
        <v/>
      </c>
      <c r="O537" s="1">
        <f>IF(Data!O537&gt;0,Data!O537,"")</f>
        <v/>
      </c>
      <c r="P537" s="1">
        <f>IF(Data!P537&gt;0,Data!P537,"")</f>
        <v/>
      </c>
      <c r="Q537" s="1">
        <f>IF(Data!Q537&gt;0,Data!Q537,"")</f>
        <v/>
      </c>
      <c r="R537" s="1">
        <f>IF(Data!R537&gt;0,Data!R537,"")</f>
        <v/>
      </c>
      <c r="S537" s="1">
        <f>IF(Data!S537&gt;0,Data!S537,"")</f>
        <v/>
      </c>
      <c r="V537" s="3">
        <f>IF(COUNT(D537,J537,K537,L537,M537,O537)&gt;0,AVERAGE(D537,J537,K537,L537,M537,O537),"")</f>
        <v/>
      </c>
      <c r="W537" s="3">
        <f>IF(COUNT(C537,F537,G537,N537,Q537)&gt;0,AVERAGE(C537,F537,G537,N537,Q537),"")</f>
        <v/>
      </c>
      <c r="X537" s="3">
        <f>IF(COUNT(B537,E537,H537,I537,P537,R537,S537)&gt;0,AVERAGE(B537,E537,H537,I537,P537,R537,S537),"")</f>
        <v/>
      </c>
      <c r="Y537" s="3" t="n"/>
      <c r="AJ537">
        <f>IFERROR(AVERAGEIF($A$4:$A$1004,AI537,$V$4:$V$1004),"")</f>
        <v/>
      </c>
      <c r="AK537">
        <f>IFERROR(AVERAGEIF($A$4:$A$1004,AI537,$W$4:$W$1004),"")</f>
        <v/>
      </c>
      <c r="AL537">
        <f>IFERROR(AVERAGEIF($A$4:$A$1004,AI537,$X$4:$X$1004),"")</f>
        <v/>
      </c>
    </row>
    <row r="538">
      <c r="A538" s="1">
        <f>IF(Data!A538&gt;0,Data!A538,"")</f>
        <v/>
      </c>
      <c r="B538" s="1">
        <f>IF(Data!B538&gt;0,Data!B538,"")</f>
        <v/>
      </c>
      <c r="C538" s="1">
        <f>IF(Data!C538&gt;0,Data!C538,"")</f>
        <v/>
      </c>
      <c r="D538" s="1">
        <f>IF(Data!D538&gt;0,Data!D538,"")</f>
        <v/>
      </c>
      <c r="E538" s="1">
        <f>IF(Data!E538&gt;0,Data!E538,"")</f>
        <v/>
      </c>
      <c r="F538" s="1">
        <f>IF(Data!F538&gt;0,Data!F538,"")</f>
        <v/>
      </c>
      <c r="G538" s="1">
        <f>IF(Data!G538&gt;0,Data!G538,"")</f>
        <v/>
      </c>
      <c r="H538" s="1">
        <f>IF(Data!H538&gt;0,Data!H538,"")</f>
        <v/>
      </c>
      <c r="I538" s="1">
        <f>IF(Data!I538&gt;0,Data!I538,"")</f>
        <v/>
      </c>
      <c r="J538" s="1">
        <f>IF(Data!J538&gt;0,Data!J538,"")</f>
        <v/>
      </c>
      <c r="K538" s="1">
        <f>IF(Data!K538&gt;0,Data!K538,"")</f>
        <v/>
      </c>
      <c r="L538" s="1">
        <f>IF(Data!L538&gt;0,Data!L538,"")</f>
        <v/>
      </c>
      <c r="M538" s="1">
        <f>IF(Data!M538&gt;0,Data!M538,"")</f>
        <v/>
      </c>
      <c r="N538" s="1">
        <f>IF(Data!N538&gt;0,Data!N538,"")</f>
        <v/>
      </c>
      <c r="O538" s="1">
        <f>IF(Data!O538&gt;0,Data!O538,"")</f>
        <v/>
      </c>
      <c r="P538" s="1">
        <f>IF(Data!P538&gt;0,Data!P538,"")</f>
        <v/>
      </c>
      <c r="Q538" s="1">
        <f>IF(Data!Q538&gt;0,Data!Q538,"")</f>
        <v/>
      </c>
      <c r="R538" s="1">
        <f>IF(Data!R538&gt;0,Data!R538,"")</f>
        <v/>
      </c>
      <c r="S538" s="1">
        <f>IF(Data!S538&gt;0,Data!S538,"")</f>
        <v/>
      </c>
      <c r="V538" s="3">
        <f>IF(COUNT(D538,J538,K538,L538,M538,O538)&gt;0,AVERAGE(D538,J538,K538,L538,M538,O538),"")</f>
        <v/>
      </c>
      <c r="W538" s="3">
        <f>IF(COUNT(C538,F538,G538,N538,Q538)&gt;0,AVERAGE(C538,F538,G538,N538,Q538),"")</f>
        <v/>
      </c>
      <c r="X538" s="3">
        <f>IF(COUNT(B538,E538,H538,I538,P538,R538,S538)&gt;0,AVERAGE(B538,E538,H538,I538,P538,R538,S538),"")</f>
        <v/>
      </c>
      <c r="Y538" s="3" t="n"/>
      <c r="AJ538">
        <f>IFERROR(AVERAGEIF($A$4:$A$1004,AI538,$V$4:$V$1004),"")</f>
        <v/>
      </c>
      <c r="AK538">
        <f>IFERROR(AVERAGEIF($A$4:$A$1004,AI538,$W$4:$W$1004),"")</f>
        <v/>
      </c>
      <c r="AL538">
        <f>IFERROR(AVERAGEIF($A$4:$A$1004,AI538,$X$4:$X$1004),"")</f>
        <v/>
      </c>
    </row>
    <row r="539">
      <c r="A539" s="1">
        <f>IF(Data!A539&gt;0,Data!A539,"")</f>
        <v/>
      </c>
      <c r="B539" s="1">
        <f>IF(Data!B539&gt;0,Data!B539,"")</f>
        <v/>
      </c>
      <c r="C539" s="1">
        <f>IF(Data!C539&gt;0,Data!C539,"")</f>
        <v/>
      </c>
      <c r="D539" s="1">
        <f>IF(Data!D539&gt;0,Data!D539,"")</f>
        <v/>
      </c>
      <c r="E539" s="1">
        <f>IF(Data!E539&gt;0,Data!E539,"")</f>
        <v/>
      </c>
      <c r="F539" s="1">
        <f>IF(Data!F539&gt;0,Data!F539,"")</f>
        <v/>
      </c>
      <c r="G539" s="1">
        <f>IF(Data!G539&gt;0,Data!G539,"")</f>
        <v/>
      </c>
      <c r="H539" s="1">
        <f>IF(Data!H539&gt;0,Data!H539,"")</f>
        <v/>
      </c>
      <c r="I539" s="1">
        <f>IF(Data!I539&gt;0,Data!I539,"")</f>
        <v/>
      </c>
      <c r="J539" s="1">
        <f>IF(Data!J539&gt;0,Data!J539,"")</f>
        <v/>
      </c>
      <c r="K539" s="1">
        <f>IF(Data!K539&gt;0,Data!K539,"")</f>
        <v/>
      </c>
      <c r="L539" s="1">
        <f>IF(Data!L539&gt;0,Data!L539,"")</f>
        <v/>
      </c>
      <c r="M539" s="1">
        <f>IF(Data!M539&gt;0,Data!M539,"")</f>
        <v/>
      </c>
      <c r="N539" s="1">
        <f>IF(Data!N539&gt;0,Data!N539,"")</f>
        <v/>
      </c>
      <c r="O539" s="1">
        <f>IF(Data!O539&gt;0,Data!O539,"")</f>
        <v/>
      </c>
      <c r="P539" s="1">
        <f>IF(Data!P539&gt;0,Data!P539,"")</f>
        <v/>
      </c>
      <c r="Q539" s="1">
        <f>IF(Data!Q539&gt;0,Data!Q539,"")</f>
        <v/>
      </c>
      <c r="R539" s="1">
        <f>IF(Data!R539&gt;0,Data!R539,"")</f>
        <v/>
      </c>
      <c r="S539" s="1">
        <f>IF(Data!S539&gt;0,Data!S539,"")</f>
        <v/>
      </c>
      <c r="V539" s="3">
        <f>IF(COUNT(D539,J539,K539,L539,M539,O539)&gt;0,AVERAGE(D539,J539,K539,L539,M539,O539),"")</f>
        <v/>
      </c>
      <c r="W539" s="3">
        <f>IF(COUNT(C539,F539,G539,N539,Q539)&gt;0,AVERAGE(C539,F539,G539,N539,Q539),"")</f>
        <v/>
      </c>
      <c r="X539" s="3">
        <f>IF(COUNT(B539,E539,H539,I539,P539,R539,S539)&gt;0,AVERAGE(B539,E539,H539,I539,P539,R539,S539),"")</f>
        <v/>
      </c>
      <c r="Y539" s="3" t="n"/>
      <c r="AJ539">
        <f>IFERROR(AVERAGEIF($A$4:$A$1004,AI539,$V$4:$V$1004),"")</f>
        <v/>
      </c>
      <c r="AK539">
        <f>IFERROR(AVERAGEIF($A$4:$A$1004,AI539,$W$4:$W$1004),"")</f>
        <v/>
      </c>
      <c r="AL539">
        <f>IFERROR(AVERAGEIF($A$4:$A$1004,AI539,$X$4:$X$1004),"")</f>
        <v/>
      </c>
    </row>
    <row r="540">
      <c r="A540" s="1">
        <f>IF(Data!A540&gt;0,Data!A540,"")</f>
        <v/>
      </c>
      <c r="B540" s="1">
        <f>IF(Data!B540&gt;0,Data!B540,"")</f>
        <v/>
      </c>
      <c r="C540" s="1">
        <f>IF(Data!C540&gt;0,Data!C540,"")</f>
        <v/>
      </c>
      <c r="D540" s="1">
        <f>IF(Data!D540&gt;0,Data!D540,"")</f>
        <v/>
      </c>
      <c r="E540" s="1">
        <f>IF(Data!E540&gt;0,Data!E540,"")</f>
        <v/>
      </c>
      <c r="F540" s="1">
        <f>IF(Data!F540&gt;0,Data!F540,"")</f>
        <v/>
      </c>
      <c r="G540" s="1">
        <f>IF(Data!G540&gt;0,Data!G540,"")</f>
        <v/>
      </c>
      <c r="H540" s="1">
        <f>IF(Data!H540&gt;0,Data!H540,"")</f>
        <v/>
      </c>
      <c r="I540" s="1">
        <f>IF(Data!I540&gt;0,Data!I540,"")</f>
        <v/>
      </c>
      <c r="J540" s="1">
        <f>IF(Data!J540&gt;0,Data!J540,"")</f>
        <v/>
      </c>
      <c r="K540" s="1">
        <f>IF(Data!K540&gt;0,Data!K540,"")</f>
        <v/>
      </c>
      <c r="L540" s="1">
        <f>IF(Data!L540&gt;0,Data!L540,"")</f>
        <v/>
      </c>
      <c r="M540" s="1">
        <f>IF(Data!M540&gt;0,Data!M540,"")</f>
        <v/>
      </c>
      <c r="N540" s="1">
        <f>IF(Data!N540&gt;0,Data!N540,"")</f>
        <v/>
      </c>
      <c r="O540" s="1">
        <f>IF(Data!O540&gt;0,Data!O540,"")</f>
        <v/>
      </c>
      <c r="P540" s="1">
        <f>IF(Data!P540&gt;0,Data!P540,"")</f>
        <v/>
      </c>
      <c r="Q540" s="1">
        <f>IF(Data!Q540&gt;0,Data!Q540,"")</f>
        <v/>
      </c>
      <c r="R540" s="1">
        <f>IF(Data!R540&gt;0,Data!R540,"")</f>
        <v/>
      </c>
      <c r="S540" s="1">
        <f>IF(Data!S540&gt;0,Data!S540,"")</f>
        <v/>
      </c>
      <c r="V540" s="3">
        <f>IF(COUNT(D540,J540,K540,L540,M540,O540)&gt;0,AVERAGE(D540,J540,K540,L540,M540,O540),"")</f>
        <v/>
      </c>
      <c r="W540" s="3">
        <f>IF(COUNT(C540,F540,G540,N540,Q540)&gt;0,AVERAGE(C540,F540,G540,N540,Q540),"")</f>
        <v/>
      </c>
      <c r="X540" s="3">
        <f>IF(COUNT(B540,E540,H540,I540,P540,R540,S540)&gt;0,AVERAGE(B540,E540,H540,I540,P540,R540,S540),"")</f>
        <v/>
      </c>
      <c r="Y540" s="3" t="n"/>
      <c r="AJ540">
        <f>IFERROR(AVERAGEIF($A$4:$A$1004,AI540,$V$4:$V$1004),"")</f>
        <v/>
      </c>
      <c r="AK540">
        <f>IFERROR(AVERAGEIF($A$4:$A$1004,AI540,$W$4:$W$1004),"")</f>
        <v/>
      </c>
      <c r="AL540">
        <f>IFERROR(AVERAGEIF($A$4:$A$1004,AI540,$X$4:$X$1004),"")</f>
        <v/>
      </c>
    </row>
    <row r="541">
      <c r="A541" s="1">
        <f>IF(Data!A541&gt;0,Data!A541,"")</f>
        <v/>
      </c>
      <c r="B541" s="1">
        <f>IF(Data!B541&gt;0,Data!B541,"")</f>
        <v/>
      </c>
      <c r="C541" s="1">
        <f>IF(Data!C541&gt;0,Data!C541,"")</f>
        <v/>
      </c>
      <c r="D541" s="1">
        <f>IF(Data!D541&gt;0,Data!D541,"")</f>
        <v/>
      </c>
      <c r="E541" s="1">
        <f>IF(Data!E541&gt;0,Data!E541,"")</f>
        <v/>
      </c>
      <c r="F541" s="1">
        <f>IF(Data!F541&gt;0,Data!F541,"")</f>
        <v/>
      </c>
      <c r="G541" s="1">
        <f>IF(Data!G541&gt;0,Data!G541,"")</f>
        <v/>
      </c>
      <c r="H541" s="1">
        <f>IF(Data!H541&gt;0,Data!H541,"")</f>
        <v/>
      </c>
      <c r="I541" s="1">
        <f>IF(Data!I541&gt;0,Data!I541,"")</f>
        <v/>
      </c>
      <c r="J541" s="1">
        <f>IF(Data!J541&gt;0,Data!J541,"")</f>
        <v/>
      </c>
      <c r="K541" s="1">
        <f>IF(Data!K541&gt;0,Data!K541,"")</f>
        <v/>
      </c>
      <c r="L541" s="1">
        <f>IF(Data!L541&gt;0,Data!L541,"")</f>
        <v/>
      </c>
      <c r="M541" s="1">
        <f>IF(Data!M541&gt;0,Data!M541,"")</f>
        <v/>
      </c>
      <c r="N541" s="1">
        <f>IF(Data!N541&gt;0,Data!N541,"")</f>
        <v/>
      </c>
      <c r="O541" s="1">
        <f>IF(Data!O541&gt;0,Data!O541,"")</f>
        <v/>
      </c>
      <c r="P541" s="1">
        <f>IF(Data!P541&gt;0,Data!P541,"")</f>
        <v/>
      </c>
      <c r="Q541" s="1">
        <f>IF(Data!Q541&gt;0,Data!Q541,"")</f>
        <v/>
      </c>
      <c r="R541" s="1">
        <f>IF(Data!R541&gt;0,Data!R541,"")</f>
        <v/>
      </c>
      <c r="S541" s="1">
        <f>IF(Data!S541&gt;0,Data!S541,"")</f>
        <v/>
      </c>
      <c r="V541" s="3">
        <f>IF(COUNT(D541,J541,K541,L541,M541,O541)&gt;0,AVERAGE(D541,J541,K541,L541,M541,O541),"")</f>
        <v/>
      </c>
      <c r="W541" s="3">
        <f>IF(COUNT(C541,F541,G541,N541,Q541)&gt;0,AVERAGE(C541,F541,G541,N541,Q541),"")</f>
        <v/>
      </c>
      <c r="X541" s="3">
        <f>IF(COUNT(B541,E541,H541,I541,P541,R541,S541)&gt;0,AVERAGE(B541,E541,H541,I541,P541,R541,S541),"")</f>
        <v/>
      </c>
      <c r="Y541" s="3" t="n"/>
      <c r="AJ541">
        <f>IFERROR(AVERAGEIF($A$4:$A$1004,AI541,$V$4:$V$1004),"")</f>
        <v/>
      </c>
      <c r="AK541">
        <f>IFERROR(AVERAGEIF($A$4:$A$1004,AI541,$W$4:$W$1004),"")</f>
        <v/>
      </c>
      <c r="AL541">
        <f>IFERROR(AVERAGEIF($A$4:$A$1004,AI541,$X$4:$X$1004),"")</f>
        <v/>
      </c>
    </row>
    <row r="542">
      <c r="A542" s="1">
        <f>IF(Data!A542&gt;0,Data!A542,"")</f>
        <v/>
      </c>
      <c r="B542" s="1">
        <f>IF(Data!B542&gt;0,Data!B542,"")</f>
        <v/>
      </c>
      <c r="C542" s="1">
        <f>IF(Data!C542&gt;0,Data!C542,"")</f>
        <v/>
      </c>
      <c r="D542" s="1">
        <f>IF(Data!D542&gt;0,Data!D542,"")</f>
        <v/>
      </c>
      <c r="E542" s="1">
        <f>IF(Data!E542&gt;0,Data!E542,"")</f>
        <v/>
      </c>
      <c r="F542" s="1">
        <f>IF(Data!F542&gt;0,Data!F542,"")</f>
        <v/>
      </c>
      <c r="G542" s="1">
        <f>IF(Data!G542&gt;0,Data!G542,"")</f>
        <v/>
      </c>
      <c r="H542" s="1">
        <f>IF(Data!H542&gt;0,Data!H542,"")</f>
        <v/>
      </c>
      <c r="I542" s="1">
        <f>IF(Data!I542&gt;0,Data!I542,"")</f>
        <v/>
      </c>
      <c r="J542" s="1">
        <f>IF(Data!J542&gt;0,Data!J542,"")</f>
        <v/>
      </c>
      <c r="K542" s="1">
        <f>IF(Data!K542&gt;0,Data!K542,"")</f>
        <v/>
      </c>
      <c r="L542" s="1">
        <f>IF(Data!L542&gt;0,Data!L542,"")</f>
        <v/>
      </c>
      <c r="M542" s="1">
        <f>IF(Data!M542&gt;0,Data!M542,"")</f>
        <v/>
      </c>
      <c r="N542" s="1">
        <f>IF(Data!N542&gt;0,Data!N542,"")</f>
        <v/>
      </c>
      <c r="O542" s="1">
        <f>IF(Data!O542&gt;0,Data!O542,"")</f>
        <v/>
      </c>
      <c r="P542" s="1">
        <f>IF(Data!P542&gt;0,Data!P542,"")</f>
        <v/>
      </c>
      <c r="Q542" s="1">
        <f>IF(Data!Q542&gt;0,Data!Q542,"")</f>
        <v/>
      </c>
      <c r="R542" s="1">
        <f>IF(Data!R542&gt;0,Data!R542,"")</f>
        <v/>
      </c>
      <c r="S542" s="1">
        <f>IF(Data!S542&gt;0,Data!S542,"")</f>
        <v/>
      </c>
      <c r="V542" s="3">
        <f>IF(COUNT(D542,J542,K542,L542,M542,O542)&gt;0,AVERAGE(D542,J542,K542,L542,M542,O542),"")</f>
        <v/>
      </c>
      <c r="W542" s="3">
        <f>IF(COUNT(C542,F542,G542,N542,Q542)&gt;0,AVERAGE(C542,F542,G542,N542,Q542),"")</f>
        <v/>
      </c>
      <c r="X542" s="3">
        <f>IF(COUNT(B542,E542,H542,I542,P542,R542,S542)&gt;0,AVERAGE(B542,E542,H542,I542,P542,R542,S542),"")</f>
        <v/>
      </c>
      <c r="Y542" s="3" t="n"/>
      <c r="AJ542">
        <f>IFERROR(AVERAGEIF($A$4:$A$1004,AI542,$V$4:$V$1004),"")</f>
        <v/>
      </c>
      <c r="AK542">
        <f>IFERROR(AVERAGEIF($A$4:$A$1004,AI542,$W$4:$W$1004),"")</f>
        <v/>
      </c>
      <c r="AL542">
        <f>IFERROR(AVERAGEIF($A$4:$A$1004,AI542,$X$4:$X$1004),"")</f>
        <v/>
      </c>
    </row>
    <row r="543">
      <c r="A543" s="1">
        <f>IF(Data!A543&gt;0,Data!A543,"")</f>
        <v/>
      </c>
      <c r="B543" s="1">
        <f>IF(Data!B543&gt;0,Data!B543,"")</f>
        <v/>
      </c>
      <c r="C543" s="1">
        <f>IF(Data!C543&gt;0,Data!C543,"")</f>
        <v/>
      </c>
      <c r="D543" s="1">
        <f>IF(Data!D543&gt;0,Data!D543,"")</f>
        <v/>
      </c>
      <c r="E543" s="1">
        <f>IF(Data!E543&gt;0,Data!E543,"")</f>
        <v/>
      </c>
      <c r="F543" s="1">
        <f>IF(Data!F543&gt;0,Data!F543,"")</f>
        <v/>
      </c>
      <c r="G543" s="1">
        <f>IF(Data!G543&gt;0,Data!G543,"")</f>
        <v/>
      </c>
      <c r="H543" s="1">
        <f>IF(Data!H543&gt;0,Data!H543,"")</f>
        <v/>
      </c>
      <c r="I543" s="1">
        <f>IF(Data!I543&gt;0,Data!I543,"")</f>
        <v/>
      </c>
      <c r="J543" s="1">
        <f>IF(Data!J543&gt;0,Data!J543,"")</f>
        <v/>
      </c>
      <c r="K543" s="1">
        <f>IF(Data!K543&gt;0,Data!K543,"")</f>
        <v/>
      </c>
      <c r="L543" s="1">
        <f>IF(Data!L543&gt;0,Data!L543,"")</f>
        <v/>
      </c>
      <c r="M543" s="1">
        <f>IF(Data!M543&gt;0,Data!M543,"")</f>
        <v/>
      </c>
      <c r="N543" s="1">
        <f>IF(Data!N543&gt;0,Data!N543,"")</f>
        <v/>
      </c>
      <c r="O543" s="1">
        <f>IF(Data!O543&gt;0,Data!O543,"")</f>
        <v/>
      </c>
      <c r="P543" s="1">
        <f>IF(Data!P543&gt;0,Data!P543,"")</f>
        <v/>
      </c>
      <c r="Q543" s="1">
        <f>IF(Data!Q543&gt;0,Data!Q543,"")</f>
        <v/>
      </c>
      <c r="R543" s="1">
        <f>IF(Data!R543&gt;0,Data!R543,"")</f>
        <v/>
      </c>
      <c r="S543" s="1">
        <f>IF(Data!S543&gt;0,Data!S543,"")</f>
        <v/>
      </c>
      <c r="V543" s="3">
        <f>IF(COUNT(D543,J543,K543,L543,M543,O543)&gt;0,AVERAGE(D543,J543,K543,L543,M543,O543),"")</f>
        <v/>
      </c>
      <c r="W543" s="3">
        <f>IF(COUNT(C543,F543,G543,N543,Q543)&gt;0,AVERAGE(C543,F543,G543,N543,Q543),"")</f>
        <v/>
      </c>
      <c r="X543" s="3">
        <f>IF(COUNT(B543,E543,H543,I543,P543,R543,S543)&gt;0,AVERAGE(B543,E543,H543,I543,P543,R543,S543),"")</f>
        <v/>
      </c>
      <c r="Y543" s="3" t="n"/>
      <c r="AJ543">
        <f>IFERROR(AVERAGEIF($A$4:$A$1004,AI543,$V$4:$V$1004),"")</f>
        <v/>
      </c>
      <c r="AK543">
        <f>IFERROR(AVERAGEIF($A$4:$A$1004,AI543,$W$4:$W$1004),"")</f>
        <v/>
      </c>
      <c r="AL543">
        <f>IFERROR(AVERAGEIF($A$4:$A$1004,AI543,$X$4:$X$1004),"")</f>
        <v/>
      </c>
    </row>
    <row r="544">
      <c r="A544" s="1">
        <f>IF(Data!A544&gt;0,Data!A544,"")</f>
        <v/>
      </c>
      <c r="B544" s="1">
        <f>IF(Data!B544&gt;0,Data!B544,"")</f>
        <v/>
      </c>
      <c r="C544" s="1">
        <f>IF(Data!C544&gt;0,Data!C544,"")</f>
        <v/>
      </c>
      <c r="D544" s="1">
        <f>IF(Data!D544&gt;0,Data!D544,"")</f>
        <v/>
      </c>
      <c r="E544" s="1">
        <f>IF(Data!E544&gt;0,Data!E544,"")</f>
        <v/>
      </c>
      <c r="F544" s="1">
        <f>IF(Data!F544&gt;0,Data!F544,"")</f>
        <v/>
      </c>
      <c r="G544" s="1">
        <f>IF(Data!G544&gt;0,Data!G544,"")</f>
        <v/>
      </c>
      <c r="H544" s="1">
        <f>IF(Data!H544&gt;0,Data!H544,"")</f>
        <v/>
      </c>
      <c r="I544" s="1">
        <f>IF(Data!I544&gt;0,Data!I544,"")</f>
        <v/>
      </c>
      <c r="J544" s="1">
        <f>IF(Data!J544&gt;0,Data!J544,"")</f>
        <v/>
      </c>
      <c r="K544" s="1">
        <f>IF(Data!K544&gt;0,Data!K544,"")</f>
        <v/>
      </c>
      <c r="L544" s="1">
        <f>IF(Data!L544&gt;0,Data!L544,"")</f>
        <v/>
      </c>
      <c r="M544" s="1">
        <f>IF(Data!M544&gt;0,Data!M544,"")</f>
        <v/>
      </c>
      <c r="N544" s="1">
        <f>IF(Data!N544&gt;0,Data!N544,"")</f>
        <v/>
      </c>
      <c r="O544" s="1">
        <f>IF(Data!O544&gt;0,Data!O544,"")</f>
        <v/>
      </c>
      <c r="P544" s="1">
        <f>IF(Data!P544&gt;0,Data!P544,"")</f>
        <v/>
      </c>
      <c r="Q544" s="1">
        <f>IF(Data!Q544&gt;0,Data!Q544,"")</f>
        <v/>
      </c>
      <c r="R544" s="1">
        <f>IF(Data!R544&gt;0,Data!R544,"")</f>
        <v/>
      </c>
      <c r="S544" s="1">
        <f>IF(Data!S544&gt;0,Data!S544,"")</f>
        <v/>
      </c>
      <c r="V544" s="3">
        <f>IF(COUNT(D544,J544,K544,L544,M544,O544)&gt;0,AVERAGE(D544,J544,K544,L544,M544,O544),"")</f>
        <v/>
      </c>
      <c r="W544" s="3">
        <f>IF(COUNT(C544,F544,G544,N544,Q544)&gt;0,AVERAGE(C544,F544,G544,N544,Q544),"")</f>
        <v/>
      </c>
      <c r="X544" s="3">
        <f>IF(COUNT(B544,E544,H544,I544,P544,R544,S544)&gt;0,AVERAGE(B544,E544,H544,I544,P544,R544,S544),"")</f>
        <v/>
      </c>
      <c r="Y544" s="3" t="n"/>
      <c r="AJ544">
        <f>IFERROR(AVERAGEIF($A$4:$A$1004,AI544,$V$4:$V$1004),"")</f>
        <v/>
      </c>
      <c r="AK544">
        <f>IFERROR(AVERAGEIF($A$4:$A$1004,AI544,$W$4:$W$1004),"")</f>
        <v/>
      </c>
      <c r="AL544">
        <f>IFERROR(AVERAGEIF($A$4:$A$1004,AI544,$X$4:$X$1004),"")</f>
        <v/>
      </c>
    </row>
    <row r="545">
      <c r="A545" s="1">
        <f>IF(Data!A545&gt;0,Data!A545,"")</f>
        <v/>
      </c>
      <c r="B545" s="1">
        <f>IF(Data!B545&gt;0,Data!B545,"")</f>
        <v/>
      </c>
      <c r="C545" s="1">
        <f>IF(Data!C545&gt;0,Data!C545,"")</f>
        <v/>
      </c>
      <c r="D545" s="1">
        <f>IF(Data!D545&gt;0,Data!D545,"")</f>
        <v/>
      </c>
      <c r="E545" s="1">
        <f>IF(Data!E545&gt;0,Data!E545,"")</f>
        <v/>
      </c>
      <c r="F545" s="1">
        <f>IF(Data!F545&gt;0,Data!F545,"")</f>
        <v/>
      </c>
      <c r="G545" s="1">
        <f>IF(Data!G545&gt;0,Data!G545,"")</f>
        <v/>
      </c>
      <c r="H545" s="1">
        <f>IF(Data!H545&gt;0,Data!H545,"")</f>
        <v/>
      </c>
      <c r="I545" s="1">
        <f>IF(Data!I545&gt;0,Data!I545,"")</f>
        <v/>
      </c>
      <c r="J545" s="1">
        <f>IF(Data!J545&gt;0,Data!J545,"")</f>
        <v/>
      </c>
      <c r="K545" s="1">
        <f>IF(Data!K545&gt;0,Data!K545,"")</f>
        <v/>
      </c>
      <c r="L545" s="1">
        <f>IF(Data!L545&gt;0,Data!L545,"")</f>
        <v/>
      </c>
      <c r="M545" s="1">
        <f>IF(Data!M545&gt;0,Data!M545,"")</f>
        <v/>
      </c>
      <c r="N545" s="1">
        <f>IF(Data!N545&gt;0,Data!N545,"")</f>
        <v/>
      </c>
      <c r="O545" s="1">
        <f>IF(Data!O545&gt;0,Data!O545,"")</f>
        <v/>
      </c>
      <c r="P545" s="1">
        <f>IF(Data!P545&gt;0,Data!P545,"")</f>
        <v/>
      </c>
      <c r="Q545" s="1">
        <f>IF(Data!Q545&gt;0,Data!Q545,"")</f>
        <v/>
      </c>
      <c r="R545" s="1">
        <f>IF(Data!R545&gt;0,Data!R545,"")</f>
        <v/>
      </c>
      <c r="S545" s="1">
        <f>IF(Data!S545&gt;0,Data!S545,"")</f>
        <v/>
      </c>
      <c r="V545" s="3">
        <f>IF(COUNT(D545,J545,K545,L545,M545,O545)&gt;0,AVERAGE(D545,J545,K545,L545,M545,O545),"")</f>
        <v/>
      </c>
      <c r="W545" s="3">
        <f>IF(COUNT(C545,F545,G545,N545,Q545)&gt;0,AVERAGE(C545,F545,G545,N545,Q545),"")</f>
        <v/>
      </c>
      <c r="X545" s="3">
        <f>IF(COUNT(B545,E545,H545,I545,P545,R545,S545)&gt;0,AVERAGE(B545,E545,H545,I545,P545,R545,S545),"")</f>
        <v/>
      </c>
      <c r="Y545" s="3" t="n"/>
      <c r="AJ545">
        <f>IFERROR(AVERAGEIF($A$4:$A$1004,AI545,$V$4:$V$1004),"")</f>
        <v/>
      </c>
      <c r="AK545">
        <f>IFERROR(AVERAGEIF($A$4:$A$1004,AI545,$W$4:$W$1004),"")</f>
        <v/>
      </c>
      <c r="AL545">
        <f>IFERROR(AVERAGEIF($A$4:$A$1004,AI545,$X$4:$X$1004),"")</f>
        <v/>
      </c>
    </row>
    <row r="546">
      <c r="A546" s="1">
        <f>IF(Data!A546&gt;0,Data!A546,"")</f>
        <v/>
      </c>
      <c r="B546" s="1">
        <f>IF(Data!B546&gt;0,Data!B546,"")</f>
        <v/>
      </c>
      <c r="C546" s="1">
        <f>IF(Data!C546&gt;0,Data!C546,"")</f>
        <v/>
      </c>
      <c r="D546" s="1">
        <f>IF(Data!D546&gt;0,Data!D546,"")</f>
        <v/>
      </c>
      <c r="E546" s="1">
        <f>IF(Data!E546&gt;0,Data!E546,"")</f>
        <v/>
      </c>
      <c r="F546" s="1">
        <f>IF(Data!F546&gt;0,Data!F546,"")</f>
        <v/>
      </c>
      <c r="G546" s="1">
        <f>IF(Data!G546&gt;0,Data!G546,"")</f>
        <v/>
      </c>
      <c r="H546" s="1">
        <f>IF(Data!H546&gt;0,Data!H546,"")</f>
        <v/>
      </c>
      <c r="I546" s="1">
        <f>IF(Data!I546&gt;0,Data!I546,"")</f>
        <v/>
      </c>
      <c r="J546" s="1">
        <f>IF(Data!J546&gt;0,Data!J546,"")</f>
        <v/>
      </c>
      <c r="K546" s="1">
        <f>IF(Data!K546&gt;0,Data!K546,"")</f>
        <v/>
      </c>
      <c r="L546" s="1">
        <f>IF(Data!L546&gt;0,Data!L546,"")</f>
        <v/>
      </c>
      <c r="M546" s="1">
        <f>IF(Data!M546&gt;0,Data!M546,"")</f>
        <v/>
      </c>
      <c r="N546" s="1">
        <f>IF(Data!N546&gt;0,Data!N546,"")</f>
        <v/>
      </c>
      <c r="O546" s="1">
        <f>IF(Data!O546&gt;0,Data!O546,"")</f>
        <v/>
      </c>
      <c r="P546" s="1">
        <f>IF(Data!P546&gt;0,Data!P546,"")</f>
        <v/>
      </c>
      <c r="Q546" s="1">
        <f>IF(Data!Q546&gt;0,Data!Q546,"")</f>
        <v/>
      </c>
      <c r="R546" s="1">
        <f>IF(Data!R546&gt;0,Data!R546,"")</f>
        <v/>
      </c>
      <c r="S546" s="1">
        <f>IF(Data!S546&gt;0,Data!S546,"")</f>
        <v/>
      </c>
      <c r="V546" s="3">
        <f>IF(COUNT(D546,J546,K546,L546,M546,O546)&gt;0,AVERAGE(D546,J546,K546,L546,M546,O546),"")</f>
        <v/>
      </c>
      <c r="W546" s="3">
        <f>IF(COUNT(C546,F546,G546,N546,Q546)&gt;0,AVERAGE(C546,F546,G546,N546,Q546),"")</f>
        <v/>
      </c>
      <c r="X546" s="3">
        <f>IF(COUNT(B546,E546,H546,I546,P546,R546,S546)&gt;0,AVERAGE(B546,E546,H546,I546,P546,R546,S546),"")</f>
        <v/>
      </c>
      <c r="Y546" s="3" t="n"/>
      <c r="AJ546">
        <f>IFERROR(AVERAGEIF($A$4:$A$1004,AI546,$V$4:$V$1004),"")</f>
        <v/>
      </c>
      <c r="AK546">
        <f>IFERROR(AVERAGEIF($A$4:$A$1004,AI546,$W$4:$W$1004),"")</f>
        <v/>
      </c>
      <c r="AL546">
        <f>IFERROR(AVERAGEIF($A$4:$A$1004,AI546,$X$4:$X$1004),"")</f>
        <v/>
      </c>
    </row>
    <row r="547">
      <c r="A547" s="1">
        <f>IF(Data!A547&gt;0,Data!A547,"")</f>
        <v/>
      </c>
      <c r="B547" s="1">
        <f>IF(Data!B547&gt;0,Data!B547,"")</f>
        <v/>
      </c>
      <c r="C547" s="1">
        <f>IF(Data!C547&gt;0,Data!C547,"")</f>
        <v/>
      </c>
      <c r="D547" s="1">
        <f>IF(Data!D547&gt;0,Data!D547,"")</f>
        <v/>
      </c>
      <c r="E547" s="1">
        <f>IF(Data!E547&gt;0,Data!E547,"")</f>
        <v/>
      </c>
      <c r="F547" s="1">
        <f>IF(Data!F547&gt;0,Data!F547,"")</f>
        <v/>
      </c>
      <c r="G547" s="1">
        <f>IF(Data!G547&gt;0,Data!G547,"")</f>
        <v/>
      </c>
      <c r="H547" s="1">
        <f>IF(Data!H547&gt;0,Data!H547,"")</f>
        <v/>
      </c>
      <c r="I547" s="1">
        <f>IF(Data!I547&gt;0,Data!I547,"")</f>
        <v/>
      </c>
      <c r="J547" s="1">
        <f>IF(Data!J547&gt;0,Data!J547,"")</f>
        <v/>
      </c>
      <c r="K547" s="1">
        <f>IF(Data!K547&gt;0,Data!K547,"")</f>
        <v/>
      </c>
      <c r="L547" s="1">
        <f>IF(Data!L547&gt;0,Data!L547,"")</f>
        <v/>
      </c>
      <c r="M547" s="1">
        <f>IF(Data!M547&gt;0,Data!M547,"")</f>
        <v/>
      </c>
      <c r="N547" s="1">
        <f>IF(Data!N547&gt;0,Data!N547,"")</f>
        <v/>
      </c>
      <c r="O547" s="1">
        <f>IF(Data!O547&gt;0,Data!O547,"")</f>
        <v/>
      </c>
      <c r="P547" s="1">
        <f>IF(Data!P547&gt;0,Data!P547,"")</f>
        <v/>
      </c>
      <c r="Q547" s="1">
        <f>IF(Data!Q547&gt;0,Data!Q547,"")</f>
        <v/>
      </c>
      <c r="R547" s="1">
        <f>IF(Data!R547&gt;0,Data!R547,"")</f>
        <v/>
      </c>
      <c r="S547" s="1">
        <f>IF(Data!S547&gt;0,Data!S547,"")</f>
        <v/>
      </c>
      <c r="V547" s="3">
        <f>IF(COUNT(D547,J547,K547,L547,M547,O547)&gt;0,AVERAGE(D547,J547,K547,L547,M547,O547),"")</f>
        <v/>
      </c>
      <c r="W547" s="3">
        <f>IF(COUNT(C547,F547,G547,N547,Q547)&gt;0,AVERAGE(C547,F547,G547,N547,Q547),"")</f>
        <v/>
      </c>
      <c r="X547" s="3">
        <f>IF(COUNT(B547,E547,H547,I547,P547,R547,S547)&gt;0,AVERAGE(B547,E547,H547,I547,P547,R547,S547),"")</f>
        <v/>
      </c>
      <c r="Y547" s="3" t="n"/>
      <c r="AJ547">
        <f>IFERROR(AVERAGEIF($A$4:$A$1004,AI547,$V$4:$V$1004),"")</f>
        <v/>
      </c>
      <c r="AK547">
        <f>IFERROR(AVERAGEIF($A$4:$A$1004,AI547,$W$4:$W$1004),"")</f>
        <v/>
      </c>
      <c r="AL547">
        <f>IFERROR(AVERAGEIF($A$4:$A$1004,AI547,$X$4:$X$1004),"")</f>
        <v/>
      </c>
    </row>
    <row r="548">
      <c r="A548" s="1">
        <f>IF(Data!A548&gt;0,Data!A548,"")</f>
        <v/>
      </c>
      <c r="B548" s="1">
        <f>IF(Data!B548&gt;0,Data!B548,"")</f>
        <v/>
      </c>
      <c r="C548" s="1">
        <f>IF(Data!C548&gt;0,Data!C548,"")</f>
        <v/>
      </c>
      <c r="D548" s="1">
        <f>IF(Data!D548&gt;0,Data!D548,"")</f>
        <v/>
      </c>
      <c r="E548" s="1">
        <f>IF(Data!E548&gt;0,Data!E548,"")</f>
        <v/>
      </c>
      <c r="F548" s="1">
        <f>IF(Data!F548&gt;0,Data!F548,"")</f>
        <v/>
      </c>
      <c r="G548" s="1">
        <f>IF(Data!G548&gt;0,Data!G548,"")</f>
        <v/>
      </c>
      <c r="H548" s="1">
        <f>IF(Data!H548&gt;0,Data!H548,"")</f>
        <v/>
      </c>
      <c r="I548" s="1">
        <f>IF(Data!I548&gt;0,Data!I548,"")</f>
        <v/>
      </c>
      <c r="J548" s="1">
        <f>IF(Data!J548&gt;0,Data!J548,"")</f>
        <v/>
      </c>
      <c r="K548" s="1">
        <f>IF(Data!K548&gt;0,Data!K548,"")</f>
        <v/>
      </c>
      <c r="L548" s="1">
        <f>IF(Data!L548&gt;0,Data!L548,"")</f>
        <v/>
      </c>
      <c r="M548" s="1">
        <f>IF(Data!M548&gt;0,Data!M548,"")</f>
        <v/>
      </c>
      <c r="N548" s="1">
        <f>IF(Data!N548&gt;0,Data!N548,"")</f>
        <v/>
      </c>
      <c r="O548" s="1">
        <f>IF(Data!O548&gt;0,Data!O548,"")</f>
        <v/>
      </c>
      <c r="P548" s="1">
        <f>IF(Data!P548&gt;0,Data!P548,"")</f>
        <v/>
      </c>
      <c r="Q548" s="1">
        <f>IF(Data!Q548&gt;0,Data!Q548,"")</f>
        <v/>
      </c>
      <c r="R548" s="1">
        <f>IF(Data!R548&gt;0,Data!R548,"")</f>
        <v/>
      </c>
      <c r="S548" s="1">
        <f>IF(Data!S548&gt;0,Data!S548,"")</f>
        <v/>
      </c>
      <c r="V548" s="3">
        <f>IF(COUNT(D548,J548,K548,L548,M548,O548)&gt;0,AVERAGE(D548,J548,K548,L548,M548,O548),"")</f>
        <v/>
      </c>
      <c r="W548" s="3">
        <f>IF(COUNT(C548,F548,G548,N548,Q548)&gt;0,AVERAGE(C548,F548,G548,N548,Q548),"")</f>
        <v/>
      </c>
      <c r="X548" s="3">
        <f>IF(COUNT(B548,E548,H548,I548,P548,R548,S548)&gt;0,AVERAGE(B548,E548,H548,I548,P548,R548,S548),"")</f>
        <v/>
      </c>
      <c r="Y548" s="3" t="n"/>
      <c r="AJ548">
        <f>IFERROR(AVERAGEIF($A$4:$A$1004,AI548,$V$4:$V$1004),"")</f>
        <v/>
      </c>
      <c r="AK548">
        <f>IFERROR(AVERAGEIF($A$4:$A$1004,AI548,$W$4:$W$1004),"")</f>
        <v/>
      </c>
      <c r="AL548">
        <f>IFERROR(AVERAGEIF($A$4:$A$1004,AI548,$X$4:$X$1004),"")</f>
        <v/>
      </c>
    </row>
    <row r="549">
      <c r="A549" s="1">
        <f>IF(Data!A549&gt;0,Data!A549,"")</f>
        <v/>
      </c>
      <c r="B549" s="1">
        <f>IF(Data!B549&gt;0,Data!B549,"")</f>
        <v/>
      </c>
      <c r="C549" s="1">
        <f>IF(Data!C549&gt;0,Data!C549,"")</f>
        <v/>
      </c>
      <c r="D549" s="1">
        <f>IF(Data!D549&gt;0,Data!D549,"")</f>
        <v/>
      </c>
      <c r="E549" s="1">
        <f>IF(Data!E549&gt;0,Data!E549,"")</f>
        <v/>
      </c>
      <c r="F549" s="1">
        <f>IF(Data!F549&gt;0,Data!F549,"")</f>
        <v/>
      </c>
      <c r="G549" s="1">
        <f>IF(Data!G549&gt;0,Data!G549,"")</f>
        <v/>
      </c>
      <c r="H549" s="1">
        <f>IF(Data!H549&gt;0,Data!H549,"")</f>
        <v/>
      </c>
      <c r="I549" s="1">
        <f>IF(Data!I549&gt;0,Data!I549,"")</f>
        <v/>
      </c>
      <c r="J549" s="1">
        <f>IF(Data!J549&gt;0,Data!J549,"")</f>
        <v/>
      </c>
      <c r="K549" s="1">
        <f>IF(Data!K549&gt;0,Data!K549,"")</f>
        <v/>
      </c>
      <c r="L549" s="1">
        <f>IF(Data!L549&gt;0,Data!L549,"")</f>
        <v/>
      </c>
      <c r="M549" s="1">
        <f>IF(Data!M549&gt;0,Data!M549,"")</f>
        <v/>
      </c>
      <c r="N549" s="1">
        <f>IF(Data!N549&gt;0,Data!N549,"")</f>
        <v/>
      </c>
      <c r="O549" s="1">
        <f>IF(Data!O549&gt;0,Data!O549,"")</f>
        <v/>
      </c>
      <c r="P549" s="1">
        <f>IF(Data!P549&gt;0,Data!P549,"")</f>
        <v/>
      </c>
      <c r="Q549" s="1">
        <f>IF(Data!Q549&gt;0,Data!Q549,"")</f>
        <v/>
      </c>
      <c r="R549" s="1">
        <f>IF(Data!R549&gt;0,Data!R549,"")</f>
        <v/>
      </c>
      <c r="S549" s="1">
        <f>IF(Data!S549&gt;0,Data!S549,"")</f>
        <v/>
      </c>
      <c r="V549" s="3">
        <f>IF(COUNT(D549,J549,K549,L549,M549,O549)&gt;0,AVERAGE(D549,J549,K549,L549,M549,O549),"")</f>
        <v/>
      </c>
      <c r="W549" s="3">
        <f>IF(COUNT(C549,F549,G549,N549,Q549)&gt;0,AVERAGE(C549,F549,G549,N549,Q549),"")</f>
        <v/>
      </c>
      <c r="X549" s="3">
        <f>IF(COUNT(B549,E549,H549,I549,P549,R549,S549)&gt;0,AVERAGE(B549,E549,H549,I549,P549,R549,S549),"")</f>
        <v/>
      </c>
      <c r="Y549" s="3" t="n"/>
      <c r="AJ549">
        <f>IFERROR(AVERAGEIF($A$4:$A$1004,AI549,$V$4:$V$1004),"")</f>
        <v/>
      </c>
      <c r="AK549">
        <f>IFERROR(AVERAGEIF($A$4:$A$1004,AI549,$W$4:$W$1004),"")</f>
        <v/>
      </c>
      <c r="AL549">
        <f>IFERROR(AVERAGEIF($A$4:$A$1004,AI549,$X$4:$X$1004),"")</f>
        <v/>
      </c>
    </row>
    <row r="550">
      <c r="A550" s="1">
        <f>IF(Data!A550&gt;0,Data!A550,"")</f>
        <v/>
      </c>
      <c r="B550" s="1">
        <f>IF(Data!B550&gt;0,Data!B550,"")</f>
        <v/>
      </c>
      <c r="C550" s="1">
        <f>IF(Data!C550&gt;0,Data!C550,"")</f>
        <v/>
      </c>
      <c r="D550" s="1">
        <f>IF(Data!D550&gt;0,Data!D550,"")</f>
        <v/>
      </c>
      <c r="E550" s="1">
        <f>IF(Data!E550&gt;0,Data!E550,"")</f>
        <v/>
      </c>
      <c r="F550" s="1">
        <f>IF(Data!F550&gt;0,Data!F550,"")</f>
        <v/>
      </c>
      <c r="G550" s="1">
        <f>IF(Data!G550&gt;0,Data!G550,"")</f>
        <v/>
      </c>
      <c r="H550" s="1">
        <f>IF(Data!H550&gt;0,Data!H550,"")</f>
        <v/>
      </c>
      <c r="I550" s="1">
        <f>IF(Data!I550&gt;0,Data!I550,"")</f>
        <v/>
      </c>
      <c r="J550" s="1">
        <f>IF(Data!J550&gt;0,Data!J550,"")</f>
        <v/>
      </c>
      <c r="K550" s="1">
        <f>IF(Data!K550&gt;0,Data!K550,"")</f>
        <v/>
      </c>
      <c r="L550" s="1">
        <f>IF(Data!L550&gt;0,Data!L550,"")</f>
        <v/>
      </c>
      <c r="M550" s="1">
        <f>IF(Data!M550&gt;0,Data!M550,"")</f>
        <v/>
      </c>
      <c r="N550" s="1">
        <f>IF(Data!N550&gt;0,Data!N550,"")</f>
        <v/>
      </c>
      <c r="O550" s="1">
        <f>IF(Data!O550&gt;0,Data!O550,"")</f>
        <v/>
      </c>
      <c r="P550" s="1">
        <f>IF(Data!P550&gt;0,Data!P550,"")</f>
        <v/>
      </c>
      <c r="Q550" s="1">
        <f>IF(Data!Q550&gt;0,Data!Q550,"")</f>
        <v/>
      </c>
      <c r="R550" s="1">
        <f>IF(Data!R550&gt;0,Data!R550,"")</f>
        <v/>
      </c>
      <c r="S550" s="1">
        <f>IF(Data!S550&gt;0,Data!S550,"")</f>
        <v/>
      </c>
      <c r="V550" s="3">
        <f>IF(COUNT(D550,J550,K550,L550,M550,O550)&gt;0,AVERAGE(D550,J550,K550,L550,M550,O550),"")</f>
        <v/>
      </c>
      <c r="W550" s="3">
        <f>IF(COUNT(C550,F550,G550,N550,Q550)&gt;0,AVERAGE(C550,F550,G550,N550,Q550),"")</f>
        <v/>
      </c>
      <c r="X550" s="3">
        <f>IF(COUNT(B550,E550,H550,I550,P550,R550,S550)&gt;0,AVERAGE(B550,E550,H550,I550,P550,R550,S550),"")</f>
        <v/>
      </c>
      <c r="Y550" s="3" t="n"/>
      <c r="AJ550">
        <f>IFERROR(AVERAGEIF($A$4:$A$1004,AI550,$V$4:$V$1004),"")</f>
        <v/>
      </c>
      <c r="AK550">
        <f>IFERROR(AVERAGEIF($A$4:$A$1004,AI550,$W$4:$W$1004),"")</f>
        <v/>
      </c>
      <c r="AL550">
        <f>IFERROR(AVERAGEIF($A$4:$A$1004,AI550,$X$4:$X$1004),"")</f>
        <v/>
      </c>
    </row>
    <row r="551">
      <c r="A551" s="1">
        <f>IF(Data!A551&gt;0,Data!A551,"")</f>
        <v/>
      </c>
      <c r="B551" s="1">
        <f>IF(Data!B551&gt;0,Data!B551,"")</f>
        <v/>
      </c>
      <c r="C551" s="1">
        <f>IF(Data!C551&gt;0,Data!C551,"")</f>
        <v/>
      </c>
      <c r="D551" s="1">
        <f>IF(Data!D551&gt;0,Data!D551,"")</f>
        <v/>
      </c>
      <c r="E551" s="1">
        <f>IF(Data!E551&gt;0,Data!E551,"")</f>
        <v/>
      </c>
      <c r="F551" s="1">
        <f>IF(Data!F551&gt;0,Data!F551,"")</f>
        <v/>
      </c>
      <c r="G551" s="1">
        <f>IF(Data!G551&gt;0,Data!G551,"")</f>
        <v/>
      </c>
      <c r="H551" s="1">
        <f>IF(Data!H551&gt;0,Data!H551,"")</f>
        <v/>
      </c>
      <c r="I551" s="1">
        <f>IF(Data!I551&gt;0,Data!I551,"")</f>
        <v/>
      </c>
      <c r="J551" s="1">
        <f>IF(Data!J551&gt;0,Data!J551,"")</f>
        <v/>
      </c>
      <c r="K551" s="1">
        <f>IF(Data!K551&gt;0,Data!K551,"")</f>
        <v/>
      </c>
      <c r="L551" s="1">
        <f>IF(Data!L551&gt;0,Data!L551,"")</f>
        <v/>
      </c>
      <c r="M551" s="1">
        <f>IF(Data!M551&gt;0,Data!M551,"")</f>
        <v/>
      </c>
      <c r="N551" s="1">
        <f>IF(Data!N551&gt;0,Data!N551,"")</f>
        <v/>
      </c>
      <c r="O551" s="1">
        <f>IF(Data!O551&gt;0,Data!O551,"")</f>
        <v/>
      </c>
      <c r="P551" s="1">
        <f>IF(Data!P551&gt;0,Data!P551,"")</f>
        <v/>
      </c>
      <c r="Q551" s="1">
        <f>IF(Data!Q551&gt;0,Data!Q551,"")</f>
        <v/>
      </c>
      <c r="R551" s="1">
        <f>IF(Data!R551&gt;0,Data!R551,"")</f>
        <v/>
      </c>
      <c r="S551" s="1">
        <f>IF(Data!S551&gt;0,Data!S551,"")</f>
        <v/>
      </c>
      <c r="V551" s="3">
        <f>IF(COUNT(D551,J551,K551,L551,M551,O551)&gt;0,AVERAGE(D551,J551,K551,L551,M551,O551),"")</f>
        <v/>
      </c>
      <c r="W551" s="3">
        <f>IF(COUNT(C551,F551,G551,N551,Q551)&gt;0,AVERAGE(C551,F551,G551,N551,Q551),"")</f>
        <v/>
      </c>
      <c r="X551" s="3">
        <f>IF(COUNT(B551,E551,H551,I551,P551,R551,S551)&gt;0,AVERAGE(B551,E551,H551,I551,P551,R551,S551),"")</f>
        <v/>
      </c>
      <c r="Y551" s="3" t="n"/>
      <c r="AJ551">
        <f>IFERROR(AVERAGEIF($A$4:$A$1004,AI551,$V$4:$V$1004),"")</f>
        <v/>
      </c>
      <c r="AK551">
        <f>IFERROR(AVERAGEIF($A$4:$A$1004,AI551,$W$4:$W$1004),"")</f>
        <v/>
      </c>
      <c r="AL551">
        <f>IFERROR(AVERAGEIF($A$4:$A$1004,AI551,$X$4:$X$1004),"")</f>
        <v/>
      </c>
    </row>
    <row r="552">
      <c r="A552" s="1">
        <f>IF(Data!A552&gt;0,Data!A552,"")</f>
        <v/>
      </c>
      <c r="B552" s="1">
        <f>IF(Data!B552&gt;0,Data!B552,"")</f>
        <v/>
      </c>
      <c r="C552" s="1">
        <f>IF(Data!C552&gt;0,Data!C552,"")</f>
        <v/>
      </c>
      <c r="D552" s="1">
        <f>IF(Data!D552&gt;0,Data!D552,"")</f>
        <v/>
      </c>
      <c r="E552" s="1">
        <f>IF(Data!E552&gt;0,Data!E552,"")</f>
        <v/>
      </c>
      <c r="F552" s="1">
        <f>IF(Data!F552&gt;0,Data!F552,"")</f>
        <v/>
      </c>
      <c r="G552" s="1">
        <f>IF(Data!G552&gt;0,Data!G552,"")</f>
        <v/>
      </c>
      <c r="H552" s="1">
        <f>IF(Data!H552&gt;0,Data!H552,"")</f>
        <v/>
      </c>
      <c r="I552" s="1">
        <f>IF(Data!I552&gt;0,Data!I552,"")</f>
        <v/>
      </c>
      <c r="J552" s="1">
        <f>IF(Data!J552&gt;0,Data!J552,"")</f>
        <v/>
      </c>
      <c r="K552" s="1">
        <f>IF(Data!K552&gt;0,Data!K552,"")</f>
        <v/>
      </c>
      <c r="L552" s="1">
        <f>IF(Data!L552&gt;0,Data!L552,"")</f>
        <v/>
      </c>
      <c r="M552" s="1">
        <f>IF(Data!M552&gt;0,Data!M552,"")</f>
        <v/>
      </c>
      <c r="N552" s="1">
        <f>IF(Data!N552&gt;0,Data!N552,"")</f>
        <v/>
      </c>
      <c r="O552" s="1">
        <f>IF(Data!O552&gt;0,Data!O552,"")</f>
        <v/>
      </c>
      <c r="P552" s="1">
        <f>IF(Data!P552&gt;0,Data!P552,"")</f>
        <v/>
      </c>
      <c r="Q552" s="1">
        <f>IF(Data!Q552&gt;0,Data!Q552,"")</f>
        <v/>
      </c>
      <c r="R552" s="1">
        <f>IF(Data!R552&gt;0,Data!R552,"")</f>
        <v/>
      </c>
      <c r="S552" s="1">
        <f>IF(Data!S552&gt;0,Data!S552,"")</f>
        <v/>
      </c>
      <c r="V552" s="3">
        <f>IF(COUNT(D552,J552,K552,L552,M552,O552)&gt;0,AVERAGE(D552,J552,K552,L552,M552,O552),"")</f>
        <v/>
      </c>
      <c r="W552" s="3">
        <f>IF(COUNT(C552,F552,G552,N552,Q552)&gt;0,AVERAGE(C552,F552,G552,N552,Q552),"")</f>
        <v/>
      </c>
      <c r="X552" s="3">
        <f>IF(COUNT(B552,E552,H552,I552,P552,R552,S552)&gt;0,AVERAGE(B552,E552,H552,I552,P552,R552,S552),"")</f>
        <v/>
      </c>
      <c r="Y552" s="3" t="n"/>
      <c r="AJ552">
        <f>IFERROR(AVERAGEIF($A$4:$A$1004,AI552,$V$4:$V$1004),"")</f>
        <v/>
      </c>
      <c r="AK552">
        <f>IFERROR(AVERAGEIF($A$4:$A$1004,AI552,$W$4:$W$1004),"")</f>
        <v/>
      </c>
      <c r="AL552">
        <f>IFERROR(AVERAGEIF($A$4:$A$1004,AI552,$X$4:$X$1004),"")</f>
        <v/>
      </c>
    </row>
    <row r="553">
      <c r="A553" s="1">
        <f>IF(Data!A553&gt;0,Data!A553,"")</f>
        <v/>
      </c>
      <c r="B553" s="1">
        <f>IF(Data!B553&gt;0,Data!B553,"")</f>
        <v/>
      </c>
      <c r="C553" s="1">
        <f>IF(Data!C553&gt;0,Data!C553,"")</f>
        <v/>
      </c>
      <c r="D553" s="1">
        <f>IF(Data!D553&gt;0,Data!D553,"")</f>
        <v/>
      </c>
      <c r="E553" s="1">
        <f>IF(Data!E553&gt;0,Data!E553,"")</f>
        <v/>
      </c>
      <c r="F553" s="1">
        <f>IF(Data!F553&gt;0,Data!F553,"")</f>
        <v/>
      </c>
      <c r="G553" s="1">
        <f>IF(Data!G553&gt;0,Data!G553,"")</f>
        <v/>
      </c>
      <c r="H553" s="1">
        <f>IF(Data!H553&gt;0,Data!H553,"")</f>
        <v/>
      </c>
      <c r="I553" s="1">
        <f>IF(Data!I553&gt;0,Data!I553,"")</f>
        <v/>
      </c>
      <c r="J553" s="1">
        <f>IF(Data!J553&gt;0,Data!J553,"")</f>
        <v/>
      </c>
      <c r="K553" s="1">
        <f>IF(Data!K553&gt;0,Data!K553,"")</f>
        <v/>
      </c>
      <c r="L553" s="1">
        <f>IF(Data!L553&gt;0,Data!L553,"")</f>
        <v/>
      </c>
      <c r="M553" s="1">
        <f>IF(Data!M553&gt;0,Data!M553,"")</f>
        <v/>
      </c>
      <c r="N553" s="1">
        <f>IF(Data!N553&gt;0,Data!N553,"")</f>
        <v/>
      </c>
      <c r="O553" s="1">
        <f>IF(Data!O553&gt;0,Data!O553,"")</f>
        <v/>
      </c>
      <c r="P553" s="1">
        <f>IF(Data!P553&gt;0,Data!P553,"")</f>
        <v/>
      </c>
      <c r="Q553" s="1">
        <f>IF(Data!Q553&gt;0,Data!Q553,"")</f>
        <v/>
      </c>
      <c r="R553" s="1">
        <f>IF(Data!R553&gt;0,Data!R553,"")</f>
        <v/>
      </c>
      <c r="S553" s="1">
        <f>IF(Data!S553&gt;0,Data!S553,"")</f>
        <v/>
      </c>
      <c r="V553" s="3">
        <f>IF(COUNT(D553,J553,K553,L553,M553,O553)&gt;0,AVERAGE(D553,J553,K553,L553,M553,O553),"")</f>
        <v/>
      </c>
      <c r="W553" s="3">
        <f>IF(COUNT(C553,F553,G553,N553,Q553)&gt;0,AVERAGE(C553,F553,G553,N553,Q553),"")</f>
        <v/>
      </c>
      <c r="X553" s="3">
        <f>IF(COUNT(B553,E553,H553,I553,P553,R553,S553)&gt;0,AVERAGE(B553,E553,H553,I553,P553,R553,S553),"")</f>
        <v/>
      </c>
      <c r="Y553" s="3" t="n"/>
      <c r="AJ553">
        <f>IFERROR(AVERAGEIF($A$4:$A$1004,AI553,$V$4:$V$1004),"")</f>
        <v/>
      </c>
      <c r="AK553">
        <f>IFERROR(AVERAGEIF($A$4:$A$1004,AI553,$W$4:$W$1004),"")</f>
        <v/>
      </c>
      <c r="AL553">
        <f>IFERROR(AVERAGEIF($A$4:$A$1004,AI553,$X$4:$X$1004),"")</f>
        <v/>
      </c>
    </row>
    <row r="554">
      <c r="A554" s="1">
        <f>IF(Data!A554&gt;0,Data!A554,"")</f>
        <v/>
      </c>
      <c r="B554" s="1">
        <f>IF(Data!B554&gt;0,Data!B554,"")</f>
        <v/>
      </c>
      <c r="C554" s="1">
        <f>IF(Data!C554&gt;0,Data!C554,"")</f>
        <v/>
      </c>
      <c r="D554" s="1">
        <f>IF(Data!D554&gt;0,Data!D554,"")</f>
        <v/>
      </c>
      <c r="E554" s="1">
        <f>IF(Data!E554&gt;0,Data!E554,"")</f>
        <v/>
      </c>
      <c r="F554" s="1">
        <f>IF(Data!F554&gt;0,Data!F554,"")</f>
        <v/>
      </c>
      <c r="G554" s="1">
        <f>IF(Data!G554&gt;0,Data!G554,"")</f>
        <v/>
      </c>
      <c r="H554" s="1">
        <f>IF(Data!H554&gt;0,Data!H554,"")</f>
        <v/>
      </c>
      <c r="I554" s="1">
        <f>IF(Data!I554&gt;0,Data!I554,"")</f>
        <v/>
      </c>
      <c r="J554" s="1">
        <f>IF(Data!J554&gt;0,Data!J554,"")</f>
        <v/>
      </c>
      <c r="K554" s="1">
        <f>IF(Data!K554&gt;0,Data!K554,"")</f>
        <v/>
      </c>
      <c r="L554" s="1">
        <f>IF(Data!L554&gt;0,Data!L554,"")</f>
        <v/>
      </c>
      <c r="M554" s="1">
        <f>IF(Data!M554&gt;0,Data!M554,"")</f>
        <v/>
      </c>
      <c r="N554" s="1">
        <f>IF(Data!N554&gt;0,Data!N554,"")</f>
        <v/>
      </c>
      <c r="O554" s="1">
        <f>IF(Data!O554&gt;0,Data!O554,"")</f>
        <v/>
      </c>
      <c r="P554" s="1">
        <f>IF(Data!P554&gt;0,Data!P554,"")</f>
        <v/>
      </c>
      <c r="Q554" s="1">
        <f>IF(Data!Q554&gt;0,Data!Q554,"")</f>
        <v/>
      </c>
      <c r="R554" s="1">
        <f>IF(Data!R554&gt;0,Data!R554,"")</f>
        <v/>
      </c>
      <c r="S554" s="1">
        <f>IF(Data!S554&gt;0,Data!S554,"")</f>
        <v/>
      </c>
      <c r="V554" s="3">
        <f>IF(COUNT(D554,J554,K554,L554,M554,O554)&gt;0,AVERAGE(D554,J554,K554,L554,M554,O554),"")</f>
        <v/>
      </c>
      <c r="W554" s="3">
        <f>IF(COUNT(C554,F554,G554,N554,Q554)&gt;0,AVERAGE(C554,F554,G554,N554,Q554),"")</f>
        <v/>
      </c>
      <c r="X554" s="3">
        <f>IF(COUNT(B554,E554,H554,I554,P554,R554,S554)&gt;0,AVERAGE(B554,E554,H554,I554,P554,R554,S554),"")</f>
        <v/>
      </c>
      <c r="Y554" s="3" t="n"/>
      <c r="AJ554">
        <f>IFERROR(AVERAGEIF($A$4:$A$1004,AI554,$V$4:$V$1004),"")</f>
        <v/>
      </c>
      <c r="AK554">
        <f>IFERROR(AVERAGEIF($A$4:$A$1004,AI554,$W$4:$W$1004),"")</f>
        <v/>
      </c>
      <c r="AL554">
        <f>IFERROR(AVERAGEIF($A$4:$A$1004,AI554,$X$4:$X$1004),"")</f>
        <v/>
      </c>
    </row>
    <row r="555">
      <c r="A555" s="1">
        <f>IF(Data!A555&gt;0,Data!A555,"")</f>
        <v/>
      </c>
      <c r="B555" s="1">
        <f>IF(Data!B555&gt;0,Data!B555,"")</f>
        <v/>
      </c>
      <c r="C555" s="1">
        <f>IF(Data!C555&gt;0,Data!C555,"")</f>
        <v/>
      </c>
      <c r="D555" s="1">
        <f>IF(Data!D555&gt;0,Data!D555,"")</f>
        <v/>
      </c>
      <c r="E555" s="1">
        <f>IF(Data!E555&gt;0,Data!E555,"")</f>
        <v/>
      </c>
      <c r="F555" s="1">
        <f>IF(Data!F555&gt;0,Data!F555,"")</f>
        <v/>
      </c>
      <c r="G555" s="1">
        <f>IF(Data!G555&gt;0,Data!G555,"")</f>
        <v/>
      </c>
      <c r="H555" s="1">
        <f>IF(Data!H555&gt;0,Data!H555,"")</f>
        <v/>
      </c>
      <c r="I555" s="1">
        <f>IF(Data!I555&gt;0,Data!I555,"")</f>
        <v/>
      </c>
      <c r="J555" s="1">
        <f>IF(Data!J555&gt;0,Data!J555,"")</f>
        <v/>
      </c>
      <c r="K555" s="1">
        <f>IF(Data!K555&gt;0,Data!K555,"")</f>
        <v/>
      </c>
      <c r="L555" s="1">
        <f>IF(Data!L555&gt;0,Data!L555,"")</f>
        <v/>
      </c>
      <c r="M555" s="1">
        <f>IF(Data!M555&gt;0,Data!M555,"")</f>
        <v/>
      </c>
      <c r="N555" s="1">
        <f>IF(Data!N555&gt;0,Data!N555,"")</f>
        <v/>
      </c>
      <c r="O555" s="1">
        <f>IF(Data!O555&gt;0,Data!O555,"")</f>
        <v/>
      </c>
      <c r="P555" s="1">
        <f>IF(Data!P555&gt;0,Data!P555,"")</f>
        <v/>
      </c>
      <c r="Q555" s="1">
        <f>IF(Data!Q555&gt;0,Data!Q555,"")</f>
        <v/>
      </c>
      <c r="R555" s="1">
        <f>IF(Data!R555&gt;0,Data!R555,"")</f>
        <v/>
      </c>
      <c r="S555" s="1">
        <f>IF(Data!S555&gt;0,Data!S555,"")</f>
        <v/>
      </c>
      <c r="V555" s="3">
        <f>IF(COUNT(D555,J555,K555,L555,M555,O555)&gt;0,AVERAGE(D555,J555,K555,L555,M555,O555),"")</f>
        <v/>
      </c>
      <c r="W555" s="3">
        <f>IF(COUNT(C555,F555,G555,N555,Q555)&gt;0,AVERAGE(C555,F555,G555,N555,Q555),"")</f>
        <v/>
      </c>
      <c r="X555" s="3">
        <f>IF(COUNT(B555,E555,H555,I555,P555,R555,S555)&gt;0,AVERAGE(B555,E555,H555,I555,P555,R555,S555),"")</f>
        <v/>
      </c>
      <c r="Y555" s="3" t="n"/>
      <c r="AJ555">
        <f>IFERROR(AVERAGEIF($A$4:$A$1004,AI555,$V$4:$V$1004),"")</f>
        <v/>
      </c>
      <c r="AK555">
        <f>IFERROR(AVERAGEIF($A$4:$A$1004,AI555,$W$4:$W$1004),"")</f>
        <v/>
      </c>
      <c r="AL555">
        <f>IFERROR(AVERAGEIF($A$4:$A$1004,AI555,$X$4:$X$1004),"")</f>
        <v/>
      </c>
    </row>
    <row r="556">
      <c r="A556" s="1">
        <f>IF(Data!A556&gt;0,Data!A556,"")</f>
        <v/>
      </c>
      <c r="B556" s="1">
        <f>IF(Data!B556&gt;0,Data!B556,"")</f>
        <v/>
      </c>
      <c r="C556" s="1">
        <f>IF(Data!C556&gt;0,Data!C556,"")</f>
        <v/>
      </c>
      <c r="D556" s="1">
        <f>IF(Data!D556&gt;0,Data!D556,"")</f>
        <v/>
      </c>
      <c r="E556" s="1">
        <f>IF(Data!E556&gt;0,Data!E556,"")</f>
        <v/>
      </c>
      <c r="F556" s="1">
        <f>IF(Data!F556&gt;0,Data!F556,"")</f>
        <v/>
      </c>
      <c r="G556" s="1">
        <f>IF(Data!G556&gt;0,Data!G556,"")</f>
        <v/>
      </c>
      <c r="H556" s="1">
        <f>IF(Data!H556&gt;0,Data!H556,"")</f>
        <v/>
      </c>
      <c r="I556" s="1">
        <f>IF(Data!I556&gt;0,Data!I556,"")</f>
        <v/>
      </c>
      <c r="J556" s="1">
        <f>IF(Data!J556&gt;0,Data!J556,"")</f>
        <v/>
      </c>
      <c r="K556" s="1">
        <f>IF(Data!K556&gt;0,Data!K556,"")</f>
        <v/>
      </c>
      <c r="L556" s="1">
        <f>IF(Data!L556&gt;0,Data!L556,"")</f>
        <v/>
      </c>
      <c r="M556" s="1">
        <f>IF(Data!M556&gt;0,Data!M556,"")</f>
        <v/>
      </c>
      <c r="N556" s="1">
        <f>IF(Data!N556&gt;0,Data!N556,"")</f>
        <v/>
      </c>
      <c r="O556" s="1">
        <f>IF(Data!O556&gt;0,Data!O556,"")</f>
        <v/>
      </c>
      <c r="P556" s="1">
        <f>IF(Data!P556&gt;0,Data!P556,"")</f>
        <v/>
      </c>
      <c r="Q556" s="1">
        <f>IF(Data!Q556&gt;0,Data!Q556,"")</f>
        <v/>
      </c>
      <c r="R556" s="1">
        <f>IF(Data!R556&gt;0,Data!R556,"")</f>
        <v/>
      </c>
      <c r="S556" s="1">
        <f>IF(Data!S556&gt;0,Data!S556,"")</f>
        <v/>
      </c>
      <c r="V556" s="3">
        <f>IF(COUNT(D556,J556,K556,L556,M556,O556)&gt;0,AVERAGE(D556,J556,K556,L556,M556,O556),"")</f>
        <v/>
      </c>
      <c r="W556" s="3">
        <f>IF(COUNT(C556,F556,G556,N556,Q556)&gt;0,AVERAGE(C556,F556,G556,N556,Q556),"")</f>
        <v/>
      </c>
      <c r="X556" s="3">
        <f>IF(COUNT(B556,E556,H556,I556,P556,R556,S556)&gt;0,AVERAGE(B556,E556,H556,I556,P556,R556,S556),"")</f>
        <v/>
      </c>
      <c r="Y556" s="3" t="n"/>
      <c r="AJ556">
        <f>IFERROR(AVERAGEIF($A$4:$A$1004,AI556,$V$4:$V$1004),"")</f>
        <v/>
      </c>
      <c r="AK556">
        <f>IFERROR(AVERAGEIF($A$4:$A$1004,AI556,$W$4:$W$1004),"")</f>
        <v/>
      </c>
      <c r="AL556">
        <f>IFERROR(AVERAGEIF($A$4:$A$1004,AI556,$X$4:$X$1004),"")</f>
        <v/>
      </c>
    </row>
    <row r="557">
      <c r="A557" s="1">
        <f>IF(Data!A557&gt;0,Data!A557,"")</f>
        <v/>
      </c>
      <c r="B557" s="1">
        <f>IF(Data!B557&gt;0,Data!B557,"")</f>
        <v/>
      </c>
      <c r="C557" s="1">
        <f>IF(Data!C557&gt;0,Data!C557,"")</f>
        <v/>
      </c>
      <c r="D557" s="1">
        <f>IF(Data!D557&gt;0,Data!D557,"")</f>
        <v/>
      </c>
      <c r="E557" s="1">
        <f>IF(Data!E557&gt;0,Data!E557,"")</f>
        <v/>
      </c>
      <c r="F557" s="1">
        <f>IF(Data!F557&gt;0,Data!F557,"")</f>
        <v/>
      </c>
      <c r="G557" s="1">
        <f>IF(Data!G557&gt;0,Data!G557,"")</f>
        <v/>
      </c>
      <c r="H557" s="1">
        <f>IF(Data!H557&gt;0,Data!H557,"")</f>
        <v/>
      </c>
      <c r="I557" s="1">
        <f>IF(Data!I557&gt;0,Data!I557,"")</f>
        <v/>
      </c>
      <c r="J557" s="1">
        <f>IF(Data!J557&gt;0,Data!J557,"")</f>
        <v/>
      </c>
      <c r="K557" s="1">
        <f>IF(Data!K557&gt;0,Data!K557,"")</f>
        <v/>
      </c>
      <c r="L557" s="1">
        <f>IF(Data!L557&gt;0,Data!L557,"")</f>
        <v/>
      </c>
      <c r="M557" s="1">
        <f>IF(Data!M557&gt;0,Data!M557,"")</f>
        <v/>
      </c>
      <c r="N557" s="1">
        <f>IF(Data!N557&gt;0,Data!N557,"")</f>
        <v/>
      </c>
      <c r="O557" s="1">
        <f>IF(Data!O557&gt;0,Data!O557,"")</f>
        <v/>
      </c>
      <c r="P557" s="1">
        <f>IF(Data!P557&gt;0,Data!P557,"")</f>
        <v/>
      </c>
      <c r="Q557" s="1">
        <f>IF(Data!Q557&gt;0,Data!Q557,"")</f>
        <v/>
      </c>
      <c r="R557" s="1">
        <f>IF(Data!R557&gt;0,Data!R557,"")</f>
        <v/>
      </c>
      <c r="S557" s="1">
        <f>IF(Data!S557&gt;0,Data!S557,"")</f>
        <v/>
      </c>
      <c r="V557" s="3">
        <f>IF(COUNT(D557,J557,K557,L557,M557,O557)&gt;0,AVERAGE(D557,J557,K557,L557,M557,O557),"")</f>
        <v/>
      </c>
      <c r="W557" s="3">
        <f>IF(COUNT(C557,F557,G557,N557,Q557)&gt;0,AVERAGE(C557,F557,G557,N557,Q557),"")</f>
        <v/>
      </c>
      <c r="X557" s="3">
        <f>IF(COUNT(B557,E557,H557,I557,P557,R557,S557)&gt;0,AVERAGE(B557,E557,H557,I557,P557,R557,S557),"")</f>
        <v/>
      </c>
      <c r="Y557" s="3" t="n"/>
      <c r="AJ557">
        <f>IFERROR(AVERAGEIF($A$4:$A$1004,AI557,$V$4:$V$1004),"")</f>
        <v/>
      </c>
      <c r="AK557">
        <f>IFERROR(AVERAGEIF($A$4:$A$1004,AI557,$W$4:$W$1004),"")</f>
        <v/>
      </c>
      <c r="AL557">
        <f>IFERROR(AVERAGEIF($A$4:$A$1004,AI557,$X$4:$X$1004),"")</f>
        <v/>
      </c>
    </row>
    <row r="558">
      <c r="A558" s="1">
        <f>IF(Data!A558&gt;0,Data!A558,"")</f>
        <v/>
      </c>
      <c r="B558" s="1">
        <f>IF(Data!B558&gt;0,Data!B558,"")</f>
        <v/>
      </c>
      <c r="C558" s="1">
        <f>IF(Data!C558&gt;0,Data!C558,"")</f>
        <v/>
      </c>
      <c r="D558" s="1">
        <f>IF(Data!D558&gt;0,Data!D558,"")</f>
        <v/>
      </c>
      <c r="E558" s="1">
        <f>IF(Data!E558&gt;0,Data!E558,"")</f>
        <v/>
      </c>
      <c r="F558" s="1">
        <f>IF(Data!F558&gt;0,Data!F558,"")</f>
        <v/>
      </c>
      <c r="G558" s="1">
        <f>IF(Data!G558&gt;0,Data!G558,"")</f>
        <v/>
      </c>
      <c r="H558" s="1">
        <f>IF(Data!H558&gt;0,Data!H558,"")</f>
        <v/>
      </c>
      <c r="I558" s="1">
        <f>IF(Data!I558&gt;0,Data!I558,"")</f>
        <v/>
      </c>
      <c r="J558" s="1">
        <f>IF(Data!J558&gt;0,Data!J558,"")</f>
        <v/>
      </c>
      <c r="K558" s="1">
        <f>IF(Data!K558&gt;0,Data!K558,"")</f>
        <v/>
      </c>
      <c r="L558" s="1">
        <f>IF(Data!L558&gt;0,Data!L558,"")</f>
        <v/>
      </c>
      <c r="M558" s="1">
        <f>IF(Data!M558&gt;0,Data!M558,"")</f>
        <v/>
      </c>
      <c r="N558" s="1">
        <f>IF(Data!N558&gt;0,Data!N558,"")</f>
        <v/>
      </c>
      <c r="O558" s="1">
        <f>IF(Data!O558&gt;0,Data!O558,"")</f>
        <v/>
      </c>
      <c r="P558" s="1">
        <f>IF(Data!P558&gt;0,Data!P558,"")</f>
        <v/>
      </c>
      <c r="Q558" s="1">
        <f>IF(Data!Q558&gt;0,Data!Q558,"")</f>
        <v/>
      </c>
      <c r="R558" s="1">
        <f>IF(Data!R558&gt;0,Data!R558,"")</f>
        <v/>
      </c>
      <c r="S558" s="1">
        <f>IF(Data!S558&gt;0,Data!S558,"")</f>
        <v/>
      </c>
      <c r="V558" s="3">
        <f>IF(COUNT(D558,J558,K558,L558,M558,O558)&gt;0,AVERAGE(D558,J558,K558,L558,M558,O558),"")</f>
        <v/>
      </c>
      <c r="W558" s="3">
        <f>IF(COUNT(C558,F558,G558,N558,Q558)&gt;0,AVERAGE(C558,F558,G558,N558,Q558),"")</f>
        <v/>
      </c>
      <c r="X558" s="3">
        <f>IF(COUNT(B558,E558,H558,I558,P558,R558,S558)&gt;0,AVERAGE(B558,E558,H558,I558,P558,R558,S558),"")</f>
        <v/>
      </c>
      <c r="Y558" s="3" t="n"/>
      <c r="AJ558">
        <f>IFERROR(AVERAGEIF($A$4:$A$1004,AI558,$V$4:$V$1004),"")</f>
        <v/>
      </c>
      <c r="AK558">
        <f>IFERROR(AVERAGEIF($A$4:$A$1004,AI558,$W$4:$W$1004),"")</f>
        <v/>
      </c>
      <c r="AL558">
        <f>IFERROR(AVERAGEIF($A$4:$A$1004,AI558,$X$4:$X$1004),"")</f>
        <v/>
      </c>
    </row>
    <row r="559">
      <c r="A559" s="1">
        <f>IF(Data!A559&gt;0,Data!A559,"")</f>
        <v/>
      </c>
      <c r="B559" s="1">
        <f>IF(Data!B559&gt;0,Data!B559,"")</f>
        <v/>
      </c>
      <c r="C559" s="1">
        <f>IF(Data!C559&gt;0,Data!C559,"")</f>
        <v/>
      </c>
      <c r="D559" s="1">
        <f>IF(Data!D559&gt;0,Data!D559,"")</f>
        <v/>
      </c>
      <c r="E559" s="1">
        <f>IF(Data!E559&gt;0,Data!E559,"")</f>
        <v/>
      </c>
      <c r="F559" s="1">
        <f>IF(Data!F559&gt;0,Data!F559,"")</f>
        <v/>
      </c>
      <c r="G559" s="1">
        <f>IF(Data!G559&gt;0,Data!G559,"")</f>
        <v/>
      </c>
      <c r="H559" s="1">
        <f>IF(Data!H559&gt;0,Data!H559,"")</f>
        <v/>
      </c>
      <c r="I559" s="1">
        <f>IF(Data!I559&gt;0,Data!I559,"")</f>
        <v/>
      </c>
      <c r="J559" s="1">
        <f>IF(Data!J559&gt;0,Data!J559,"")</f>
        <v/>
      </c>
      <c r="K559" s="1">
        <f>IF(Data!K559&gt;0,Data!K559,"")</f>
        <v/>
      </c>
      <c r="L559" s="1">
        <f>IF(Data!L559&gt;0,Data!L559,"")</f>
        <v/>
      </c>
      <c r="M559" s="1">
        <f>IF(Data!M559&gt;0,Data!M559,"")</f>
        <v/>
      </c>
      <c r="N559" s="1">
        <f>IF(Data!N559&gt;0,Data!N559,"")</f>
        <v/>
      </c>
      <c r="O559" s="1">
        <f>IF(Data!O559&gt;0,Data!O559,"")</f>
        <v/>
      </c>
      <c r="P559" s="1">
        <f>IF(Data!P559&gt;0,Data!P559,"")</f>
        <v/>
      </c>
      <c r="Q559" s="1">
        <f>IF(Data!Q559&gt;0,Data!Q559,"")</f>
        <v/>
      </c>
      <c r="R559" s="1">
        <f>IF(Data!R559&gt;0,Data!R559,"")</f>
        <v/>
      </c>
      <c r="S559" s="1">
        <f>IF(Data!S559&gt;0,Data!S559,"")</f>
        <v/>
      </c>
      <c r="V559" s="3">
        <f>IF(COUNT(D559,J559,K559,L559,M559,O559)&gt;0,AVERAGE(D559,J559,K559,L559,M559,O559),"")</f>
        <v/>
      </c>
      <c r="W559" s="3">
        <f>IF(COUNT(C559,F559,G559,N559,Q559)&gt;0,AVERAGE(C559,F559,G559,N559,Q559),"")</f>
        <v/>
      </c>
      <c r="X559" s="3">
        <f>IF(COUNT(B559,E559,H559,I559,P559,R559,S559)&gt;0,AVERAGE(B559,E559,H559,I559,P559,R559,S559),"")</f>
        <v/>
      </c>
      <c r="Y559" s="3" t="n"/>
      <c r="AJ559">
        <f>IFERROR(AVERAGEIF($A$4:$A$1004,AI559,$V$4:$V$1004),"")</f>
        <v/>
      </c>
      <c r="AK559">
        <f>IFERROR(AVERAGEIF($A$4:$A$1004,AI559,$W$4:$W$1004),"")</f>
        <v/>
      </c>
      <c r="AL559">
        <f>IFERROR(AVERAGEIF($A$4:$A$1004,AI559,$X$4:$X$1004),"")</f>
        <v/>
      </c>
    </row>
    <row r="560">
      <c r="A560" s="1">
        <f>IF(Data!A560&gt;0,Data!A560,"")</f>
        <v/>
      </c>
      <c r="B560" s="1">
        <f>IF(Data!B560&gt;0,Data!B560,"")</f>
        <v/>
      </c>
      <c r="C560" s="1">
        <f>IF(Data!C560&gt;0,Data!C560,"")</f>
        <v/>
      </c>
      <c r="D560" s="1">
        <f>IF(Data!D560&gt;0,Data!D560,"")</f>
        <v/>
      </c>
      <c r="E560" s="1">
        <f>IF(Data!E560&gt;0,Data!E560,"")</f>
        <v/>
      </c>
      <c r="F560" s="1">
        <f>IF(Data!F560&gt;0,Data!F560,"")</f>
        <v/>
      </c>
      <c r="G560" s="1">
        <f>IF(Data!G560&gt;0,Data!G560,"")</f>
        <v/>
      </c>
      <c r="H560" s="1">
        <f>IF(Data!H560&gt;0,Data!H560,"")</f>
        <v/>
      </c>
      <c r="I560" s="1">
        <f>IF(Data!I560&gt;0,Data!I560,"")</f>
        <v/>
      </c>
      <c r="J560" s="1">
        <f>IF(Data!J560&gt;0,Data!J560,"")</f>
        <v/>
      </c>
      <c r="K560" s="1">
        <f>IF(Data!K560&gt;0,Data!K560,"")</f>
        <v/>
      </c>
      <c r="L560" s="1">
        <f>IF(Data!L560&gt;0,Data!L560,"")</f>
        <v/>
      </c>
      <c r="M560" s="1">
        <f>IF(Data!M560&gt;0,Data!M560,"")</f>
        <v/>
      </c>
      <c r="N560" s="1">
        <f>IF(Data!N560&gt;0,Data!N560,"")</f>
        <v/>
      </c>
      <c r="O560" s="1">
        <f>IF(Data!O560&gt;0,Data!O560,"")</f>
        <v/>
      </c>
      <c r="P560" s="1">
        <f>IF(Data!P560&gt;0,Data!P560,"")</f>
        <v/>
      </c>
      <c r="Q560" s="1">
        <f>IF(Data!Q560&gt;0,Data!Q560,"")</f>
        <v/>
      </c>
      <c r="R560" s="1">
        <f>IF(Data!R560&gt;0,Data!R560,"")</f>
        <v/>
      </c>
      <c r="S560" s="1">
        <f>IF(Data!S560&gt;0,Data!S560,"")</f>
        <v/>
      </c>
      <c r="V560" s="3">
        <f>IF(COUNT(D560,J560,K560,L560,M560,O560)&gt;0,AVERAGE(D560,J560,K560,L560,M560,O560),"")</f>
        <v/>
      </c>
      <c r="W560" s="3">
        <f>IF(COUNT(C560,F560,G560,N560,Q560)&gt;0,AVERAGE(C560,F560,G560,N560,Q560),"")</f>
        <v/>
      </c>
      <c r="X560" s="3">
        <f>IF(COUNT(B560,E560,H560,I560,P560,R560,S560)&gt;0,AVERAGE(B560,E560,H560,I560,P560,R560,S560),"")</f>
        <v/>
      </c>
      <c r="Y560" s="3" t="n"/>
      <c r="AJ560">
        <f>IFERROR(AVERAGEIF($A$4:$A$1004,AI560,$V$4:$V$1004),"")</f>
        <v/>
      </c>
      <c r="AK560">
        <f>IFERROR(AVERAGEIF($A$4:$A$1004,AI560,$W$4:$W$1004),"")</f>
        <v/>
      </c>
      <c r="AL560">
        <f>IFERROR(AVERAGEIF($A$4:$A$1004,AI560,$X$4:$X$1004),"")</f>
        <v/>
      </c>
    </row>
    <row r="561">
      <c r="A561" s="1">
        <f>IF(Data!A561&gt;0,Data!A561,"")</f>
        <v/>
      </c>
      <c r="B561" s="1">
        <f>IF(Data!B561&gt;0,Data!B561,"")</f>
        <v/>
      </c>
      <c r="C561" s="1">
        <f>IF(Data!C561&gt;0,Data!C561,"")</f>
        <v/>
      </c>
      <c r="D561" s="1">
        <f>IF(Data!D561&gt;0,Data!D561,"")</f>
        <v/>
      </c>
      <c r="E561" s="1">
        <f>IF(Data!E561&gt;0,Data!E561,"")</f>
        <v/>
      </c>
      <c r="F561" s="1">
        <f>IF(Data!F561&gt;0,Data!F561,"")</f>
        <v/>
      </c>
      <c r="G561" s="1">
        <f>IF(Data!G561&gt;0,Data!G561,"")</f>
        <v/>
      </c>
      <c r="H561" s="1">
        <f>IF(Data!H561&gt;0,Data!H561,"")</f>
        <v/>
      </c>
      <c r="I561" s="1">
        <f>IF(Data!I561&gt;0,Data!I561,"")</f>
        <v/>
      </c>
      <c r="J561" s="1">
        <f>IF(Data!J561&gt;0,Data!J561,"")</f>
        <v/>
      </c>
      <c r="K561" s="1">
        <f>IF(Data!K561&gt;0,Data!K561,"")</f>
        <v/>
      </c>
      <c r="L561" s="1">
        <f>IF(Data!L561&gt;0,Data!L561,"")</f>
        <v/>
      </c>
      <c r="M561" s="1">
        <f>IF(Data!M561&gt;0,Data!M561,"")</f>
        <v/>
      </c>
      <c r="N561" s="1">
        <f>IF(Data!N561&gt;0,Data!N561,"")</f>
        <v/>
      </c>
      <c r="O561" s="1">
        <f>IF(Data!O561&gt;0,Data!O561,"")</f>
        <v/>
      </c>
      <c r="P561" s="1">
        <f>IF(Data!P561&gt;0,Data!P561,"")</f>
        <v/>
      </c>
      <c r="Q561" s="1">
        <f>IF(Data!Q561&gt;0,Data!Q561,"")</f>
        <v/>
      </c>
      <c r="R561" s="1">
        <f>IF(Data!R561&gt;0,Data!R561,"")</f>
        <v/>
      </c>
      <c r="S561" s="1">
        <f>IF(Data!S561&gt;0,Data!S561,"")</f>
        <v/>
      </c>
      <c r="V561" s="3">
        <f>IF(COUNT(D561,J561,K561,L561,M561,O561)&gt;0,AVERAGE(D561,J561,K561,L561,M561,O561),"")</f>
        <v/>
      </c>
      <c r="W561" s="3">
        <f>IF(COUNT(C561,F561,G561,N561,Q561)&gt;0,AVERAGE(C561,F561,G561,N561,Q561),"")</f>
        <v/>
      </c>
      <c r="X561" s="3">
        <f>IF(COUNT(B561,E561,H561,I561,P561,R561,S561)&gt;0,AVERAGE(B561,E561,H561,I561,P561,R561,S561),"")</f>
        <v/>
      </c>
      <c r="Y561" s="3" t="n"/>
      <c r="AJ561">
        <f>IFERROR(AVERAGEIF($A$4:$A$1004,AI561,$V$4:$V$1004),"")</f>
        <v/>
      </c>
      <c r="AK561">
        <f>IFERROR(AVERAGEIF($A$4:$A$1004,AI561,$W$4:$W$1004),"")</f>
        <v/>
      </c>
      <c r="AL561">
        <f>IFERROR(AVERAGEIF($A$4:$A$1004,AI561,$X$4:$X$1004),"")</f>
        <v/>
      </c>
    </row>
    <row r="562">
      <c r="A562" s="1">
        <f>IF(Data!A562&gt;0,Data!A562,"")</f>
        <v/>
      </c>
      <c r="B562" s="1">
        <f>IF(Data!B562&gt;0,Data!B562,"")</f>
        <v/>
      </c>
      <c r="C562" s="1">
        <f>IF(Data!C562&gt;0,Data!C562,"")</f>
        <v/>
      </c>
      <c r="D562" s="1">
        <f>IF(Data!D562&gt;0,Data!D562,"")</f>
        <v/>
      </c>
      <c r="E562" s="1">
        <f>IF(Data!E562&gt;0,Data!E562,"")</f>
        <v/>
      </c>
      <c r="F562" s="1">
        <f>IF(Data!F562&gt;0,Data!F562,"")</f>
        <v/>
      </c>
      <c r="G562" s="1">
        <f>IF(Data!G562&gt;0,Data!G562,"")</f>
        <v/>
      </c>
      <c r="H562" s="1">
        <f>IF(Data!H562&gt;0,Data!H562,"")</f>
        <v/>
      </c>
      <c r="I562" s="1">
        <f>IF(Data!I562&gt;0,Data!I562,"")</f>
        <v/>
      </c>
      <c r="J562" s="1">
        <f>IF(Data!J562&gt;0,Data!J562,"")</f>
        <v/>
      </c>
      <c r="K562" s="1">
        <f>IF(Data!K562&gt;0,Data!K562,"")</f>
        <v/>
      </c>
      <c r="L562" s="1">
        <f>IF(Data!L562&gt;0,Data!L562,"")</f>
        <v/>
      </c>
      <c r="M562" s="1">
        <f>IF(Data!M562&gt;0,Data!M562,"")</f>
        <v/>
      </c>
      <c r="N562" s="1">
        <f>IF(Data!N562&gt;0,Data!N562,"")</f>
        <v/>
      </c>
      <c r="O562" s="1">
        <f>IF(Data!O562&gt;0,Data!O562,"")</f>
        <v/>
      </c>
      <c r="P562" s="1">
        <f>IF(Data!P562&gt;0,Data!P562,"")</f>
        <v/>
      </c>
      <c r="Q562" s="1">
        <f>IF(Data!Q562&gt;0,Data!Q562,"")</f>
        <v/>
      </c>
      <c r="R562" s="1">
        <f>IF(Data!R562&gt;0,Data!R562,"")</f>
        <v/>
      </c>
      <c r="S562" s="1">
        <f>IF(Data!S562&gt;0,Data!S562,"")</f>
        <v/>
      </c>
      <c r="V562" s="3">
        <f>IF(COUNT(D562,J562,K562,L562,M562,O562)&gt;0,AVERAGE(D562,J562,K562,L562,M562,O562),"")</f>
        <v/>
      </c>
      <c r="W562" s="3">
        <f>IF(COUNT(C562,F562,G562,N562,Q562)&gt;0,AVERAGE(C562,F562,G562,N562,Q562),"")</f>
        <v/>
      </c>
      <c r="X562" s="3">
        <f>IF(COUNT(B562,E562,H562,I562,P562,R562,S562)&gt;0,AVERAGE(B562,E562,H562,I562,P562,R562,S562),"")</f>
        <v/>
      </c>
      <c r="Y562" s="3" t="n"/>
      <c r="AJ562">
        <f>IFERROR(AVERAGEIF($A$4:$A$1004,AI562,$V$4:$V$1004),"")</f>
        <v/>
      </c>
      <c r="AK562">
        <f>IFERROR(AVERAGEIF($A$4:$A$1004,AI562,$W$4:$W$1004),"")</f>
        <v/>
      </c>
      <c r="AL562">
        <f>IFERROR(AVERAGEIF($A$4:$A$1004,AI562,$X$4:$X$1004),"")</f>
        <v/>
      </c>
    </row>
    <row r="563">
      <c r="A563" s="1">
        <f>IF(Data!A563&gt;0,Data!A563,"")</f>
        <v/>
      </c>
      <c r="B563" s="1">
        <f>IF(Data!B563&gt;0,Data!B563,"")</f>
        <v/>
      </c>
      <c r="C563" s="1">
        <f>IF(Data!C563&gt;0,Data!C563,"")</f>
        <v/>
      </c>
      <c r="D563" s="1">
        <f>IF(Data!D563&gt;0,Data!D563,"")</f>
        <v/>
      </c>
      <c r="E563" s="1">
        <f>IF(Data!E563&gt;0,Data!E563,"")</f>
        <v/>
      </c>
      <c r="F563" s="1">
        <f>IF(Data!F563&gt;0,Data!F563,"")</f>
        <v/>
      </c>
      <c r="G563" s="1">
        <f>IF(Data!G563&gt;0,Data!G563,"")</f>
        <v/>
      </c>
      <c r="H563" s="1">
        <f>IF(Data!H563&gt;0,Data!H563,"")</f>
        <v/>
      </c>
      <c r="I563" s="1">
        <f>IF(Data!I563&gt;0,Data!I563,"")</f>
        <v/>
      </c>
      <c r="J563" s="1">
        <f>IF(Data!J563&gt;0,Data!J563,"")</f>
        <v/>
      </c>
      <c r="K563" s="1">
        <f>IF(Data!K563&gt;0,Data!K563,"")</f>
        <v/>
      </c>
      <c r="L563" s="1">
        <f>IF(Data!L563&gt;0,Data!L563,"")</f>
        <v/>
      </c>
      <c r="M563" s="1">
        <f>IF(Data!M563&gt;0,Data!M563,"")</f>
        <v/>
      </c>
      <c r="N563" s="1">
        <f>IF(Data!N563&gt;0,Data!N563,"")</f>
        <v/>
      </c>
      <c r="O563" s="1">
        <f>IF(Data!O563&gt;0,Data!O563,"")</f>
        <v/>
      </c>
      <c r="P563" s="1">
        <f>IF(Data!P563&gt;0,Data!P563,"")</f>
        <v/>
      </c>
      <c r="Q563" s="1">
        <f>IF(Data!Q563&gt;0,Data!Q563,"")</f>
        <v/>
      </c>
      <c r="R563" s="1">
        <f>IF(Data!R563&gt;0,Data!R563,"")</f>
        <v/>
      </c>
      <c r="S563" s="1">
        <f>IF(Data!S563&gt;0,Data!S563,"")</f>
        <v/>
      </c>
      <c r="V563" s="3">
        <f>IF(COUNT(D563,J563,K563,L563,M563,O563)&gt;0,AVERAGE(D563,J563,K563,L563,M563,O563),"")</f>
        <v/>
      </c>
      <c r="W563" s="3">
        <f>IF(COUNT(C563,F563,G563,N563,Q563)&gt;0,AVERAGE(C563,F563,G563,N563,Q563),"")</f>
        <v/>
      </c>
      <c r="X563" s="3">
        <f>IF(COUNT(B563,E563,H563,I563,P563,R563,S563)&gt;0,AVERAGE(B563,E563,H563,I563,P563,R563,S563),"")</f>
        <v/>
      </c>
      <c r="Y563" s="3" t="n"/>
      <c r="AJ563">
        <f>IFERROR(AVERAGEIF($A$4:$A$1004,AI563,$V$4:$V$1004),"")</f>
        <v/>
      </c>
      <c r="AK563">
        <f>IFERROR(AVERAGEIF($A$4:$A$1004,AI563,$W$4:$W$1004),"")</f>
        <v/>
      </c>
      <c r="AL563">
        <f>IFERROR(AVERAGEIF($A$4:$A$1004,AI563,$X$4:$X$1004),"")</f>
        <v/>
      </c>
    </row>
    <row r="564">
      <c r="A564" s="1">
        <f>IF(Data!A564&gt;0,Data!A564,"")</f>
        <v/>
      </c>
      <c r="B564" s="1">
        <f>IF(Data!B564&gt;0,Data!B564,"")</f>
        <v/>
      </c>
      <c r="C564" s="1">
        <f>IF(Data!C564&gt;0,Data!C564,"")</f>
        <v/>
      </c>
      <c r="D564" s="1">
        <f>IF(Data!D564&gt;0,Data!D564,"")</f>
        <v/>
      </c>
      <c r="E564" s="1">
        <f>IF(Data!E564&gt;0,Data!E564,"")</f>
        <v/>
      </c>
      <c r="F564" s="1">
        <f>IF(Data!F564&gt;0,Data!F564,"")</f>
        <v/>
      </c>
      <c r="G564" s="1">
        <f>IF(Data!G564&gt;0,Data!G564,"")</f>
        <v/>
      </c>
      <c r="H564" s="1">
        <f>IF(Data!H564&gt;0,Data!H564,"")</f>
        <v/>
      </c>
      <c r="I564" s="1">
        <f>IF(Data!I564&gt;0,Data!I564,"")</f>
        <v/>
      </c>
      <c r="J564" s="1">
        <f>IF(Data!J564&gt;0,Data!J564,"")</f>
        <v/>
      </c>
      <c r="K564" s="1">
        <f>IF(Data!K564&gt;0,Data!K564,"")</f>
        <v/>
      </c>
      <c r="L564" s="1">
        <f>IF(Data!L564&gt;0,Data!L564,"")</f>
        <v/>
      </c>
      <c r="M564" s="1">
        <f>IF(Data!M564&gt;0,Data!M564,"")</f>
        <v/>
      </c>
      <c r="N564" s="1">
        <f>IF(Data!N564&gt;0,Data!N564,"")</f>
        <v/>
      </c>
      <c r="O564" s="1">
        <f>IF(Data!O564&gt;0,Data!O564,"")</f>
        <v/>
      </c>
      <c r="P564" s="1">
        <f>IF(Data!P564&gt;0,Data!P564,"")</f>
        <v/>
      </c>
      <c r="Q564" s="1">
        <f>IF(Data!Q564&gt;0,Data!Q564,"")</f>
        <v/>
      </c>
      <c r="R564" s="1">
        <f>IF(Data!R564&gt;0,Data!R564,"")</f>
        <v/>
      </c>
      <c r="S564" s="1">
        <f>IF(Data!S564&gt;0,Data!S564,"")</f>
        <v/>
      </c>
      <c r="V564" s="3">
        <f>IF(COUNT(D564,J564,K564,L564,M564,O564)&gt;0,AVERAGE(D564,J564,K564,L564,M564,O564),"")</f>
        <v/>
      </c>
      <c r="W564" s="3">
        <f>IF(COUNT(C564,F564,G564,N564,Q564)&gt;0,AVERAGE(C564,F564,G564,N564,Q564),"")</f>
        <v/>
      </c>
      <c r="X564" s="3">
        <f>IF(COUNT(B564,E564,H564,I564,P564,R564,S564)&gt;0,AVERAGE(B564,E564,H564,I564,P564,R564,S564),"")</f>
        <v/>
      </c>
      <c r="Y564" s="3" t="n"/>
      <c r="AJ564">
        <f>IFERROR(AVERAGEIF($A$4:$A$1004,AI564,$V$4:$V$1004),"")</f>
        <v/>
      </c>
      <c r="AK564">
        <f>IFERROR(AVERAGEIF($A$4:$A$1004,AI564,$W$4:$W$1004),"")</f>
        <v/>
      </c>
      <c r="AL564">
        <f>IFERROR(AVERAGEIF($A$4:$A$1004,AI564,$X$4:$X$1004),"")</f>
        <v/>
      </c>
    </row>
    <row r="565">
      <c r="A565" s="1">
        <f>IF(Data!A565&gt;0,Data!A565,"")</f>
        <v/>
      </c>
      <c r="B565" s="1">
        <f>IF(Data!B565&gt;0,Data!B565,"")</f>
        <v/>
      </c>
      <c r="C565" s="1">
        <f>IF(Data!C565&gt;0,Data!C565,"")</f>
        <v/>
      </c>
      <c r="D565" s="1">
        <f>IF(Data!D565&gt;0,Data!D565,"")</f>
        <v/>
      </c>
      <c r="E565" s="1">
        <f>IF(Data!E565&gt;0,Data!E565,"")</f>
        <v/>
      </c>
      <c r="F565" s="1">
        <f>IF(Data!F565&gt;0,Data!F565,"")</f>
        <v/>
      </c>
      <c r="G565" s="1">
        <f>IF(Data!G565&gt;0,Data!G565,"")</f>
        <v/>
      </c>
      <c r="H565" s="1">
        <f>IF(Data!H565&gt;0,Data!H565,"")</f>
        <v/>
      </c>
      <c r="I565" s="1">
        <f>IF(Data!I565&gt;0,Data!I565,"")</f>
        <v/>
      </c>
      <c r="J565" s="1">
        <f>IF(Data!J565&gt;0,Data!J565,"")</f>
        <v/>
      </c>
      <c r="K565" s="1">
        <f>IF(Data!K565&gt;0,Data!K565,"")</f>
        <v/>
      </c>
      <c r="L565" s="1">
        <f>IF(Data!L565&gt;0,Data!L565,"")</f>
        <v/>
      </c>
      <c r="M565" s="1">
        <f>IF(Data!M565&gt;0,Data!M565,"")</f>
        <v/>
      </c>
      <c r="N565" s="1">
        <f>IF(Data!N565&gt;0,Data!N565,"")</f>
        <v/>
      </c>
      <c r="O565" s="1">
        <f>IF(Data!O565&gt;0,Data!O565,"")</f>
        <v/>
      </c>
      <c r="P565" s="1">
        <f>IF(Data!P565&gt;0,Data!P565,"")</f>
        <v/>
      </c>
      <c r="Q565" s="1">
        <f>IF(Data!Q565&gt;0,Data!Q565,"")</f>
        <v/>
      </c>
      <c r="R565" s="1">
        <f>IF(Data!R565&gt;0,Data!R565,"")</f>
        <v/>
      </c>
      <c r="S565" s="1">
        <f>IF(Data!S565&gt;0,Data!S565,"")</f>
        <v/>
      </c>
      <c r="V565" s="3">
        <f>IF(COUNT(D565,J565,K565,L565,M565,O565)&gt;0,AVERAGE(D565,J565,K565,L565,M565,O565),"")</f>
        <v/>
      </c>
      <c r="W565" s="3">
        <f>IF(COUNT(C565,F565,G565,N565,Q565)&gt;0,AVERAGE(C565,F565,G565,N565,Q565),"")</f>
        <v/>
      </c>
      <c r="X565" s="3">
        <f>IF(COUNT(B565,E565,H565,I565,P565,R565,S565)&gt;0,AVERAGE(B565,E565,H565,I565,P565,R565,S565),"")</f>
        <v/>
      </c>
      <c r="Y565" s="3" t="n"/>
      <c r="AJ565">
        <f>IFERROR(AVERAGEIF($A$4:$A$1004,AI565,$V$4:$V$1004),"")</f>
        <v/>
      </c>
      <c r="AK565">
        <f>IFERROR(AVERAGEIF($A$4:$A$1004,AI565,$W$4:$W$1004),"")</f>
        <v/>
      </c>
      <c r="AL565">
        <f>IFERROR(AVERAGEIF($A$4:$A$1004,AI565,$X$4:$X$1004),"")</f>
        <v/>
      </c>
    </row>
    <row r="566">
      <c r="A566" s="1">
        <f>IF(Data!A566&gt;0,Data!A566,"")</f>
        <v/>
      </c>
      <c r="B566" s="1">
        <f>IF(Data!B566&gt;0,Data!B566,"")</f>
        <v/>
      </c>
      <c r="C566" s="1">
        <f>IF(Data!C566&gt;0,Data!C566,"")</f>
        <v/>
      </c>
      <c r="D566" s="1">
        <f>IF(Data!D566&gt;0,Data!D566,"")</f>
        <v/>
      </c>
      <c r="E566" s="1">
        <f>IF(Data!E566&gt;0,Data!E566,"")</f>
        <v/>
      </c>
      <c r="F566" s="1">
        <f>IF(Data!F566&gt;0,Data!F566,"")</f>
        <v/>
      </c>
      <c r="G566" s="1">
        <f>IF(Data!G566&gt;0,Data!G566,"")</f>
        <v/>
      </c>
      <c r="H566" s="1">
        <f>IF(Data!H566&gt;0,Data!H566,"")</f>
        <v/>
      </c>
      <c r="I566" s="1">
        <f>IF(Data!I566&gt;0,Data!I566,"")</f>
        <v/>
      </c>
      <c r="J566" s="1">
        <f>IF(Data!J566&gt;0,Data!J566,"")</f>
        <v/>
      </c>
      <c r="K566" s="1">
        <f>IF(Data!K566&gt;0,Data!K566,"")</f>
        <v/>
      </c>
      <c r="L566" s="1">
        <f>IF(Data!L566&gt;0,Data!L566,"")</f>
        <v/>
      </c>
      <c r="M566" s="1">
        <f>IF(Data!M566&gt;0,Data!M566,"")</f>
        <v/>
      </c>
      <c r="N566" s="1">
        <f>IF(Data!N566&gt;0,Data!N566,"")</f>
        <v/>
      </c>
      <c r="O566" s="1">
        <f>IF(Data!O566&gt;0,Data!O566,"")</f>
        <v/>
      </c>
      <c r="P566" s="1">
        <f>IF(Data!P566&gt;0,Data!P566,"")</f>
        <v/>
      </c>
      <c r="Q566" s="1">
        <f>IF(Data!Q566&gt;0,Data!Q566,"")</f>
        <v/>
      </c>
      <c r="R566" s="1">
        <f>IF(Data!R566&gt;0,Data!R566,"")</f>
        <v/>
      </c>
      <c r="S566" s="1">
        <f>IF(Data!S566&gt;0,Data!S566,"")</f>
        <v/>
      </c>
      <c r="V566" s="3">
        <f>IF(COUNT(D566,J566,K566,L566,M566,O566)&gt;0,AVERAGE(D566,J566,K566,L566,M566,O566),"")</f>
        <v/>
      </c>
      <c r="W566" s="3">
        <f>IF(COUNT(C566,F566,G566,N566,Q566)&gt;0,AVERAGE(C566,F566,G566,N566,Q566),"")</f>
        <v/>
      </c>
      <c r="X566" s="3">
        <f>IF(COUNT(B566,E566,H566,I566,P566,R566,S566)&gt;0,AVERAGE(B566,E566,H566,I566,P566,R566,S566),"")</f>
        <v/>
      </c>
      <c r="Y566" s="3" t="n"/>
      <c r="AJ566">
        <f>IFERROR(AVERAGEIF($A$4:$A$1004,AI566,$V$4:$V$1004),"")</f>
        <v/>
      </c>
      <c r="AK566">
        <f>IFERROR(AVERAGEIF($A$4:$A$1004,AI566,$W$4:$W$1004),"")</f>
        <v/>
      </c>
      <c r="AL566">
        <f>IFERROR(AVERAGEIF($A$4:$A$1004,AI566,$X$4:$X$1004),"")</f>
        <v/>
      </c>
    </row>
    <row r="567">
      <c r="A567" s="1">
        <f>IF(Data!A567&gt;0,Data!A567,"")</f>
        <v/>
      </c>
      <c r="B567" s="1">
        <f>IF(Data!B567&gt;0,Data!B567,"")</f>
        <v/>
      </c>
      <c r="C567" s="1">
        <f>IF(Data!C567&gt;0,Data!C567,"")</f>
        <v/>
      </c>
      <c r="D567" s="1">
        <f>IF(Data!D567&gt;0,Data!D567,"")</f>
        <v/>
      </c>
      <c r="E567" s="1">
        <f>IF(Data!E567&gt;0,Data!E567,"")</f>
        <v/>
      </c>
      <c r="F567" s="1">
        <f>IF(Data!F567&gt;0,Data!F567,"")</f>
        <v/>
      </c>
      <c r="G567" s="1">
        <f>IF(Data!G567&gt;0,Data!G567,"")</f>
        <v/>
      </c>
      <c r="H567" s="1">
        <f>IF(Data!H567&gt;0,Data!H567,"")</f>
        <v/>
      </c>
      <c r="I567" s="1">
        <f>IF(Data!I567&gt;0,Data!I567,"")</f>
        <v/>
      </c>
      <c r="J567" s="1">
        <f>IF(Data!J567&gt;0,Data!J567,"")</f>
        <v/>
      </c>
      <c r="K567" s="1">
        <f>IF(Data!K567&gt;0,Data!K567,"")</f>
        <v/>
      </c>
      <c r="L567" s="1">
        <f>IF(Data!L567&gt;0,Data!L567,"")</f>
        <v/>
      </c>
      <c r="M567" s="1">
        <f>IF(Data!M567&gt;0,Data!M567,"")</f>
        <v/>
      </c>
      <c r="N567" s="1">
        <f>IF(Data!N567&gt;0,Data!N567,"")</f>
        <v/>
      </c>
      <c r="O567" s="1">
        <f>IF(Data!O567&gt;0,Data!O567,"")</f>
        <v/>
      </c>
      <c r="P567" s="1">
        <f>IF(Data!P567&gt;0,Data!P567,"")</f>
        <v/>
      </c>
      <c r="Q567" s="1">
        <f>IF(Data!Q567&gt;0,Data!Q567,"")</f>
        <v/>
      </c>
      <c r="R567" s="1">
        <f>IF(Data!R567&gt;0,Data!R567,"")</f>
        <v/>
      </c>
      <c r="S567" s="1">
        <f>IF(Data!S567&gt;0,Data!S567,"")</f>
        <v/>
      </c>
      <c r="V567" s="3">
        <f>IF(COUNT(D567,J567,K567,L567,M567,O567)&gt;0,AVERAGE(D567,J567,K567,L567,M567,O567),"")</f>
        <v/>
      </c>
      <c r="W567" s="3">
        <f>IF(COUNT(C567,F567,G567,N567,Q567)&gt;0,AVERAGE(C567,F567,G567,N567,Q567),"")</f>
        <v/>
      </c>
      <c r="X567" s="3">
        <f>IF(COUNT(B567,E567,H567,I567,P567,R567,S567)&gt;0,AVERAGE(B567,E567,H567,I567,P567,R567,S567),"")</f>
        <v/>
      </c>
      <c r="Y567" s="3" t="n"/>
      <c r="AJ567">
        <f>IFERROR(AVERAGEIF($A$4:$A$1004,AI567,$V$4:$V$1004),"")</f>
        <v/>
      </c>
      <c r="AK567">
        <f>IFERROR(AVERAGEIF($A$4:$A$1004,AI567,$W$4:$W$1004),"")</f>
        <v/>
      </c>
      <c r="AL567">
        <f>IFERROR(AVERAGEIF($A$4:$A$1004,AI567,$X$4:$X$1004),"")</f>
        <v/>
      </c>
    </row>
    <row r="568">
      <c r="A568" s="1">
        <f>IF(Data!A568&gt;0,Data!A568,"")</f>
        <v/>
      </c>
      <c r="B568" s="1">
        <f>IF(Data!B568&gt;0,Data!B568,"")</f>
        <v/>
      </c>
      <c r="C568" s="1">
        <f>IF(Data!C568&gt;0,Data!C568,"")</f>
        <v/>
      </c>
      <c r="D568" s="1">
        <f>IF(Data!D568&gt;0,Data!D568,"")</f>
        <v/>
      </c>
      <c r="E568" s="1">
        <f>IF(Data!E568&gt;0,Data!E568,"")</f>
        <v/>
      </c>
      <c r="F568" s="1">
        <f>IF(Data!F568&gt;0,Data!F568,"")</f>
        <v/>
      </c>
      <c r="G568" s="1">
        <f>IF(Data!G568&gt;0,Data!G568,"")</f>
        <v/>
      </c>
      <c r="H568" s="1">
        <f>IF(Data!H568&gt;0,Data!H568,"")</f>
        <v/>
      </c>
      <c r="I568" s="1">
        <f>IF(Data!I568&gt;0,Data!I568,"")</f>
        <v/>
      </c>
      <c r="J568" s="1">
        <f>IF(Data!J568&gt;0,Data!J568,"")</f>
        <v/>
      </c>
      <c r="K568" s="1">
        <f>IF(Data!K568&gt;0,Data!K568,"")</f>
        <v/>
      </c>
      <c r="L568" s="1">
        <f>IF(Data!L568&gt;0,Data!L568,"")</f>
        <v/>
      </c>
      <c r="M568" s="1">
        <f>IF(Data!M568&gt;0,Data!M568,"")</f>
        <v/>
      </c>
      <c r="N568" s="1">
        <f>IF(Data!N568&gt;0,Data!N568,"")</f>
        <v/>
      </c>
      <c r="O568" s="1">
        <f>IF(Data!O568&gt;0,Data!O568,"")</f>
        <v/>
      </c>
      <c r="P568" s="1">
        <f>IF(Data!P568&gt;0,Data!P568,"")</f>
        <v/>
      </c>
      <c r="Q568" s="1">
        <f>IF(Data!Q568&gt;0,Data!Q568,"")</f>
        <v/>
      </c>
      <c r="R568" s="1">
        <f>IF(Data!R568&gt;0,Data!R568,"")</f>
        <v/>
      </c>
      <c r="S568" s="1">
        <f>IF(Data!S568&gt;0,Data!S568,"")</f>
        <v/>
      </c>
      <c r="V568" s="3">
        <f>IF(COUNT(D568,J568,K568,L568,M568,O568)&gt;0,AVERAGE(D568,J568,K568,L568,M568,O568),"")</f>
        <v/>
      </c>
      <c r="W568" s="3">
        <f>IF(COUNT(C568,F568,G568,N568,Q568)&gt;0,AVERAGE(C568,F568,G568,N568,Q568),"")</f>
        <v/>
      </c>
      <c r="X568" s="3">
        <f>IF(COUNT(B568,E568,H568,I568,P568,R568,S568)&gt;0,AVERAGE(B568,E568,H568,I568,P568,R568,S568),"")</f>
        <v/>
      </c>
      <c r="Y568" s="3" t="n"/>
      <c r="AJ568">
        <f>IFERROR(AVERAGEIF($A$4:$A$1004,AI568,$V$4:$V$1004),"")</f>
        <v/>
      </c>
      <c r="AK568">
        <f>IFERROR(AVERAGEIF($A$4:$A$1004,AI568,$W$4:$W$1004),"")</f>
        <v/>
      </c>
      <c r="AL568">
        <f>IFERROR(AVERAGEIF($A$4:$A$1004,AI568,$X$4:$X$1004),"")</f>
        <v/>
      </c>
    </row>
    <row r="569">
      <c r="A569" s="1">
        <f>IF(Data!A569&gt;0,Data!A569,"")</f>
        <v/>
      </c>
      <c r="B569" s="1">
        <f>IF(Data!B569&gt;0,Data!B569,"")</f>
        <v/>
      </c>
      <c r="C569" s="1">
        <f>IF(Data!C569&gt;0,Data!C569,"")</f>
        <v/>
      </c>
      <c r="D569" s="1">
        <f>IF(Data!D569&gt;0,Data!D569,"")</f>
        <v/>
      </c>
      <c r="E569" s="1">
        <f>IF(Data!E569&gt;0,Data!E569,"")</f>
        <v/>
      </c>
      <c r="F569" s="1">
        <f>IF(Data!F569&gt;0,Data!F569,"")</f>
        <v/>
      </c>
      <c r="G569" s="1">
        <f>IF(Data!G569&gt;0,Data!G569,"")</f>
        <v/>
      </c>
      <c r="H569" s="1">
        <f>IF(Data!H569&gt;0,Data!H569,"")</f>
        <v/>
      </c>
      <c r="I569" s="1">
        <f>IF(Data!I569&gt;0,Data!I569,"")</f>
        <v/>
      </c>
      <c r="J569" s="1">
        <f>IF(Data!J569&gt;0,Data!J569,"")</f>
        <v/>
      </c>
      <c r="K569" s="1">
        <f>IF(Data!K569&gt;0,Data!K569,"")</f>
        <v/>
      </c>
      <c r="L569" s="1">
        <f>IF(Data!L569&gt;0,Data!L569,"")</f>
        <v/>
      </c>
      <c r="M569" s="1">
        <f>IF(Data!M569&gt;0,Data!M569,"")</f>
        <v/>
      </c>
      <c r="N569" s="1">
        <f>IF(Data!N569&gt;0,Data!N569,"")</f>
        <v/>
      </c>
      <c r="O569" s="1">
        <f>IF(Data!O569&gt;0,Data!O569,"")</f>
        <v/>
      </c>
      <c r="P569" s="1">
        <f>IF(Data!P569&gt;0,Data!P569,"")</f>
        <v/>
      </c>
      <c r="Q569" s="1">
        <f>IF(Data!Q569&gt;0,Data!Q569,"")</f>
        <v/>
      </c>
      <c r="R569" s="1">
        <f>IF(Data!R569&gt;0,Data!R569,"")</f>
        <v/>
      </c>
      <c r="S569" s="1">
        <f>IF(Data!S569&gt;0,Data!S569,"")</f>
        <v/>
      </c>
      <c r="V569" s="3">
        <f>IF(COUNT(D569,J569,K569,L569,M569,O569)&gt;0,AVERAGE(D569,J569,K569,L569,M569,O569),"")</f>
        <v/>
      </c>
      <c r="W569" s="3">
        <f>IF(COUNT(C569,F569,G569,N569,Q569)&gt;0,AVERAGE(C569,F569,G569,N569,Q569),"")</f>
        <v/>
      </c>
      <c r="X569" s="3">
        <f>IF(COUNT(B569,E569,H569,I569,P569,R569,S569)&gt;0,AVERAGE(B569,E569,H569,I569,P569,R569,S569),"")</f>
        <v/>
      </c>
      <c r="Y569" s="3" t="n"/>
      <c r="AJ569">
        <f>IFERROR(AVERAGEIF($A$4:$A$1004,AI569,$V$4:$V$1004),"")</f>
        <v/>
      </c>
      <c r="AK569">
        <f>IFERROR(AVERAGEIF($A$4:$A$1004,AI569,$W$4:$W$1004),"")</f>
        <v/>
      </c>
      <c r="AL569">
        <f>IFERROR(AVERAGEIF($A$4:$A$1004,AI569,$X$4:$X$1004),"")</f>
        <v/>
      </c>
    </row>
    <row r="570">
      <c r="A570" s="1">
        <f>IF(Data!A570&gt;0,Data!A570,"")</f>
        <v/>
      </c>
      <c r="B570" s="1">
        <f>IF(Data!B570&gt;0,Data!B570,"")</f>
        <v/>
      </c>
      <c r="C570" s="1">
        <f>IF(Data!C570&gt;0,Data!C570,"")</f>
        <v/>
      </c>
      <c r="D570" s="1">
        <f>IF(Data!D570&gt;0,Data!D570,"")</f>
        <v/>
      </c>
      <c r="E570" s="1">
        <f>IF(Data!E570&gt;0,Data!E570,"")</f>
        <v/>
      </c>
      <c r="F570" s="1">
        <f>IF(Data!F570&gt;0,Data!F570,"")</f>
        <v/>
      </c>
      <c r="G570" s="1">
        <f>IF(Data!G570&gt;0,Data!G570,"")</f>
        <v/>
      </c>
      <c r="H570" s="1">
        <f>IF(Data!H570&gt;0,Data!H570,"")</f>
        <v/>
      </c>
      <c r="I570" s="1">
        <f>IF(Data!I570&gt;0,Data!I570,"")</f>
        <v/>
      </c>
      <c r="J570" s="1">
        <f>IF(Data!J570&gt;0,Data!J570,"")</f>
        <v/>
      </c>
      <c r="K570" s="1">
        <f>IF(Data!K570&gt;0,Data!K570,"")</f>
        <v/>
      </c>
      <c r="L570" s="1">
        <f>IF(Data!L570&gt;0,Data!L570,"")</f>
        <v/>
      </c>
      <c r="M570" s="1">
        <f>IF(Data!M570&gt;0,Data!M570,"")</f>
        <v/>
      </c>
      <c r="N570" s="1">
        <f>IF(Data!N570&gt;0,Data!N570,"")</f>
        <v/>
      </c>
      <c r="O570" s="1">
        <f>IF(Data!O570&gt;0,Data!O570,"")</f>
        <v/>
      </c>
      <c r="P570" s="1">
        <f>IF(Data!P570&gt;0,Data!P570,"")</f>
        <v/>
      </c>
      <c r="Q570" s="1">
        <f>IF(Data!Q570&gt;0,Data!Q570,"")</f>
        <v/>
      </c>
      <c r="R570" s="1">
        <f>IF(Data!R570&gt;0,Data!R570,"")</f>
        <v/>
      </c>
      <c r="S570" s="1">
        <f>IF(Data!S570&gt;0,Data!S570,"")</f>
        <v/>
      </c>
      <c r="V570" s="3">
        <f>IF(COUNT(D570,J570,K570,L570,M570,O570)&gt;0,AVERAGE(D570,J570,K570,L570,M570,O570),"")</f>
        <v/>
      </c>
      <c r="W570" s="3">
        <f>IF(COUNT(C570,F570,G570,N570,Q570)&gt;0,AVERAGE(C570,F570,G570,N570,Q570),"")</f>
        <v/>
      </c>
      <c r="X570" s="3">
        <f>IF(COUNT(B570,E570,H570,I570,P570,R570,S570)&gt;0,AVERAGE(B570,E570,H570,I570,P570,R570,S570),"")</f>
        <v/>
      </c>
      <c r="Y570" s="3" t="n"/>
      <c r="AJ570">
        <f>IFERROR(AVERAGEIF($A$4:$A$1004,AI570,$V$4:$V$1004),"")</f>
        <v/>
      </c>
      <c r="AK570">
        <f>IFERROR(AVERAGEIF($A$4:$A$1004,AI570,$W$4:$W$1004),"")</f>
        <v/>
      </c>
      <c r="AL570">
        <f>IFERROR(AVERAGEIF($A$4:$A$1004,AI570,$X$4:$X$1004),"")</f>
        <v/>
      </c>
    </row>
    <row r="571">
      <c r="A571" s="1">
        <f>IF(Data!A571&gt;0,Data!A571,"")</f>
        <v/>
      </c>
      <c r="B571" s="1">
        <f>IF(Data!B571&gt;0,Data!B571,"")</f>
        <v/>
      </c>
      <c r="C571" s="1">
        <f>IF(Data!C571&gt;0,Data!C571,"")</f>
        <v/>
      </c>
      <c r="D571" s="1">
        <f>IF(Data!D571&gt;0,Data!D571,"")</f>
        <v/>
      </c>
      <c r="E571" s="1">
        <f>IF(Data!E571&gt;0,Data!E571,"")</f>
        <v/>
      </c>
      <c r="F571" s="1">
        <f>IF(Data!F571&gt;0,Data!F571,"")</f>
        <v/>
      </c>
      <c r="G571" s="1">
        <f>IF(Data!G571&gt;0,Data!G571,"")</f>
        <v/>
      </c>
      <c r="H571" s="1">
        <f>IF(Data!H571&gt;0,Data!H571,"")</f>
        <v/>
      </c>
      <c r="I571" s="1">
        <f>IF(Data!I571&gt;0,Data!I571,"")</f>
        <v/>
      </c>
      <c r="J571" s="1">
        <f>IF(Data!J571&gt;0,Data!J571,"")</f>
        <v/>
      </c>
      <c r="K571" s="1">
        <f>IF(Data!K571&gt;0,Data!K571,"")</f>
        <v/>
      </c>
      <c r="L571" s="1">
        <f>IF(Data!L571&gt;0,Data!L571,"")</f>
        <v/>
      </c>
      <c r="M571" s="1">
        <f>IF(Data!M571&gt;0,Data!M571,"")</f>
        <v/>
      </c>
      <c r="N571" s="1">
        <f>IF(Data!N571&gt;0,Data!N571,"")</f>
        <v/>
      </c>
      <c r="O571" s="1">
        <f>IF(Data!O571&gt;0,Data!O571,"")</f>
        <v/>
      </c>
      <c r="P571" s="1">
        <f>IF(Data!P571&gt;0,Data!P571,"")</f>
        <v/>
      </c>
      <c r="Q571" s="1">
        <f>IF(Data!Q571&gt;0,Data!Q571,"")</f>
        <v/>
      </c>
      <c r="R571" s="1">
        <f>IF(Data!R571&gt;0,Data!R571,"")</f>
        <v/>
      </c>
      <c r="S571" s="1">
        <f>IF(Data!S571&gt;0,Data!S571,"")</f>
        <v/>
      </c>
      <c r="V571" s="3">
        <f>IF(COUNT(D571,J571,K571,L571,M571,O571)&gt;0,AVERAGE(D571,J571,K571,L571,M571,O571),"")</f>
        <v/>
      </c>
      <c r="W571" s="3">
        <f>IF(COUNT(C571,F571,G571,N571,Q571)&gt;0,AVERAGE(C571,F571,G571,N571,Q571),"")</f>
        <v/>
      </c>
      <c r="X571" s="3">
        <f>IF(COUNT(B571,E571,H571,I571,P571,R571,S571)&gt;0,AVERAGE(B571,E571,H571,I571,P571,R571,S571),"")</f>
        <v/>
      </c>
      <c r="Y571" s="3" t="n"/>
      <c r="AJ571">
        <f>IFERROR(AVERAGEIF($A$4:$A$1004,AI571,$V$4:$V$1004),"")</f>
        <v/>
      </c>
      <c r="AK571">
        <f>IFERROR(AVERAGEIF($A$4:$A$1004,AI571,$W$4:$W$1004),"")</f>
        <v/>
      </c>
      <c r="AL571">
        <f>IFERROR(AVERAGEIF($A$4:$A$1004,AI571,$X$4:$X$1004),"")</f>
        <v/>
      </c>
    </row>
    <row r="572">
      <c r="A572" s="1">
        <f>IF(Data!A572&gt;0,Data!A572,"")</f>
        <v/>
      </c>
      <c r="B572" s="1">
        <f>IF(Data!B572&gt;0,Data!B572,"")</f>
        <v/>
      </c>
      <c r="C572" s="1">
        <f>IF(Data!C572&gt;0,Data!C572,"")</f>
        <v/>
      </c>
      <c r="D572" s="1">
        <f>IF(Data!D572&gt;0,Data!D572,"")</f>
        <v/>
      </c>
      <c r="E572" s="1">
        <f>IF(Data!E572&gt;0,Data!E572,"")</f>
        <v/>
      </c>
      <c r="F572" s="1">
        <f>IF(Data!F572&gt;0,Data!F572,"")</f>
        <v/>
      </c>
      <c r="G572" s="1">
        <f>IF(Data!G572&gt;0,Data!G572,"")</f>
        <v/>
      </c>
      <c r="H572" s="1">
        <f>IF(Data!H572&gt;0,Data!H572,"")</f>
        <v/>
      </c>
      <c r="I572" s="1">
        <f>IF(Data!I572&gt;0,Data!I572,"")</f>
        <v/>
      </c>
      <c r="J572" s="1">
        <f>IF(Data!J572&gt;0,Data!J572,"")</f>
        <v/>
      </c>
      <c r="K572" s="1">
        <f>IF(Data!K572&gt;0,Data!K572,"")</f>
        <v/>
      </c>
      <c r="L572" s="1">
        <f>IF(Data!L572&gt;0,Data!L572,"")</f>
        <v/>
      </c>
      <c r="M572" s="1">
        <f>IF(Data!M572&gt;0,Data!M572,"")</f>
        <v/>
      </c>
      <c r="N572" s="1">
        <f>IF(Data!N572&gt;0,Data!N572,"")</f>
        <v/>
      </c>
      <c r="O572" s="1">
        <f>IF(Data!O572&gt;0,Data!O572,"")</f>
        <v/>
      </c>
      <c r="P572" s="1">
        <f>IF(Data!P572&gt;0,Data!P572,"")</f>
        <v/>
      </c>
      <c r="Q572" s="1">
        <f>IF(Data!Q572&gt;0,Data!Q572,"")</f>
        <v/>
      </c>
      <c r="R572" s="1">
        <f>IF(Data!R572&gt;0,Data!R572,"")</f>
        <v/>
      </c>
      <c r="S572" s="1">
        <f>IF(Data!S572&gt;0,Data!S572,"")</f>
        <v/>
      </c>
      <c r="V572" s="3">
        <f>IF(COUNT(D572,J572,K572,L572,M572,O572)&gt;0,AVERAGE(D572,J572,K572,L572,M572,O572),"")</f>
        <v/>
      </c>
      <c r="W572" s="3">
        <f>IF(COUNT(C572,F572,G572,N572,Q572)&gt;0,AVERAGE(C572,F572,G572,N572,Q572),"")</f>
        <v/>
      </c>
      <c r="X572" s="3">
        <f>IF(COUNT(B572,E572,H572,I572,P572,R572,S572)&gt;0,AVERAGE(B572,E572,H572,I572,P572,R572,S572),"")</f>
        <v/>
      </c>
      <c r="Y572" s="3" t="n"/>
      <c r="AJ572">
        <f>IFERROR(AVERAGEIF($A$4:$A$1004,AI572,$V$4:$V$1004),"")</f>
        <v/>
      </c>
      <c r="AK572">
        <f>IFERROR(AVERAGEIF($A$4:$A$1004,AI572,$W$4:$W$1004),"")</f>
        <v/>
      </c>
      <c r="AL572">
        <f>IFERROR(AVERAGEIF($A$4:$A$1004,AI572,$X$4:$X$1004),"")</f>
        <v/>
      </c>
    </row>
    <row r="573">
      <c r="A573" s="1">
        <f>IF(Data!A573&gt;0,Data!A573,"")</f>
        <v/>
      </c>
      <c r="B573" s="1">
        <f>IF(Data!B573&gt;0,Data!B573,"")</f>
        <v/>
      </c>
      <c r="C573" s="1">
        <f>IF(Data!C573&gt;0,Data!C573,"")</f>
        <v/>
      </c>
      <c r="D573" s="1">
        <f>IF(Data!D573&gt;0,Data!D573,"")</f>
        <v/>
      </c>
      <c r="E573" s="1">
        <f>IF(Data!E573&gt;0,Data!E573,"")</f>
        <v/>
      </c>
      <c r="F573" s="1">
        <f>IF(Data!F573&gt;0,Data!F573,"")</f>
        <v/>
      </c>
      <c r="G573" s="1">
        <f>IF(Data!G573&gt;0,Data!G573,"")</f>
        <v/>
      </c>
      <c r="H573" s="1">
        <f>IF(Data!H573&gt;0,Data!H573,"")</f>
        <v/>
      </c>
      <c r="I573" s="1">
        <f>IF(Data!I573&gt;0,Data!I573,"")</f>
        <v/>
      </c>
      <c r="J573" s="1">
        <f>IF(Data!J573&gt;0,Data!J573,"")</f>
        <v/>
      </c>
      <c r="K573" s="1">
        <f>IF(Data!K573&gt;0,Data!K573,"")</f>
        <v/>
      </c>
      <c r="L573" s="1">
        <f>IF(Data!L573&gt;0,Data!L573,"")</f>
        <v/>
      </c>
      <c r="M573" s="1">
        <f>IF(Data!M573&gt;0,Data!M573,"")</f>
        <v/>
      </c>
      <c r="N573" s="1">
        <f>IF(Data!N573&gt;0,Data!N573,"")</f>
        <v/>
      </c>
      <c r="O573" s="1">
        <f>IF(Data!O573&gt;0,Data!O573,"")</f>
        <v/>
      </c>
      <c r="P573" s="1">
        <f>IF(Data!P573&gt;0,Data!P573,"")</f>
        <v/>
      </c>
      <c r="Q573" s="1">
        <f>IF(Data!Q573&gt;0,Data!Q573,"")</f>
        <v/>
      </c>
      <c r="R573" s="1">
        <f>IF(Data!R573&gt;0,Data!R573,"")</f>
        <v/>
      </c>
      <c r="S573" s="1">
        <f>IF(Data!S573&gt;0,Data!S573,"")</f>
        <v/>
      </c>
      <c r="V573" s="3">
        <f>IF(COUNT(D573,J573,K573,L573,M573,O573)&gt;0,AVERAGE(D573,J573,K573,L573,M573,O573),"")</f>
        <v/>
      </c>
      <c r="W573" s="3">
        <f>IF(COUNT(C573,F573,G573,N573,Q573)&gt;0,AVERAGE(C573,F573,G573,N573,Q573),"")</f>
        <v/>
      </c>
      <c r="X573" s="3">
        <f>IF(COUNT(B573,E573,H573,I573,P573,R573,S573)&gt;0,AVERAGE(B573,E573,H573,I573,P573,R573,S573),"")</f>
        <v/>
      </c>
      <c r="Y573" s="3" t="n"/>
      <c r="AJ573">
        <f>IFERROR(AVERAGEIF($A$4:$A$1004,AI573,$V$4:$V$1004),"")</f>
        <v/>
      </c>
      <c r="AK573">
        <f>IFERROR(AVERAGEIF($A$4:$A$1004,AI573,$W$4:$W$1004),"")</f>
        <v/>
      </c>
      <c r="AL573">
        <f>IFERROR(AVERAGEIF($A$4:$A$1004,AI573,$X$4:$X$1004),"")</f>
        <v/>
      </c>
    </row>
    <row r="574">
      <c r="A574" s="1">
        <f>IF(Data!A574&gt;0,Data!A574,"")</f>
        <v/>
      </c>
      <c r="B574" s="1">
        <f>IF(Data!B574&gt;0,Data!B574,"")</f>
        <v/>
      </c>
      <c r="C574" s="1">
        <f>IF(Data!C574&gt;0,Data!C574,"")</f>
        <v/>
      </c>
      <c r="D574" s="1">
        <f>IF(Data!D574&gt;0,Data!D574,"")</f>
        <v/>
      </c>
      <c r="E574" s="1">
        <f>IF(Data!E574&gt;0,Data!E574,"")</f>
        <v/>
      </c>
      <c r="F574" s="1">
        <f>IF(Data!F574&gt;0,Data!F574,"")</f>
        <v/>
      </c>
      <c r="G574" s="1">
        <f>IF(Data!G574&gt;0,Data!G574,"")</f>
        <v/>
      </c>
      <c r="H574" s="1">
        <f>IF(Data!H574&gt;0,Data!H574,"")</f>
        <v/>
      </c>
      <c r="I574" s="1">
        <f>IF(Data!I574&gt;0,Data!I574,"")</f>
        <v/>
      </c>
      <c r="J574" s="1">
        <f>IF(Data!J574&gt;0,Data!J574,"")</f>
        <v/>
      </c>
      <c r="K574" s="1">
        <f>IF(Data!K574&gt;0,Data!K574,"")</f>
        <v/>
      </c>
      <c r="L574" s="1">
        <f>IF(Data!L574&gt;0,Data!L574,"")</f>
        <v/>
      </c>
      <c r="M574" s="1">
        <f>IF(Data!M574&gt;0,Data!M574,"")</f>
        <v/>
      </c>
      <c r="N574" s="1">
        <f>IF(Data!N574&gt;0,Data!N574,"")</f>
        <v/>
      </c>
      <c r="O574" s="1">
        <f>IF(Data!O574&gt;0,Data!O574,"")</f>
        <v/>
      </c>
      <c r="P574" s="1">
        <f>IF(Data!P574&gt;0,Data!P574,"")</f>
        <v/>
      </c>
      <c r="Q574" s="1">
        <f>IF(Data!Q574&gt;0,Data!Q574,"")</f>
        <v/>
      </c>
      <c r="R574" s="1">
        <f>IF(Data!R574&gt;0,Data!R574,"")</f>
        <v/>
      </c>
      <c r="S574" s="1">
        <f>IF(Data!S574&gt;0,Data!S574,"")</f>
        <v/>
      </c>
      <c r="V574" s="3">
        <f>IF(COUNT(D574,J574,K574,L574,M574,O574)&gt;0,AVERAGE(D574,J574,K574,L574,M574,O574),"")</f>
        <v/>
      </c>
      <c r="W574" s="3">
        <f>IF(COUNT(C574,F574,G574,N574,Q574)&gt;0,AVERAGE(C574,F574,G574,N574,Q574),"")</f>
        <v/>
      </c>
      <c r="X574" s="3">
        <f>IF(COUNT(B574,E574,H574,I574,P574,R574,S574)&gt;0,AVERAGE(B574,E574,H574,I574,P574,R574,S574),"")</f>
        <v/>
      </c>
      <c r="Y574" s="3" t="n"/>
      <c r="AJ574">
        <f>IFERROR(AVERAGEIF($A$4:$A$1004,AI574,$V$4:$V$1004),"")</f>
        <v/>
      </c>
      <c r="AK574">
        <f>IFERROR(AVERAGEIF($A$4:$A$1004,AI574,$W$4:$W$1004),"")</f>
        <v/>
      </c>
      <c r="AL574">
        <f>IFERROR(AVERAGEIF($A$4:$A$1004,AI574,$X$4:$X$1004),"")</f>
        <v/>
      </c>
    </row>
    <row r="575">
      <c r="A575" s="1">
        <f>IF(Data!A575&gt;0,Data!A575,"")</f>
        <v/>
      </c>
      <c r="B575" s="1">
        <f>IF(Data!B575&gt;0,Data!B575,"")</f>
        <v/>
      </c>
      <c r="C575" s="1">
        <f>IF(Data!C575&gt;0,Data!C575,"")</f>
        <v/>
      </c>
      <c r="D575" s="1">
        <f>IF(Data!D575&gt;0,Data!D575,"")</f>
        <v/>
      </c>
      <c r="E575" s="1">
        <f>IF(Data!E575&gt;0,Data!E575,"")</f>
        <v/>
      </c>
      <c r="F575" s="1">
        <f>IF(Data!F575&gt;0,Data!F575,"")</f>
        <v/>
      </c>
      <c r="G575" s="1">
        <f>IF(Data!G575&gt;0,Data!G575,"")</f>
        <v/>
      </c>
      <c r="H575" s="1">
        <f>IF(Data!H575&gt;0,Data!H575,"")</f>
        <v/>
      </c>
      <c r="I575" s="1">
        <f>IF(Data!I575&gt;0,Data!I575,"")</f>
        <v/>
      </c>
      <c r="J575" s="1">
        <f>IF(Data!J575&gt;0,Data!J575,"")</f>
        <v/>
      </c>
      <c r="K575" s="1">
        <f>IF(Data!K575&gt;0,Data!K575,"")</f>
        <v/>
      </c>
      <c r="L575" s="1">
        <f>IF(Data!L575&gt;0,Data!L575,"")</f>
        <v/>
      </c>
      <c r="M575" s="1">
        <f>IF(Data!M575&gt;0,Data!M575,"")</f>
        <v/>
      </c>
      <c r="N575" s="1">
        <f>IF(Data!N575&gt;0,Data!N575,"")</f>
        <v/>
      </c>
      <c r="O575" s="1">
        <f>IF(Data!O575&gt;0,Data!O575,"")</f>
        <v/>
      </c>
      <c r="P575" s="1">
        <f>IF(Data!P575&gt;0,Data!P575,"")</f>
        <v/>
      </c>
      <c r="Q575" s="1">
        <f>IF(Data!Q575&gt;0,Data!Q575,"")</f>
        <v/>
      </c>
      <c r="R575" s="1">
        <f>IF(Data!R575&gt;0,Data!R575,"")</f>
        <v/>
      </c>
      <c r="S575" s="1">
        <f>IF(Data!S575&gt;0,Data!S575,"")</f>
        <v/>
      </c>
      <c r="V575" s="3">
        <f>IF(COUNT(D575,J575,K575,L575,M575,O575)&gt;0,AVERAGE(D575,J575,K575,L575,M575,O575),"")</f>
        <v/>
      </c>
      <c r="W575" s="3">
        <f>IF(COUNT(C575,F575,G575,N575,Q575)&gt;0,AVERAGE(C575,F575,G575,N575,Q575),"")</f>
        <v/>
      </c>
      <c r="X575" s="3">
        <f>IF(COUNT(B575,E575,H575,I575,P575,R575,S575)&gt;0,AVERAGE(B575,E575,H575,I575,P575,R575,S575),"")</f>
        <v/>
      </c>
      <c r="Y575" s="3" t="n"/>
      <c r="AJ575">
        <f>IFERROR(AVERAGEIF($A$4:$A$1004,AI575,$V$4:$V$1004),"")</f>
        <v/>
      </c>
      <c r="AK575">
        <f>IFERROR(AVERAGEIF($A$4:$A$1004,AI575,$W$4:$W$1004),"")</f>
        <v/>
      </c>
      <c r="AL575">
        <f>IFERROR(AVERAGEIF($A$4:$A$1004,AI575,$X$4:$X$1004),"")</f>
        <v/>
      </c>
    </row>
    <row r="576">
      <c r="A576" s="1">
        <f>IF(Data!A576&gt;0,Data!A576,"")</f>
        <v/>
      </c>
      <c r="B576" s="1">
        <f>IF(Data!B576&gt;0,Data!B576,"")</f>
        <v/>
      </c>
      <c r="C576" s="1">
        <f>IF(Data!C576&gt;0,Data!C576,"")</f>
        <v/>
      </c>
      <c r="D576" s="1">
        <f>IF(Data!D576&gt;0,Data!D576,"")</f>
        <v/>
      </c>
      <c r="E576" s="1">
        <f>IF(Data!E576&gt;0,Data!E576,"")</f>
        <v/>
      </c>
      <c r="F576" s="1">
        <f>IF(Data!F576&gt;0,Data!F576,"")</f>
        <v/>
      </c>
      <c r="G576" s="1">
        <f>IF(Data!G576&gt;0,Data!G576,"")</f>
        <v/>
      </c>
      <c r="H576" s="1">
        <f>IF(Data!H576&gt;0,Data!H576,"")</f>
        <v/>
      </c>
      <c r="I576" s="1">
        <f>IF(Data!I576&gt;0,Data!I576,"")</f>
        <v/>
      </c>
      <c r="J576" s="1">
        <f>IF(Data!J576&gt;0,Data!J576,"")</f>
        <v/>
      </c>
      <c r="K576" s="1">
        <f>IF(Data!K576&gt;0,Data!K576,"")</f>
        <v/>
      </c>
      <c r="L576" s="1">
        <f>IF(Data!L576&gt;0,Data!L576,"")</f>
        <v/>
      </c>
      <c r="M576" s="1">
        <f>IF(Data!M576&gt;0,Data!M576,"")</f>
        <v/>
      </c>
      <c r="N576" s="1">
        <f>IF(Data!N576&gt;0,Data!N576,"")</f>
        <v/>
      </c>
      <c r="O576" s="1">
        <f>IF(Data!O576&gt;0,Data!O576,"")</f>
        <v/>
      </c>
      <c r="P576" s="1">
        <f>IF(Data!P576&gt;0,Data!P576,"")</f>
        <v/>
      </c>
      <c r="Q576" s="1">
        <f>IF(Data!Q576&gt;0,Data!Q576,"")</f>
        <v/>
      </c>
      <c r="R576" s="1">
        <f>IF(Data!R576&gt;0,Data!R576,"")</f>
        <v/>
      </c>
      <c r="S576" s="1">
        <f>IF(Data!S576&gt;0,Data!S576,"")</f>
        <v/>
      </c>
      <c r="V576" s="3">
        <f>IF(COUNT(D576,J576,K576,L576,M576,O576)&gt;0,AVERAGE(D576,J576,K576,L576,M576,O576),"")</f>
        <v/>
      </c>
      <c r="W576" s="3">
        <f>IF(COUNT(C576,F576,G576,N576,Q576)&gt;0,AVERAGE(C576,F576,G576,N576,Q576),"")</f>
        <v/>
      </c>
      <c r="X576" s="3">
        <f>IF(COUNT(B576,E576,H576,I576,P576,R576,S576)&gt;0,AVERAGE(B576,E576,H576,I576,P576,R576,S576),"")</f>
        <v/>
      </c>
      <c r="Y576" s="3" t="n"/>
      <c r="AJ576">
        <f>IFERROR(AVERAGEIF($A$4:$A$1004,AI576,$V$4:$V$1004),"")</f>
        <v/>
      </c>
      <c r="AK576">
        <f>IFERROR(AVERAGEIF($A$4:$A$1004,AI576,$W$4:$W$1004),"")</f>
        <v/>
      </c>
      <c r="AL576">
        <f>IFERROR(AVERAGEIF($A$4:$A$1004,AI576,$X$4:$X$1004),"")</f>
        <v/>
      </c>
    </row>
    <row r="577">
      <c r="A577" s="1">
        <f>IF(Data!A577&gt;0,Data!A577,"")</f>
        <v/>
      </c>
      <c r="B577" s="1">
        <f>IF(Data!B577&gt;0,Data!B577,"")</f>
        <v/>
      </c>
      <c r="C577" s="1">
        <f>IF(Data!C577&gt;0,Data!C577,"")</f>
        <v/>
      </c>
      <c r="D577" s="1">
        <f>IF(Data!D577&gt;0,Data!D577,"")</f>
        <v/>
      </c>
      <c r="E577" s="1">
        <f>IF(Data!E577&gt;0,Data!E577,"")</f>
        <v/>
      </c>
      <c r="F577" s="1">
        <f>IF(Data!F577&gt;0,Data!F577,"")</f>
        <v/>
      </c>
      <c r="G577" s="1">
        <f>IF(Data!G577&gt;0,Data!G577,"")</f>
        <v/>
      </c>
      <c r="H577" s="1">
        <f>IF(Data!H577&gt;0,Data!H577,"")</f>
        <v/>
      </c>
      <c r="I577" s="1">
        <f>IF(Data!I577&gt;0,Data!I577,"")</f>
        <v/>
      </c>
      <c r="J577" s="1">
        <f>IF(Data!J577&gt;0,Data!J577,"")</f>
        <v/>
      </c>
      <c r="K577" s="1">
        <f>IF(Data!K577&gt;0,Data!K577,"")</f>
        <v/>
      </c>
      <c r="L577" s="1">
        <f>IF(Data!L577&gt;0,Data!L577,"")</f>
        <v/>
      </c>
      <c r="M577" s="1">
        <f>IF(Data!M577&gt;0,Data!M577,"")</f>
        <v/>
      </c>
      <c r="N577" s="1">
        <f>IF(Data!N577&gt;0,Data!N577,"")</f>
        <v/>
      </c>
      <c r="O577" s="1">
        <f>IF(Data!O577&gt;0,Data!O577,"")</f>
        <v/>
      </c>
      <c r="P577" s="1">
        <f>IF(Data!P577&gt;0,Data!P577,"")</f>
        <v/>
      </c>
      <c r="Q577" s="1">
        <f>IF(Data!Q577&gt;0,Data!Q577,"")</f>
        <v/>
      </c>
      <c r="R577" s="1">
        <f>IF(Data!R577&gt;0,Data!R577,"")</f>
        <v/>
      </c>
      <c r="S577" s="1">
        <f>IF(Data!S577&gt;0,Data!S577,"")</f>
        <v/>
      </c>
      <c r="V577" s="3">
        <f>IF(COUNT(D577,J577,K577,L577,M577,O577)&gt;0,AVERAGE(D577,J577,K577,L577,M577,O577),"")</f>
        <v/>
      </c>
      <c r="W577" s="3">
        <f>IF(COUNT(C577,F577,G577,N577,Q577)&gt;0,AVERAGE(C577,F577,G577,N577,Q577),"")</f>
        <v/>
      </c>
      <c r="X577" s="3">
        <f>IF(COUNT(B577,E577,H577,I577,P577,R577,S577)&gt;0,AVERAGE(B577,E577,H577,I577,P577,R577,S577),"")</f>
        <v/>
      </c>
      <c r="Y577" s="3" t="n"/>
      <c r="AJ577">
        <f>IFERROR(AVERAGEIF($A$4:$A$1004,AI577,$V$4:$V$1004),"")</f>
        <v/>
      </c>
      <c r="AK577">
        <f>IFERROR(AVERAGEIF($A$4:$A$1004,AI577,$W$4:$W$1004),"")</f>
        <v/>
      </c>
      <c r="AL577">
        <f>IFERROR(AVERAGEIF($A$4:$A$1004,AI577,$X$4:$X$1004),"")</f>
        <v/>
      </c>
    </row>
    <row r="578">
      <c r="A578" s="1">
        <f>IF(Data!A578&gt;0,Data!A578,"")</f>
        <v/>
      </c>
      <c r="B578" s="1">
        <f>IF(Data!B578&gt;0,Data!B578,"")</f>
        <v/>
      </c>
      <c r="C578" s="1">
        <f>IF(Data!C578&gt;0,Data!C578,"")</f>
        <v/>
      </c>
      <c r="D578" s="1">
        <f>IF(Data!D578&gt;0,Data!D578,"")</f>
        <v/>
      </c>
      <c r="E578" s="1">
        <f>IF(Data!E578&gt;0,Data!E578,"")</f>
        <v/>
      </c>
      <c r="F578" s="1">
        <f>IF(Data!F578&gt;0,Data!F578,"")</f>
        <v/>
      </c>
      <c r="G578" s="1">
        <f>IF(Data!G578&gt;0,Data!G578,"")</f>
        <v/>
      </c>
      <c r="H578" s="1">
        <f>IF(Data!H578&gt;0,Data!H578,"")</f>
        <v/>
      </c>
      <c r="I578" s="1">
        <f>IF(Data!I578&gt;0,Data!I578,"")</f>
        <v/>
      </c>
      <c r="J578" s="1">
        <f>IF(Data!J578&gt;0,Data!J578,"")</f>
        <v/>
      </c>
      <c r="K578" s="1">
        <f>IF(Data!K578&gt;0,Data!K578,"")</f>
        <v/>
      </c>
      <c r="L578" s="1">
        <f>IF(Data!L578&gt;0,Data!L578,"")</f>
        <v/>
      </c>
      <c r="M578" s="1">
        <f>IF(Data!M578&gt;0,Data!M578,"")</f>
        <v/>
      </c>
      <c r="N578" s="1">
        <f>IF(Data!N578&gt;0,Data!N578,"")</f>
        <v/>
      </c>
      <c r="O578" s="1">
        <f>IF(Data!O578&gt;0,Data!O578,"")</f>
        <v/>
      </c>
      <c r="P578" s="1">
        <f>IF(Data!P578&gt;0,Data!P578,"")</f>
        <v/>
      </c>
      <c r="Q578" s="1">
        <f>IF(Data!Q578&gt;0,Data!Q578,"")</f>
        <v/>
      </c>
      <c r="R578" s="1">
        <f>IF(Data!R578&gt;0,Data!R578,"")</f>
        <v/>
      </c>
      <c r="S578" s="1">
        <f>IF(Data!S578&gt;0,Data!S578,"")</f>
        <v/>
      </c>
      <c r="V578" s="3">
        <f>IF(COUNT(D578,J578,K578,L578,M578,O578)&gt;0,AVERAGE(D578,J578,K578,L578,M578,O578),"")</f>
        <v/>
      </c>
      <c r="W578" s="3">
        <f>IF(COUNT(C578,F578,G578,N578,Q578)&gt;0,AVERAGE(C578,F578,G578,N578,Q578),"")</f>
        <v/>
      </c>
      <c r="X578" s="3">
        <f>IF(COUNT(B578,E578,H578,I578,P578,R578,S578)&gt;0,AVERAGE(B578,E578,H578,I578,P578,R578,S578),"")</f>
        <v/>
      </c>
      <c r="Y578" s="3" t="n"/>
      <c r="AJ578">
        <f>IFERROR(AVERAGEIF($A$4:$A$1004,AI578,$V$4:$V$1004),"")</f>
        <v/>
      </c>
      <c r="AK578">
        <f>IFERROR(AVERAGEIF($A$4:$A$1004,AI578,$W$4:$W$1004),"")</f>
        <v/>
      </c>
      <c r="AL578">
        <f>IFERROR(AVERAGEIF($A$4:$A$1004,AI578,$X$4:$X$1004),"")</f>
        <v/>
      </c>
    </row>
    <row r="579">
      <c r="A579" s="1">
        <f>IF(Data!A579&gt;0,Data!A579,"")</f>
        <v/>
      </c>
      <c r="B579" s="1">
        <f>IF(Data!B579&gt;0,Data!B579,"")</f>
        <v/>
      </c>
      <c r="C579" s="1">
        <f>IF(Data!C579&gt;0,Data!C579,"")</f>
        <v/>
      </c>
      <c r="D579" s="1">
        <f>IF(Data!D579&gt;0,Data!D579,"")</f>
        <v/>
      </c>
      <c r="E579" s="1">
        <f>IF(Data!E579&gt;0,Data!E579,"")</f>
        <v/>
      </c>
      <c r="F579" s="1">
        <f>IF(Data!F579&gt;0,Data!F579,"")</f>
        <v/>
      </c>
      <c r="G579" s="1">
        <f>IF(Data!G579&gt;0,Data!G579,"")</f>
        <v/>
      </c>
      <c r="H579" s="1">
        <f>IF(Data!H579&gt;0,Data!H579,"")</f>
        <v/>
      </c>
      <c r="I579" s="1">
        <f>IF(Data!I579&gt;0,Data!I579,"")</f>
        <v/>
      </c>
      <c r="J579" s="1">
        <f>IF(Data!J579&gt;0,Data!J579,"")</f>
        <v/>
      </c>
      <c r="K579" s="1">
        <f>IF(Data!K579&gt;0,Data!K579,"")</f>
        <v/>
      </c>
      <c r="L579" s="1">
        <f>IF(Data!L579&gt;0,Data!L579,"")</f>
        <v/>
      </c>
      <c r="M579" s="1">
        <f>IF(Data!M579&gt;0,Data!M579,"")</f>
        <v/>
      </c>
      <c r="N579" s="1">
        <f>IF(Data!N579&gt;0,Data!N579,"")</f>
        <v/>
      </c>
      <c r="O579" s="1">
        <f>IF(Data!O579&gt;0,Data!O579,"")</f>
        <v/>
      </c>
      <c r="P579" s="1">
        <f>IF(Data!P579&gt;0,Data!P579,"")</f>
        <v/>
      </c>
      <c r="Q579" s="1">
        <f>IF(Data!Q579&gt;0,Data!Q579,"")</f>
        <v/>
      </c>
      <c r="R579" s="1">
        <f>IF(Data!R579&gt;0,Data!R579,"")</f>
        <v/>
      </c>
      <c r="S579" s="1">
        <f>IF(Data!S579&gt;0,Data!S579,"")</f>
        <v/>
      </c>
      <c r="V579" s="3">
        <f>IF(COUNT(D579,J579,K579,L579,M579,O579)&gt;0,AVERAGE(D579,J579,K579,L579,M579,O579),"")</f>
        <v/>
      </c>
      <c r="W579" s="3">
        <f>IF(COUNT(C579,F579,G579,N579,Q579)&gt;0,AVERAGE(C579,F579,G579,N579,Q579),"")</f>
        <v/>
      </c>
      <c r="X579" s="3">
        <f>IF(COUNT(B579,E579,H579,I579,P579,R579,S579)&gt;0,AVERAGE(B579,E579,H579,I579,P579,R579,S579),"")</f>
        <v/>
      </c>
      <c r="Y579" s="3" t="n"/>
      <c r="AJ579">
        <f>IFERROR(AVERAGEIF($A$4:$A$1004,AI579,$V$4:$V$1004),"")</f>
        <v/>
      </c>
      <c r="AK579">
        <f>IFERROR(AVERAGEIF($A$4:$A$1004,AI579,$W$4:$W$1004),"")</f>
        <v/>
      </c>
      <c r="AL579">
        <f>IFERROR(AVERAGEIF($A$4:$A$1004,AI579,$X$4:$X$1004),"")</f>
        <v/>
      </c>
    </row>
    <row r="580">
      <c r="A580" s="1">
        <f>IF(Data!A580&gt;0,Data!A580,"")</f>
        <v/>
      </c>
      <c r="B580" s="1">
        <f>IF(Data!B580&gt;0,Data!B580,"")</f>
        <v/>
      </c>
      <c r="C580" s="1">
        <f>IF(Data!C580&gt;0,Data!C580,"")</f>
        <v/>
      </c>
      <c r="D580" s="1">
        <f>IF(Data!D580&gt;0,Data!D580,"")</f>
        <v/>
      </c>
      <c r="E580" s="1">
        <f>IF(Data!E580&gt;0,Data!E580,"")</f>
        <v/>
      </c>
      <c r="F580" s="1">
        <f>IF(Data!F580&gt;0,Data!F580,"")</f>
        <v/>
      </c>
      <c r="G580" s="1">
        <f>IF(Data!G580&gt;0,Data!G580,"")</f>
        <v/>
      </c>
      <c r="H580" s="1">
        <f>IF(Data!H580&gt;0,Data!H580,"")</f>
        <v/>
      </c>
      <c r="I580" s="1">
        <f>IF(Data!I580&gt;0,Data!I580,"")</f>
        <v/>
      </c>
      <c r="J580" s="1">
        <f>IF(Data!J580&gt;0,Data!J580,"")</f>
        <v/>
      </c>
      <c r="K580" s="1">
        <f>IF(Data!K580&gt;0,Data!K580,"")</f>
        <v/>
      </c>
      <c r="L580" s="1">
        <f>IF(Data!L580&gt;0,Data!L580,"")</f>
        <v/>
      </c>
      <c r="M580" s="1">
        <f>IF(Data!M580&gt;0,Data!M580,"")</f>
        <v/>
      </c>
      <c r="N580" s="1">
        <f>IF(Data!N580&gt;0,Data!N580,"")</f>
        <v/>
      </c>
      <c r="O580" s="1">
        <f>IF(Data!O580&gt;0,Data!O580,"")</f>
        <v/>
      </c>
      <c r="P580" s="1">
        <f>IF(Data!P580&gt;0,Data!P580,"")</f>
        <v/>
      </c>
      <c r="Q580" s="1">
        <f>IF(Data!Q580&gt;0,Data!Q580,"")</f>
        <v/>
      </c>
      <c r="R580" s="1">
        <f>IF(Data!R580&gt;0,Data!R580,"")</f>
        <v/>
      </c>
      <c r="S580" s="1">
        <f>IF(Data!S580&gt;0,Data!S580,"")</f>
        <v/>
      </c>
      <c r="V580" s="3">
        <f>IF(COUNT(D580,J580,K580,L580,M580,O580)&gt;0,AVERAGE(D580,J580,K580,L580,M580,O580),"")</f>
        <v/>
      </c>
      <c r="W580" s="3">
        <f>IF(COUNT(C580,F580,G580,N580,Q580)&gt;0,AVERAGE(C580,F580,G580,N580,Q580),"")</f>
        <v/>
      </c>
      <c r="X580" s="3">
        <f>IF(COUNT(B580,E580,H580,I580,P580,R580,S580)&gt;0,AVERAGE(B580,E580,H580,I580,P580,R580,S580),"")</f>
        <v/>
      </c>
      <c r="Y580" s="3" t="n"/>
      <c r="AJ580">
        <f>IFERROR(AVERAGEIF($A$4:$A$1004,AI580,$V$4:$V$1004),"")</f>
        <v/>
      </c>
      <c r="AK580">
        <f>IFERROR(AVERAGEIF($A$4:$A$1004,AI580,$W$4:$W$1004),"")</f>
        <v/>
      </c>
      <c r="AL580">
        <f>IFERROR(AVERAGEIF($A$4:$A$1004,AI580,$X$4:$X$1004),"")</f>
        <v/>
      </c>
    </row>
    <row r="581">
      <c r="A581" s="1">
        <f>IF(Data!A581&gt;0,Data!A581,"")</f>
        <v/>
      </c>
      <c r="B581" s="1">
        <f>IF(Data!B581&gt;0,Data!B581,"")</f>
        <v/>
      </c>
      <c r="C581" s="1">
        <f>IF(Data!C581&gt;0,Data!C581,"")</f>
        <v/>
      </c>
      <c r="D581" s="1">
        <f>IF(Data!D581&gt;0,Data!D581,"")</f>
        <v/>
      </c>
      <c r="E581" s="1">
        <f>IF(Data!E581&gt;0,Data!E581,"")</f>
        <v/>
      </c>
      <c r="F581" s="1">
        <f>IF(Data!F581&gt;0,Data!F581,"")</f>
        <v/>
      </c>
      <c r="G581" s="1">
        <f>IF(Data!G581&gt;0,Data!G581,"")</f>
        <v/>
      </c>
      <c r="H581" s="1">
        <f>IF(Data!H581&gt;0,Data!H581,"")</f>
        <v/>
      </c>
      <c r="I581" s="1">
        <f>IF(Data!I581&gt;0,Data!I581,"")</f>
        <v/>
      </c>
      <c r="J581" s="1">
        <f>IF(Data!J581&gt;0,Data!J581,"")</f>
        <v/>
      </c>
      <c r="K581" s="1">
        <f>IF(Data!K581&gt;0,Data!K581,"")</f>
        <v/>
      </c>
      <c r="L581" s="1">
        <f>IF(Data!L581&gt;0,Data!L581,"")</f>
        <v/>
      </c>
      <c r="M581" s="1">
        <f>IF(Data!M581&gt;0,Data!M581,"")</f>
        <v/>
      </c>
      <c r="N581" s="1">
        <f>IF(Data!N581&gt;0,Data!N581,"")</f>
        <v/>
      </c>
      <c r="O581" s="1">
        <f>IF(Data!O581&gt;0,Data!O581,"")</f>
        <v/>
      </c>
      <c r="P581" s="1">
        <f>IF(Data!P581&gt;0,Data!P581,"")</f>
        <v/>
      </c>
      <c r="Q581" s="1">
        <f>IF(Data!Q581&gt;0,Data!Q581,"")</f>
        <v/>
      </c>
      <c r="R581" s="1">
        <f>IF(Data!R581&gt;0,Data!R581,"")</f>
        <v/>
      </c>
      <c r="S581" s="1">
        <f>IF(Data!S581&gt;0,Data!S581,"")</f>
        <v/>
      </c>
      <c r="V581" s="3">
        <f>IF(COUNT(D581,J581,K581,L581,M581,O581)&gt;0,AVERAGE(D581,J581,K581,L581,M581,O581),"")</f>
        <v/>
      </c>
      <c r="W581" s="3">
        <f>IF(COUNT(C581,F581,G581,N581,Q581)&gt;0,AVERAGE(C581,F581,G581,N581,Q581),"")</f>
        <v/>
      </c>
      <c r="X581" s="3">
        <f>IF(COUNT(B581,E581,H581,I581,P581,R581,S581)&gt;0,AVERAGE(B581,E581,H581,I581,P581,R581,S581),"")</f>
        <v/>
      </c>
      <c r="Y581" s="3" t="n"/>
      <c r="AJ581">
        <f>IFERROR(AVERAGEIF($A$4:$A$1004,AI581,$V$4:$V$1004),"")</f>
        <v/>
      </c>
      <c r="AK581">
        <f>IFERROR(AVERAGEIF($A$4:$A$1004,AI581,$W$4:$W$1004),"")</f>
        <v/>
      </c>
      <c r="AL581">
        <f>IFERROR(AVERAGEIF($A$4:$A$1004,AI581,$X$4:$X$1004),"")</f>
        <v/>
      </c>
    </row>
    <row r="582">
      <c r="A582" s="1">
        <f>IF(Data!A582&gt;0,Data!A582,"")</f>
        <v/>
      </c>
      <c r="B582" s="1">
        <f>IF(Data!B582&gt;0,Data!B582,"")</f>
        <v/>
      </c>
      <c r="C582" s="1">
        <f>IF(Data!C582&gt;0,Data!C582,"")</f>
        <v/>
      </c>
      <c r="D582" s="1">
        <f>IF(Data!D582&gt;0,Data!D582,"")</f>
        <v/>
      </c>
      <c r="E582" s="1">
        <f>IF(Data!E582&gt;0,Data!E582,"")</f>
        <v/>
      </c>
      <c r="F582" s="1">
        <f>IF(Data!F582&gt;0,Data!F582,"")</f>
        <v/>
      </c>
      <c r="G582" s="1">
        <f>IF(Data!G582&gt;0,Data!G582,"")</f>
        <v/>
      </c>
      <c r="H582" s="1">
        <f>IF(Data!H582&gt;0,Data!H582,"")</f>
        <v/>
      </c>
      <c r="I582" s="1">
        <f>IF(Data!I582&gt;0,Data!I582,"")</f>
        <v/>
      </c>
      <c r="J582" s="1">
        <f>IF(Data!J582&gt;0,Data!J582,"")</f>
        <v/>
      </c>
      <c r="K582" s="1">
        <f>IF(Data!K582&gt;0,Data!K582,"")</f>
        <v/>
      </c>
      <c r="L582" s="1">
        <f>IF(Data!L582&gt;0,Data!L582,"")</f>
        <v/>
      </c>
      <c r="M582" s="1">
        <f>IF(Data!M582&gt;0,Data!M582,"")</f>
        <v/>
      </c>
      <c r="N582" s="1">
        <f>IF(Data!N582&gt;0,Data!N582,"")</f>
        <v/>
      </c>
      <c r="O582" s="1">
        <f>IF(Data!O582&gt;0,Data!O582,"")</f>
        <v/>
      </c>
      <c r="P582" s="1">
        <f>IF(Data!P582&gt;0,Data!P582,"")</f>
        <v/>
      </c>
      <c r="Q582" s="1">
        <f>IF(Data!Q582&gt;0,Data!Q582,"")</f>
        <v/>
      </c>
      <c r="R582" s="1">
        <f>IF(Data!R582&gt;0,Data!R582,"")</f>
        <v/>
      </c>
      <c r="S582" s="1">
        <f>IF(Data!S582&gt;0,Data!S582,"")</f>
        <v/>
      </c>
      <c r="V582" s="3">
        <f>IF(COUNT(D582,J582,K582,L582,M582,O582)&gt;0,AVERAGE(D582,J582,K582,L582,M582,O582),"")</f>
        <v/>
      </c>
      <c r="W582" s="3">
        <f>IF(COUNT(C582,F582,G582,N582,Q582)&gt;0,AVERAGE(C582,F582,G582,N582,Q582),"")</f>
        <v/>
      </c>
      <c r="X582" s="3">
        <f>IF(COUNT(B582,E582,H582,I582,P582,R582,S582)&gt;0,AVERAGE(B582,E582,H582,I582,P582,R582,S582),"")</f>
        <v/>
      </c>
      <c r="Y582" s="3" t="n"/>
      <c r="AJ582">
        <f>IFERROR(AVERAGEIF($A$4:$A$1004,AI582,$V$4:$V$1004),"")</f>
        <v/>
      </c>
      <c r="AK582">
        <f>IFERROR(AVERAGEIF($A$4:$A$1004,AI582,$W$4:$W$1004),"")</f>
        <v/>
      </c>
      <c r="AL582">
        <f>IFERROR(AVERAGEIF($A$4:$A$1004,AI582,$X$4:$X$1004),"")</f>
        <v/>
      </c>
    </row>
    <row r="583">
      <c r="A583" s="1">
        <f>IF(Data!A583&gt;0,Data!A583,"")</f>
        <v/>
      </c>
      <c r="B583" s="1">
        <f>IF(Data!B583&gt;0,Data!B583,"")</f>
        <v/>
      </c>
      <c r="C583" s="1">
        <f>IF(Data!C583&gt;0,Data!C583,"")</f>
        <v/>
      </c>
      <c r="D583" s="1">
        <f>IF(Data!D583&gt;0,Data!D583,"")</f>
        <v/>
      </c>
      <c r="E583" s="1">
        <f>IF(Data!E583&gt;0,Data!E583,"")</f>
        <v/>
      </c>
      <c r="F583" s="1">
        <f>IF(Data!F583&gt;0,Data!F583,"")</f>
        <v/>
      </c>
      <c r="G583" s="1">
        <f>IF(Data!G583&gt;0,Data!G583,"")</f>
        <v/>
      </c>
      <c r="H583" s="1">
        <f>IF(Data!H583&gt;0,Data!H583,"")</f>
        <v/>
      </c>
      <c r="I583" s="1">
        <f>IF(Data!I583&gt;0,Data!I583,"")</f>
        <v/>
      </c>
      <c r="J583" s="1">
        <f>IF(Data!J583&gt;0,Data!J583,"")</f>
        <v/>
      </c>
      <c r="K583" s="1">
        <f>IF(Data!K583&gt;0,Data!K583,"")</f>
        <v/>
      </c>
      <c r="L583" s="1">
        <f>IF(Data!L583&gt;0,Data!L583,"")</f>
        <v/>
      </c>
      <c r="M583" s="1">
        <f>IF(Data!M583&gt;0,Data!M583,"")</f>
        <v/>
      </c>
      <c r="N583" s="1">
        <f>IF(Data!N583&gt;0,Data!N583,"")</f>
        <v/>
      </c>
      <c r="O583" s="1">
        <f>IF(Data!O583&gt;0,Data!O583,"")</f>
        <v/>
      </c>
      <c r="P583" s="1">
        <f>IF(Data!P583&gt;0,Data!P583,"")</f>
        <v/>
      </c>
      <c r="Q583" s="1">
        <f>IF(Data!Q583&gt;0,Data!Q583,"")</f>
        <v/>
      </c>
      <c r="R583" s="1">
        <f>IF(Data!R583&gt;0,Data!R583,"")</f>
        <v/>
      </c>
      <c r="S583" s="1">
        <f>IF(Data!S583&gt;0,Data!S583,"")</f>
        <v/>
      </c>
      <c r="V583" s="3">
        <f>IF(COUNT(D583,J583,K583,L583,M583,O583)&gt;0,AVERAGE(D583,J583,K583,L583,M583,O583),"")</f>
        <v/>
      </c>
      <c r="W583" s="3">
        <f>IF(COUNT(C583,F583,G583,N583,Q583)&gt;0,AVERAGE(C583,F583,G583,N583,Q583),"")</f>
        <v/>
      </c>
      <c r="X583" s="3">
        <f>IF(COUNT(B583,E583,H583,I583,P583,R583,S583)&gt;0,AVERAGE(B583,E583,H583,I583,P583,R583,S583),"")</f>
        <v/>
      </c>
      <c r="Y583" s="3" t="n"/>
      <c r="AJ583">
        <f>IFERROR(AVERAGEIF($A$4:$A$1004,AI583,$V$4:$V$1004),"")</f>
        <v/>
      </c>
      <c r="AK583">
        <f>IFERROR(AVERAGEIF($A$4:$A$1004,AI583,$W$4:$W$1004),"")</f>
        <v/>
      </c>
      <c r="AL583">
        <f>IFERROR(AVERAGEIF($A$4:$A$1004,AI583,$X$4:$X$1004),"")</f>
        <v/>
      </c>
    </row>
    <row r="584">
      <c r="A584" s="1">
        <f>IF(Data!A584&gt;0,Data!A584,"")</f>
        <v/>
      </c>
      <c r="B584" s="1">
        <f>IF(Data!B584&gt;0,Data!B584,"")</f>
        <v/>
      </c>
      <c r="C584" s="1">
        <f>IF(Data!C584&gt;0,Data!C584,"")</f>
        <v/>
      </c>
      <c r="D584" s="1">
        <f>IF(Data!D584&gt;0,Data!D584,"")</f>
        <v/>
      </c>
      <c r="E584" s="1">
        <f>IF(Data!E584&gt;0,Data!E584,"")</f>
        <v/>
      </c>
      <c r="F584" s="1">
        <f>IF(Data!F584&gt;0,Data!F584,"")</f>
        <v/>
      </c>
      <c r="G584" s="1">
        <f>IF(Data!G584&gt;0,Data!G584,"")</f>
        <v/>
      </c>
      <c r="H584" s="1">
        <f>IF(Data!H584&gt;0,Data!H584,"")</f>
        <v/>
      </c>
      <c r="I584" s="1">
        <f>IF(Data!I584&gt;0,Data!I584,"")</f>
        <v/>
      </c>
      <c r="J584" s="1">
        <f>IF(Data!J584&gt;0,Data!J584,"")</f>
        <v/>
      </c>
      <c r="K584" s="1">
        <f>IF(Data!K584&gt;0,Data!K584,"")</f>
        <v/>
      </c>
      <c r="L584" s="1">
        <f>IF(Data!L584&gt;0,Data!L584,"")</f>
        <v/>
      </c>
      <c r="M584" s="1">
        <f>IF(Data!M584&gt;0,Data!M584,"")</f>
        <v/>
      </c>
      <c r="N584" s="1">
        <f>IF(Data!N584&gt;0,Data!N584,"")</f>
        <v/>
      </c>
      <c r="O584" s="1">
        <f>IF(Data!O584&gt;0,Data!O584,"")</f>
        <v/>
      </c>
      <c r="P584" s="1">
        <f>IF(Data!P584&gt;0,Data!P584,"")</f>
        <v/>
      </c>
      <c r="Q584" s="1">
        <f>IF(Data!Q584&gt;0,Data!Q584,"")</f>
        <v/>
      </c>
      <c r="R584" s="1">
        <f>IF(Data!R584&gt;0,Data!R584,"")</f>
        <v/>
      </c>
      <c r="S584" s="1">
        <f>IF(Data!S584&gt;0,Data!S584,"")</f>
        <v/>
      </c>
      <c r="V584" s="3">
        <f>IF(COUNT(D584,J584,K584,L584,M584,O584)&gt;0,AVERAGE(D584,J584,K584,L584,M584,O584),"")</f>
        <v/>
      </c>
      <c r="W584" s="3">
        <f>IF(COUNT(C584,F584,G584,N584,Q584)&gt;0,AVERAGE(C584,F584,G584,N584,Q584),"")</f>
        <v/>
      </c>
      <c r="X584" s="3">
        <f>IF(COUNT(B584,E584,H584,I584,P584,R584,S584)&gt;0,AVERAGE(B584,E584,H584,I584,P584,R584,S584),"")</f>
        <v/>
      </c>
      <c r="Y584" s="3" t="n"/>
      <c r="AJ584">
        <f>IFERROR(AVERAGEIF($A$4:$A$1004,AI584,$V$4:$V$1004),"")</f>
        <v/>
      </c>
      <c r="AK584">
        <f>IFERROR(AVERAGEIF($A$4:$A$1004,AI584,$W$4:$W$1004),"")</f>
        <v/>
      </c>
      <c r="AL584">
        <f>IFERROR(AVERAGEIF($A$4:$A$1004,AI584,$X$4:$X$1004),"")</f>
        <v/>
      </c>
    </row>
    <row r="585">
      <c r="A585" s="1">
        <f>IF(Data!A585&gt;0,Data!A585,"")</f>
        <v/>
      </c>
      <c r="B585" s="1">
        <f>IF(Data!B585&gt;0,Data!B585,"")</f>
        <v/>
      </c>
      <c r="C585" s="1">
        <f>IF(Data!C585&gt;0,Data!C585,"")</f>
        <v/>
      </c>
      <c r="D585" s="1">
        <f>IF(Data!D585&gt;0,Data!D585,"")</f>
        <v/>
      </c>
      <c r="E585" s="1">
        <f>IF(Data!E585&gt;0,Data!E585,"")</f>
        <v/>
      </c>
      <c r="F585" s="1">
        <f>IF(Data!F585&gt;0,Data!F585,"")</f>
        <v/>
      </c>
      <c r="G585" s="1">
        <f>IF(Data!G585&gt;0,Data!G585,"")</f>
        <v/>
      </c>
      <c r="H585" s="1">
        <f>IF(Data!H585&gt;0,Data!H585,"")</f>
        <v/>
      </c>
      <c r="I585" s="1">
        <f>IF(Data!I585&gt;0,Data!I585,"")</f>
        <v/>
      </c>
      <c r="J585" s="1">
        <f>IF(Data!J585&gt;0,Data!J585,"")</f>
        <v/>
      </c>
      <c r="K585" s="1">
        <f>IF(Data!K585&gt;0,Data!K585,"")</f>
        <v/>
      </c>
      <c r="L585" s="1">
        <f>IF(Data!L585&gt;0,Data!L585,"")</f>
        <v/>
      </c>
      <c r="M585" s="1">
        <f>IF(Data!M585&gt;0,Data!M585,"")</f>
        <v/>
      </c>
      <c r="N585" s="1">
        <f>IF(Data!N585&gt;0,Data!N585,"")</f>
        <v/>
      </c>
      <c r="O585" s="1">
        <f>IF(Data!O585&gt;0,Data!O585,"")</f>
        <v/>
      </c>
      <c r="P585" s="1">
        <f>IF(Data!P585&gt;0,Data!P585,"")</f>
        <v/>
      </c>
      <c r="Q585" s="1">
        <f>IF(Data!Q585&gt;0,Data!Q585,"")</f>
        <v/>
      </c>
      <c r="R585" s="1">
        <f>IF(Data!R585&gt;0,Data!R585,"")</f>
        <v/>
      </c>
      <c r="S585" s="1">
        <f>IF(Data!S585&gt;0,Data!S585,"")</f>
        <v/>
      </c>
      <c r="V585" s="3">
        <f>IF(COUNT(D585,J585,K585,L585,M585,O585)&gt;0,AVERAGE(D585,J585,K585,L585,M585,O585),"")</f>
        <v/>
      </c>
      <c r="W585" s="3">
        <f>IF(COUNT(C585,F585,G585,N585,Q585)&gt;0,AVERAGE(C585,F585,G585,N585,Q585),"")</f>
        <v/>
      </c>
      <c r="X585" s="3">
        <f>IF(COUNT(B585,E585,H585,I585,P585,R585,S585)&gt;0,AVERAGE(B585,E585,H585,I585,P585,R585,S585),"")</f>
        <v/>
      </c>
      <c r="Y585" s="3" t="n"/>
      <c r="AJ585">
        <f>IFERROR(AVERAGEIF($A$4:$A$1004,AI585,$V$4:$V$1004),"")</f>
        <v/>
      </c>
      <c r="AK585">
        <f>IFERROR(AVERAGEIF($A$4:$A$1004,AI585,$W$4:$W$1004),"")</f>
        <v/>
      </c>
      <c r="AL585">
        <f>IFERROR(AVERAGEIF($A$4:$A$1004,AI585,$X$4:$X$1004),"")</f>
        <v/>
      </c>
    </row>
    <row r="586">
      <c r="A586" s="1">
        <f>IF(Data!A586&gt;0,Data!A586,"")</f>
        <v/>
      </c>
      <c r="B586" s="1">
        <f>IF(Data!B586&gt;0,Data!B586,"")</f>
        <v/>
      </c>
      <c r="C586" s="1">
        <f>IF(Data!C586&gt;0,Data!C586,"")</f>
        <v/>
      </c>
      <c r="D586" s="1">
        <f>IF(Data!D586&gt;0,Data!D586,"")</f>
        <v/>
      </c>
      <c r="E586" s="1">
        <f>IF(Data!E586&gt;0,Data!E586,"")</f>
        <v/>
      </c>
      <c r="F586" s="1">
        <f>IF(Data!F586&gt;0,Data!F586,"")</f>
        <v/>
      </c>
      <c r="G586" s="1">
        <f>IF(Data!G586&gt;0,Data!G586,"")</f>
        <v/>
      </c>
      <c r="H586" s="1">
        <f>IF(Data!H586&gt;0,Data!H586,"")</f>
        <v/>
      </c>
      <c r="I586" s="1">
        <f>IF(Data!I586&gt;0,Data!I586,"")</f>
        <v/>
      </c>
      <c r="J586" s="1">
        <f>IF(Data!J586&gt;0,Data!J586,"")</f>
        <v/>
      </c>
      <c r="K586" s="1">
        <f>IF(Data!K586&gt;0,Data!K586,"")</f>
        <v/>
      </c>
      <c r="L586" s="1">
        <f>IF(Data!L586&gt;0,Data!L586,"")</f>
        <v/>
      </c>
      <c r="M586" s="1">
        <f>IF(Data!M586&gt;0,Data!M586,"")</f>
        <v/>
      </c>
      <c r="N586" s="1">
        <f>IF(Data!N586&gt;0,Data!N586,"")</f>
        <v/>
      </c>
      <c r="O586" s="1">
        <f>IF(Data!O586&gt;0,Data!O586,"")</f>
        <v/>
      </c>
      <c r="P586" s="1">
        <f>IF(Data!P586&gt;0,Data!P586,"")</f>
        <v/>
      </c>
      <c r="Q586" s="1">
        <f>IF(Data!Q586&gt;0,Data!Q586,"")</f>
        <v/>
      </c>
      <c r="R586" s="1">
        <f>IF(Data!R586&gt;0,Data!R586,"")</f>
        <v/>
      </c>
      <c r="S586" s="1">
        <f>IF(Data!S586&gt;0,Data!S586,"")</f>
        <v/>
      </c>
      <c r="V586" s="3">
        <f>IF(COUNT(D586,J586,K586,L586,M586,O586)&gt;0,AVERAGE(D586,J586,K586,L586,M586,O586),"")</f>
        <v/>
      </c>
      <c r="W586" s="3">
        <f>IF(COUNT(C586,F586,G586,N586,Q586)&gt;0,AVERAGE(C586,F586,G586,N586,Q586),"")</f>
        <v/>
      </c>
      <c r="X586" s="3">
        <f>IF(COUNT(B586,E586,H586,I586,P586,R586,S586)&gt;0,AVERAGE(B586,E586,H586,I586,P586,R586,S586),"")</f>
        <v/>
      </c>
      <c r="Y586" s="3" t="n"/>
      <c r="AJ586">
        <f>IFERROR(AVERAGEIF($A$4:$A$1004,AI586,$V$4:$V$1004),"")</f>
        <v/>
      </c>
      <c r="AK586">
        <f>IFERROR(AVERAGEIF($A$4:$A$1004,AI586,$W$4:$W$1004),"")</f>
        <v/>
      </c>
      <c r="AL586">
        <f>IFERROR(AVERAGEIF($A$4:$A$1004,AI586,$X$4:$X$1004),"")</f>
        <v/>
      </c>
    </row>
    <row r="587">
      <c r="A587" s="1">
        <f>IF(Data!A587&gt;0,Data!A587,"")</f>
        <v/>
      </c>
      <c r="B587" s="1">
        <f>IF(Data!B587&gt;0,Data!B587,"")</f>
        <v/>
      </c>
      <c r="C587" s="1">
        <f>IF(Data!C587&gt;0,Data!C587,"")</f>
        <v/>
      </c>
      <c r="D587" s="1">
        <f>IF(Data!D587&gt;0,Data!D587,"")</f>
        <v/>
      </c>
      <c r="E587" s="1">
        <f>IF(Data!E587&gt;0,Data!E587,"")</f>
        <v/>
      </c>
      <c r="F587" s="1">
        <f>IF(Data!F587&gt;0,Data!F587,"")</f>
        <v/>
      </c>
      <c r="G587" s="1">
        <f>IF(Data!G587&gt;0,Data!G587,"")</f>
        <v/>
      </c>
      <c r="H587" s="1">
        <f>IF(Data!H587&gt;0,Data!H587,"")</f>
        <v/>
      </c>
      <c r="I587" s="1">
        <f>IF(Data!I587&gt;0,Data!I587,"")</f>
        <v/>
      </c>
      <c r="J587" s="1">
        <f>IF(Data!J587&gt;0,Data!J587,"")</f>
        <v/>
      </c>
      <c r="K587" s="1">
        <f>IF(Data!K587&gt;0,Data!K587,"")</f>
        <v/>
      </c>
      <c r="L587" s="1">
        <f>IF(Data!L587&gt;0,Data!L587,"")</f>
        <v/>
      </c>
      <c r="M587" s="1">
        <f>IF(Data!M587&gt;0,Data!M587,"")</f>
        <v/>
      </c>
      <c r="N587" s="1">
        <f>IF(Data!N587&gt;0,Data!N587,"")</f>
        <v/>
      </c>
      <c r="O587" s="1">
        <f>IF(Data!O587&gt;0,Data!O587,"")</f>
        <v/>
      </c>
      <c r="P587" s="1">
        <f>IF(Data!P587&gt;0,Data!P587,"")</f>
        <v/>
      </c>
      <c r="Q587" s="1">
        <f>IF(Data!Q587&gt;0,Data!Q587,"")</f>
        <v/>
      </c>
      <c r="R587" s="1">
        <f>IF(Data!R587&gt;0,Data!R587,"")</f>
        <v/>
      </c>
      <c r="S587" s="1">
        <f>IF(Data!S587&gt;0,Data!S587,"")</f>
        <v/>
      </c>
      <c r="V587" s="3">
        <f>IF(COUNT(D587,J587,K587,L587,M587,O587)&gt;0,AVERAGE(D587,J587,K587,L587,M587,O587),"")</f>
        <v/>
      </c>
      <c r="W587" s="3">
        <f>IF(COUNT(C587,F587,G587,N587,Q587)&gt;0,AVERAGE(C587,F587,G587,N587,Q587),"")</f>
        <v/>
      </c>
      <c r="X587" s="3">
        <f>IF(COUNT(B587,E587,H587,I587,P587,R587,S587)&gt;0,AVERAGE(B587,E587,H587,I587,P587,R587,S587),"")</f>
        <v/>
      </c>
      <c r="Y587" s="3" t="n"/>
      <c r="AJ587">
        <f>IFERROR(AVERAGEIF($A$4:$A$1004,AI587,$V$4:$V$1004),"")</f>
        <v/>
      </c>
      <c r="AK587">
        <f>IFERROR(AVERAGEIF($A$4:$A$1004,AI587,$W$4:$W$1004),"")</f>
        <v/>
      </c>
      <c r="AL587">
        <f>IFERROR(AVERAGEIF($A$4:$A$1004,AI587,$X$4:$X$1004),"")</f>
        <v/>
      </c>
    </row>
    <row r="588">
      <c r="A588" s="1">
        <f>IF(Data!A588&gt;0,Data!A588,"")</f>
        <v/>
      </c>
      <c r="B588" s="1">
        <f>IF(Data!B588&gt;0,Data!B588,"")</f>
        <v/>
      </c>
      <c r="C588" s="1">
        <f>IF(Data!C588&gt;0,Data!C588,"")</f>
        <v/>
      </c>
      <c r="D588" s="1">
        <f>IF(Data!D588&gt;0,Data!D588,"")</f>
        <v/>
      </c>
      <c r="E588" s="1">
        <f>IF(Data!E588&gt;0,Data!E588,"")</f>
        <v/>
      </c>
      <c r="F588" s="1">
        <f>IF(Data!F588&gt;0,Data!F588,"")</f>
        <v/>
      </c>
      <c r="G588" s="1">
        <f>IF(Data!G588&gt;0,Data!G588,"")</f>
        <v/>
      </c>
      <c r="H588" s="1">
        <f>IF(Data!H588&gt;0,Data!H588,"")</f>
        <v/>
      </c>
      <c r="I588" s="1">
        <f>IF(Data!I588&gt;0,Data!I588,"")</f>
        <v/>
      </c>
      <c r="J588" s="1">
        <f>IF(Data!J588&gt;0,Data!J588,"")</f>
        <v/>
      </c>
      <c r="K588" s="1">
        <f>IF(Data!K588&gt;0,Data!K588,"")</f>
        <v/>
      </c>
      <c r="L588" s="1">
        <f>IF(Data!L588&gt;0,Data!L588,"")</f>
        <v/>
      </c>
      <c r="M588" s="1">
        <f>IF(Data!M588&gt;0,Data!M588,"")</f>
        <v/>
      </c>
      <c r="N588" s="1">
        <f>IF(Data!N588&gt;0,Data!N588,"")</f>
        <v/>
      </c>
      <c r="O588" s="1">
        <f>IF(Data!O588&gt;0,Data!O588,"")</f>
        <v/>
      </c>
      <c r="P588" s="1">
        <f>IF(Data!P588&gt;0,Data!P588,"")</f>
        <v/>
      </c>
      <c r="Q588" s="1">
        <f>IF(Data!Q588&gt;0,Data!Q588,"")</f>
        <v/>
      </c>
      <c r="R588" s="1">
        <f>IF(Data!R588&gt;0,Data!R588,"")</f>
        <v/>
      </c>
      <c r="S588" s="1">
        <f>IF(Data!S588&gt;0,Data!S588,"")</f>
        <v/>
      </c>
      <c r="V588" s="3">
        <f>IF(COUNT(D588,J588,K588,L588,M588,O588)&gt;0,AVERAGE(D588,J588,K588,L588,M588,O588),"")</f>
        <v/>
      </c>
      <c r="W588" s="3">
        <f>IF(COUNT(C588,F588,G588,N588,Q588)&gt;0,AVERAGE(C588,F588,G588,N588,Q588),"")</f>
        <v/>
      </c>
      <c r="X588" s="3">
        <f>IF(COUNT(B588,E588,H588,I588,P588,R588,S588)&gt;0,AVERAGE(B588,E588,H588,I588,P588,R588,S588),"")</f>
        <v/>
      </c>
      <c r="Y588" s="3" t="n"/>
      <c r="AJ588">
        <f>IFERROR(AVERAGEIF($A$4:$A$1004,AI588,$V$4:$V$1004),"")</f>
        <v/>
      </c>
      <c r="AK588">
        <f>IFERROR(AVERAGEIF($A$4:$A$1004,AI588,$W$4:$W$1004),"")</f>
        <v/>
      </c>
      <c r="AL588">
        <f>IFERROR(AVERAGEIF($A$4:$A$1004,AI588,$X$4:$X$1004),"")</f>
        <v/>
      </c>
    </row>
    <row r="589">
      <c r="A589" s="1">
        <f>IF(Data!A589&gt;0,Data!A589,"")</f>
        <v/>
      </c>
      <c r="B589" s="1">
        <f>IF(Data!B589&gt;0,Data!B589,"")</f>
        <v/>
      </c>
      <c r="C589" s="1">
        <f>IF(Data!C589&gt;0,Data!C589,"")</f>
        <v/>
      </c>
      <c r="D589" s="1">
        <f>IF(Data!D589&gt;0,Data!D589,"")</f>
        <v/>
      </c>
      <c r="E589" s="1">
        <f>IF(Data!E589&gt;0,Data!E589,"")</f>
        <v/>
      </c>
      <c r="F589" s="1">
        <f>IF(Data!F589&gt;0,Data!F589,"")</f>
        <v/>
      </c>
      <c r="G589" s="1">
        <f>IF(Data!G589&gt;0,Data!G589,"")</f>
        <v/>
      </c>
      <c r="H589" s="1">
        <f>IF(Data!H589&gt;0,Data!H589,"")</f>
        <v/>
      </c>
      <c r="I589" s="1">
        <f>IF(Data!I589&gt;0,Data!I589,"")</f>
        <v/>
      </c>
      <c r="J589" s="1">
        <f>IF(Data!J589&gt;0,Data!J589,"")</f>
        <v/>
      </c>
      <c r="K589" s="1">
        <f>IF(Data!K589&gt;0,Data!K589,"")</f>
        <v/>
      </c>
      <c r="L589" s="1">
        <f>IF(Data!L589&gt;0,Data!L589,"")</f>
        <v/>
      </c>
      <c r="M589" s="1">
        <f>IF(Data!M589&gt;0,Data!M589,"")</f>
        <v/>
      </c>
      <c r="N589" s="1">
        <f>IF(Data!N589&gt;0,Data!N589,"")</f>
        <v/>
      </c>
      <c r="O589" s="1">
        <f>IF(Data!O589&gt;0,Data!O589,"")</f>
        <v/>
      </c>
      <c r="P589" s="1">
        <f>IF(Data!P589&gt;0,Data!P589,"")</f>
        <v/>
      </c>
      <c r="Q589" s="1">
        <f>IF(Data!Q589&gt;0,Data!Q589,"")</f>
        <v/>
      </c>
      <c r="R589" s="1">
        <f>IF(Data!R589&gt;0,Data!R589,"")</f>
        <v/>
      </c>
      <c r="S589" s="1">
        <f>IF(Data!S589&gt;0,Data!S589,"")</f>
        <v/>
      </c>
      <c r="V589" s="3">
        <f>IF(COUNT(D589,J589,K589,L589,M589,O589)&gt;0,AVERAGE(D589,J589,K589,L589,M589,O589),"")</f>
        <v/>
      </c>
      <c r="W589" s="3">
        <f>IF(COUNT(C589,F589,G589,N589,Q589)&gt;0,AVERAGE(C589,F589,G589,N589,Q589),"")</f>
        <v/>
      </c>
      <c r="X589" s="3">
        <f>IF(COUNT(B589,E589,H589,I589,P589,R589,S589)&gt;0,AVERAGE(B589,E589,H589,I589,P589,R589,S589),"")</f>
        <v/>
      </c>
      <c r="Y589" s="3" t="n"/>
      <c r="AJ589">
        <f>IFERROR(AVERAGEIF($A$4:$A$1004,AI589,$V$4:$V$1004),"")</f>
        <v/>
      </c>
      <c r="AK589">
        <f>IFERROR(AVERAGEIF($A$4:$A$1004,AI589,$W$4:$W$1004),"")</f>
        <v/>
      </c>
      <c r="AL589">
        <f>IFERROR(AVERAGEIF($A$4:$A$1004,AI589,$X$4:$X$1004),"")</f>
        <v/>
      </c>
    </row>
    <row r="590">
      <c r="A590" s="1">
        <f>IF(Data!A590&gt;0,Data!A590,"")</f>
        <v/>
      </c>
      <c r="B590" s="1">
        <f>IF(Data!B590&gt;0,Data!B590,"")</f>
        <v/>
      </c>
      <c r="C590" s="1">
        <f>IF(Data!C590&gt;0,Data!C590,"")</f>
        <v/>
      </c>
      <c r="D590" s="1">
        <f>IF(Data!D590&gt;0,Data!D590,"")</f>
        <v/>
      </c>
      <c r="E590" s="1">
        <f>IF(Data!E590&gt;0,Data!E590,"")</f>
        <v/>
      </c>
      <c r="F590" s="1">
        <f>IF(Data!F590&gt;0,Data!F590,"")</f>
        <v/>
      </c>
      <c r="G590" s="1">
        <f>IF(Data!G590&gt;0,Data!G590,"")</f>
        <v/>
      </c>
      <c r="H590" s="1">
        <f>IF(Data!H590&gt;0,Data!H590,"")</f>
        <v/>
      </c>
      <c r="I590" s="1">
        <f>IF(Data!I590&gt;0,Data!I590,"")</f>
        <v/>
      </c>
      <c r="J590" s="1">
        <f>IF(Data!J590&gt;0,Data!J590,"")</f>
        <v/>
      </c>
      <c r="K590" s="1">
        <f>IF(Data!K590&gt;0,Data!K590,"")</f>
        <v/>
      </c>
      <c r="L590" s="1">
        <f>IF(Data!L590&gt;0,Data!L590,"")</f>
        <v/>
      </c>
      <c r="M590" s="1">
        <f>IF(Data!M590&gt;0,Data!M590,"")</f>
        <v/>
      </c>
      <c r="N590" s="1">
        <f>IF(Data!N590&gt;0,Data!N590,"")</f>
        <v/>
      </c>
      <c r="O590" s="1">
        <f>IF(Data!O590&gt;0,Data!O590,"")</f>
        <v/>
      </c>
      <c r="P590" s="1">
        <f>IF(Data!P590&gt;0,Data!P590,"")</f>
        <v/>
      </c>
      <c r="Q590" s="1">
        <f>IF(Data!Q590&gt;0,Data!Q590,"")</f>
        <v/>
      </c>
      <c r="R590" s="1">
        <f>IF(Data!R590&gt;0,Data!R590,"")</f>
        <v/>
      </c>
      <c r="S590" s="1">
        <f>IF(Data!S590&gt;0,Data!S590,"")</f>
        <v/>
      </c>
      <c r="V590" s="3">
        <f>IF(COUNT(D590,J590,K590,L590,M590,O590)&gt;0,AVERAGE(D590,J590,K590,L590,M590,O590),"")</f>
        <v/>
      </c>
      <c r="W590" s="3">
        <f>IF(COUNT(C590,F590,G590,N590,Q590)&gt;0,AVERAGE(C590,F590,G590,N590,Q590),"")</f>
        <v/>
      </c>
      <c r="X590" s="3">
        <f>IF(COUNT(B590,E590,H590,I590,P590,R590,S590)&gt;0,AVERAGE(B590,E590,H590,I590,P590,R590,S590),"")</f>
        <v/>
      </c>
      <c r="Y590" s="3" t="n"/>
      <c r="AJ590">
        <f>IFERROR(AVERAGEIF($A$4:$A$1004,AI590,$V$4:$V$1004),"")</f>
        <v/>
      </c>
      <c r="AK590">
        <f>IFERROR(AVERAGEIF($A$4:$A$1004,AI590,$W$4:$W$1004),"")</f>
        <v/>
      </c>
      <c r="AL590">
        <f>IFERROR(AVERAGEIF($A$4:$A$1004,AI590,$X$4:$X$1004),"")</f>
        <v/>
      </c>
    </row>
    <row r="591">
      <c r="A591" s="1">
        <f>IF(Data!A591&gt;0,Data!A591,"")</f>
        <v/>
      </c>
      <c r="B591" s="1">
        <f>IF(Data!B591&gt;0,Data!B591,"")</f>
        <v/>
      </c>
      <c r="C591" s="1">
        <f>IF(Data!C591&gt;0,Data!C591,"")</f>
        <v/>
      </c>
      <c r="D591" s="1">
        <f>IF(Data!D591&gt;0,Data!D591,"")</f>
        <v/>
      </c>
      <c r="E591" s="1">
        <f>IF(Data!E591&gt;0,Data!E591,"")</f>
        <v/>
      </c>
      <c r="F591" s="1">
        <f>IF(Data!F591&gt;0,Data!F591,"")</f>
        <v/>
      </c>
      <c r="G591" s="1">
        <f>IF(Data!G591&gt;0,Data!G591,"")</f>
        <v/>
      </c>
      <c r="H591" s="1">
        <f>IF(Data!H591&gt;0,Data!H591,"")</f>
        <v/>
      </c>
      <c r="I591" s="1">
        <f>IF(Data!I591&gt;0,Data!I591,"")</f>
        <v/>
      </c>
      <c r="J591" s="1">
        <f>IF(Data!J591&gt;0,Data!J591,"")</f>
        <v/>
      </c>
      <c r="K591" s="1">
        <f>IF(Data!K591&gt;0,Data!K591,"")</f>
        <v/>
      </c>
      <c r="L591" s="1">
        <f>IF(Data!L591&gt;0,Data!L591,"")</f>
        <v/>
      </c>
      <c r="M591" s="1">
        <f>IF(Data!M591&gt;0,Data!M591,"")</f>
        <v/>
      </c>
      <c r="N591" s="1">
        <f>IF(Data!N591&gt;0,Data!N591,"")</f>
        <v/>
      </c>
      <c r="O591" s="1">
        <f>IF(Data!O591&gt;0,Data!O591,"")</f>
        <v/>
      </c>
      <c r="P591" s="1">
        <f>IF(Data!P591&gt;0,Data!P591,"")</f>
        <v/>
      </c>
      <c r="Q591" s="1">
        <f>IF(Data!Q591&gt;0,Data!Q591,"")</f>
        <v/>
      </c>
      <c r="R591" s="1">
        <f>IF(Data!R591&gt;0,Data!R591,"")</f>
        <v/>
      </c>
      <c r="S591" s="1">
        <f>IF(Data!S591&gt;0,Data!S591,"")</f>
        <v/>
      </c>
      <c r="V591" s="3">
        <f>IF(COUNT(D591,J591,K591,L591,M591,O591)&gt;0,AVERAGE(D591,J591,K591,L591,M591,O591),"")</f>
        <v/>
      </c>
      <c r="W591" s="3">
        <f>IF(COUNT(C591,F591,G591,N591,Q591)&gt;0,AVERAGE(C591,F591,G591,N591,Q591),"")</f>
        <v/>
      </c>
      <c r="X591" s="3">
        <f>IF(COUNT(B591,E591,H591,I591,P591,R591,S591)&gt;0,AVERAGE(B591,E591,H591,I591,P591,R591,S591),"")</f>
        <v/>
      </c>
      <c r="Y591" s="3" t="n"/>
      <c r="AJ591">
        <f>IFERROR(AVERAGEIF($A$4:$A$1004,AI591,$V$4:$V$1004),"")</f>
        <v/>
      </c>
      <c r="AK591">
        <f>IFERROR(AVERAGEIF($A$4:$A$1004,AI591,$W$4:$W$1004),"")</f>
        <v/>
      </c>
      <c r="AL591">
        <f>IFERROR(AVERAGEIF($A$4:$A$1004,AI591,$X$4:$X$1004),"")</f>
        <v/>
      </c>
    </row>
    <row r="592">
      <c r="A592" s="1">
        <f>IF(Data!A592&gt;0,Data!A592,"")</f>
        <v/>
      </c>
      <c r="B592" s="1">
        <f>IF(Data!B592&gt;0,Data!B592,"")</f>
        <v/>
      </c>
      <c r="C592" s="1">
        <f>IF(Data!C592&gt;0,Data!C592,"")</f>
        <v/>
      </c>
      <c r="D592" s="1">
        <f>IF(Data!D592&gt;0,Data!D592,"")</f>
        <v/>
      </c>
      <c r="E592" s="1">
        <f>IF(Data!E592&gt;0,Data!E592,"")</f>
        <v/>
      </c>
      <c r="F592" s="1">
        <f>IF(Data!F592&gt;0,Data!F592,"")</f>
        <v/>
      </c>
      <c r="G592" s="1">
        <f>IF(Data!G592&gt;0,Data!G592,"")</f>
        <v/>
      </c>
      <c r="H592" s="1">
        <f>IF(Data!H592&gt;0,Data!H592,"")</f>
        <v/>
      </c>
      <c r="I592" s="1">
        <f>IF(Data!I592&gt;0,Data!I592,"")</f>
        <v/>
      </c>
      <c r="J592" s="1">
        <f>IF(Data!J592&gt;0,Data!J592,"")</f>
        <v/>
      </c>
      <c r="K592" s="1">
        <f>IF(Data!K592&gt;0,Data!K592,"")</f>
        <v/>
      </c>
      <c r="L592" s="1">
        <f>IF(Data!L592&gt;0,Data!L592,"")</f>
        <v/>
      </c>
      <c r="M592" s="1">
        <f>IF(Data!M592&gt;0,Data!M592,"")</f>
        <v/>
      </c>
      <c r="N592" s="1">
        <f>IF(Data!N592&gt;0,Data!N592,"")</f>
        <v/>
      </c>
      <c r="O592" s="1">
        <f>IF(Data!O592&gt;0,Data!O592,"")</f>
        <v/>
      </c>
      <c r="P592" s="1">
        <f>IF(Data!P592&gt;0,Data!P592,"")</f>
        <v/>
      </c>
      <c r="Q592" s="1">
        <f>IF(Data!Q592&gt;0,Data!Q592,"")</f>
        <v/>
      </c>
      <c r="R592" s="1">
        <f>IF(Data!R592&gt;0,Data!R592,"")</f>
        <v/>
      </c>
      <c r="S592" s="1">
        <f>IF(Data!S592&gt;0,Data!S592,"")</f>
        <v/>
      </c>
      <c r="V592" s="3">
        <f>IF(COUNT(D592,J592,K592,L592,M592,O592)&gt;0,AVERAGE(D592,J592,K592,L592,M592,O592),"")</f>
        <v/>
      </c>
      <c r="W592" s="3">
        <f>IF(COUNT(C592,F592,G592,N592,Q592)&gt;0,AVERAGE(C592,F592,G592,N592,Q592),"")</f>
        <v/>
      </c>
      <c r="X592" s="3">
        <f>IF(COUNT(B592,E592,H592,I592,P592,R592,S592)&gt;0,AVERAGE(B592,E592,H592,I592,P592,R592,S592),"")</f>
        <v/>
      </c>
      <c r="Y592" s="3" t="n"/>
      <c r="AJ592">
        <f>IFERROR(AVERAGEIF($A$4:$A$1004,AI592,$V$4:$V$1004),"")</f>
        <v/>
      </c>
      <c r="AK592">
        <f>IFERROR(AVERAGEIF($A$4:$A$1004,AI592,$W$4:$W$1004),"")</f>
        <v/>
      </c>
      <c r="AL592">
        <f>IFERROR(AVERAGEIF($A$4:$A$1004,AI592,$X$4:$X$1004),"")</f>
        <v/>
      </c>
    </row>
    <row r="593">
      <c r="A593" s="1">
        <f>IF(Data!A593&gt;0,Data!A593,"")</f>
        <v/>
      </c>
      <c r="B593" s="1">
        <f>IF(Data!B593&gt;0,Data!B593,"")</f>
        <v/>
      </c>
      <c r="C593" s="1">
        <f>IF(Data!C593&gt;0,Data!C593,"")</f>
        <v/>
      </c>
      <c r="D593" s="1">
        <f>IF(Data!D593&gt;0,Data!D593,"")</f>
        <v/>
      </c>
      <c r="E593" s="1">
        <f>IF(Data!E593&gt;0,Data!E593,"")</f>
        <v/>
      </c>
      <c r="F593" s="1">
        <f>IF(Data!F593&gt;0,Data!F593,"")</f>
        <v/>
      </c>
      <c r="G593" s="1">
        <f>IF(Data!G593&gt;0,Data!G593,"")</f>
        <v/>
      </c>
      <c r="H593" s="1">
        <f>IF(Data!H593&gt;0,Data!H593,"")</f>
        <v/>
      </c>
      <c r="I593" s="1">
        <f>IF(Data!I593&gt;0,Data!I593,"")</f>
        <v/>
      </c>
      <c r="J593" s="1">
        <f>IF(Data!J593&gt;0,Data!J593,"")</f>
        <v/>
      </c>
      <c r="K593" s="1">
        <f>IF(Data!K593&gt;0,Data!K593,"")</f>
        <v/>
      </c>
      <c r="L593" s="1">
        <f>IF(Data!L593&gt;0,Data!L593,"")</f>
        <v/>
      </c>
      <c r="M593" s="1">
        <f>IF(Data!M593&gt;0,Data!M593,"")</f>
        <v/>
      </c>
      <c r="N593" s="1">
        <f>IF(Data!N593&gt;0,Data!N593,"")</f>
        <v/>
      </c>
      <c r="O593" s="1">
        <f>IF(Data!O593&gt;0,Data!O593,"")</f>
        <v/>
      </c>
      <c r="P593" s="1">
        <f>IF(Data!P593&gt;0,Data!P593,"")</f>
        <v/>
      </c>
      <c r="Q593" s="1">
        <f>IF(Data!Q593&gt;0,Data!Q593,"")</f>
        <v/>
      </c>
      <c r="R593" s="1">
        <f>IF(Data!R593&gt;0,Data!R593,"")</f>
        <v/>
      </c>
      <c r="S593" s="1">
        <f>IF(Data!S593&gt;0,Data!S593,"")</f>
        <v/>
      </c>
      <c r="V593" s="3">
        <f>IF(COUNT(D593,J593,K593,L593,M593,O593)&gt;0,AVERAGE(D593,J593,K593,L593,M593,O593),"")</f>
        <v/>
      </c>
      <c r="W593" s="3">
        <f>IF(COUNT(C593,F593,G593,N593,Q593)&gt;0,AVERAGE(C593,F593,G593,N593,Q593),"")</f>
        <v/>
      </c>
      <c r="X593" s="3">
        <f>IF(COUNT(B593,E593,H593,I593,P593,R593,S593)&gt;0,AVERAGE(B593,E593,H593,I593,P593,R593,S593),"")</f>
        <v/>
      </c>
      <c r="Y593" s="3" t="n"/>
      <c r="AJ593">
        <f>IFERROR(AVERAGEIF($A$4:$A$1004,AI593,$V$4:$V$1004),"")</f>
        <v/>
      </c>
      <c r="AK593">
        <f>IFERROR(AVERAGEIF($A$4:$A$1004,AI593,$W$4:$W$1004),"")</f>
        <v/>
      </c>
      <c r="AL593">
        <f>IFERROR(AVERAGEIF($A$4:$A$1004,AI593,$X$4:$X$1004),"")</f>
        <v/>
      </c>
    </row>
    <row r="594">
      <c r="A594" s="1">
        <f>IF(Data!A594&gt;0,Data!A594,"")</f>
        <v/>
      </c>
      <c r="B594" s="1">
        <f>IF(Data!B594&gt;0,Data!B594,"")</f>
        <v/>
      </c>
      <c r="C594" s="1">
        <f>IF(Data!C594&gt;0,Data!C594,"")</f>
        <v/>
      </c>
      <c r="D594" s="1">
        <f>IF(Data!D594&gt;0,Data!D594,"")</f>
        <v/>
      </c>
      <c r="E594" s="1">
        <f>IF(Data!E594&gt;0,Data!E594,"")</f>
        <v/>
      </c>
      <c r="F594" s="1">
        <f>IF(Data!F594&gt;0,Data!F594,"")</f>
        <v/>
      </c>
      <c r="G594" s="1">
        <f>IF(Data!G594&gt;0,Data!G594,"")</f>
        <v/>
      </c>
      <c r="H594" s="1">
        <f>IF(Data!H594&gt;0,Data!H594,"")</f>
        <v/>
      </c>
      <c r="I594" s="1">
        <f>IF(Data!I594&gt;0,Data!I594,"")</f>
        <v/>
      </c>
      <c r="J594" s="1">
        <f>IF(Data!J594&gt;0,Data!J594,"")</f>
        <v/>
      </c>
      <c r="K594" s="1">
        <f>IF(Data!K594&gt;0,Data!K594,"")</f>
        <v/>
      </c>
      <c r="L594" s="1">
        <f>IF(Data!L594&gt;0,Data!L594,"")</f>
        <v/>
      </c>
      <c r="M594" s="1">
        <f>IF(Data!M594&gt;0,Data!M594,"")</f>
        <v/>
      </c>
      <c r="N594" s="1">
        <f>IF(Data!N594&gt;0,Data!N594,"")</f>
        <v/>
      </c>
      <c r="O594" s="1">
        <f>IF(Data!O594&gt;0,Data!O594,"")</f>
        <v/>
      </c>
      <c r="P594" s="1">
        <f>IF(Data!P594&gt;0,Data!P594,"")</f>
        <v/>
      </c>
      <c r="Q594" s="1">
        <f>IF(Data!Q594&gt;0,Data!Q594,"")</f>
        <v/>
      </c>
      <c r="R594" s="1">
        <f>IF(Data!R594&gt;0,Data!R594,"")</f>
        <v/>
      </c>
      <c r="S594" s="1">
        <f>IF(Data!S594&gt;0,Data!S594,"")</f>
        <v/>
      </c>
      <c r="V594" s="3">
        <f>IF(COUNT(D594,J594,K594,L594,M594,O594)&gt;0,AVERAGE(D594,J594,K594,L594,M594,O594),"")</f>
        <v/>
      </c>
      <c r="W594" s="3">
        <f>IF(COUNT(C594,F594,G594,N594,Q594)&gt;0,AVERAGE(C594,F594,G594,N594,Q594),"")</f>
        <v/>
      </c>
      <c r="X594" s="3">
        <f>IF(COUNT(B594,E594,H594,I594,P594,R594,S594)&gt;0,AVERAGE(B594,E594,H594,I594,P594,R594,S594),"")</f>
        <v/>
      </c>
      <c r="Y594" s="3" t="n"/>
      <c r="AJ594">
        <f>IFERROR(AVERAGEIF($A$4:$A$1004,AI594,$V$4:$V$1004),"")</f>
        <v/>
      </c>
      <c r="AK594">
        <f>IFERROR(AVERAGEIF($A$4:$A$1004,AI594,$W$4:$W$1004),"")</f>
        <v/>
      </c>
      <c r="AL594">
        <f>IFERROR(AVERAGEIF($A$4:$A$1004,AI594,$X$4:$X$1004),"")</f>
        <v/>
      </c>
    </row>
    <row r="595">
      <c r="A595" s="1">
        <f>IF(Data!A595&gt;0,Data!A595,"")</f>
        <v/>
      </c>
      <c r="B595" s="1">
        <f>IF(Data!B595&gt;0,Data!B595,"")</f>
        <v/>
      </c>
      <c r="C595" s="1">
        <f>IF(Data!C595&gt;0,Data!C595,"")</f>
        <v/>
      </c>
      <c r="D595" s="1">
        <f>IF(Data!D595&gt;0,Data!D595,"")</f>
        <v/>
      </c>
      <c r="E595" s="1">
        <f>IF(Data!E595&gt;0,Data!E595,"")</f>
        <v/>
      </c>
      <c r="F595" s="1">
        <f>IF(Data!F595&gt;0,Data!F595,"")</f>
        <v/>
      </c>
      <c r="G595" s="1">
        <f>IF(Data!G595&gt;0,Data!G595,"")</f>
        <v/>
      </c>
      <c r="H595" s="1">
        <f>IF(Data!H595&gt;0,Data!H595,"")</f>
        <v/>
      </c>
      <c r="I595" s="1">
        <f>IF(Data!I595&gt;0,Data!I595,"")</f>
        <v/>
      </c>
      <c r="J595" s="1">
        <f>IF(Data!J595&gt;0,Data!J595,"")</f>
        <v/>
      </c>
      <c r="K595" s="1">
        <f>IF(Data!K595&gt;0,Data!K595,"")</f>
        <v/>
      </c>
      <c r="L595" s="1">
        <f>IF(Data!L595&gt;0,Data!L595,"")</f>
        <v/>
      </c>
      <c r="M595" s="1">
        <f>IF(Data!M595&gt;0,Data!M595,"")</f>
        <v/>
      </c>
      <c r="N595" s="1">
        <f>IF(Data!N595&gt;0,Data!N595,"")</f>
        <v/>
      </c>
      <c r="O595" s="1">
        <f>IF(Data!O595&gt;0,Data!O595,"")</f>
        <v/>
      </c>
      <c r="P595" s="1">
        <f>IF(Data!P595&gt;0,Data!P595,"")</f>
        <v/>
      </c>
      <c r="Q595" s="1">
        <f>IF(Data!Q595&gt;0,Data!Q595,"")</f>
        <v/>
      </c>
      <c r="R595" s="1">
        <f>IF(Data!R595&gt;0,Data!R595,"")</f>
        <v/>
      </c>
      <c r="S595" s="1">
        <f>IF(Data!S595&gt;0,Data!S595,"")</f>
        <v/>
      </c>
      <c r="V595" s="3">
        <f>IF(COUNT(D595,J595,K595,L595,M595,O595)&gt;0,AVERAGE(D595,J595,K595,L595,M595,O595),"")</f>
        <v/>
      </c>
      <c r="W595" s="3">
        <f>IF(COUNT(C595,F595,G595,N595,Q595)&gt;0,AVERAGE(C595,F595,G595,N595,Q595),"")</f>
        <v/>
      </c>
      <c r="X595" s="3">
        <f>IF(COUNT(B595,E595,H595,I595,P595,R595,S595)&gt;0,AVERAGE(B595,E595,H595,I595,P595,R595,S595),"")</f>
        <v/>
      </c>
      <c r="Y595" s="3" t="n"/>
      <c r="AJ595">
        <f>IFERROR(AVERAGEIF($A$4:$A$1004,AI595,$V$4:$V$1004),"")</f>
        <v/>
      </c>
      <c r="AK595">
        <f>IFERROR(AVERAGEIF($A$4:$A$1004,AI595,$W$4:$W$1004),"")</f>
        <v/>
      </c>
      <c r="AL595">
        <f>IFERROR(AVERAGEIF($A$4:$A$1004,AI595,$X$4:$X$1004),"")</f>
        <v/>
      </c>
    </row>
    <row r="596">
      <c r="A596" s="1">
        <f>IF(Data!A596&gt;0,Data!A596,"")</f>
        <v/>
      </c>
      <c r="B596" s="1">
        <f>IF(Data!B596&gt;0,Data!B596,"")</f>
        <v/>
      </c>
      <c r="C596" s="1">
        <f>IF(Data!C596&gt;0,Data!C596,"")</f>
        <v/>
      </c>
      <c r="D596" s="1">
        <f>IF(Data!D596&gt;0,Data!D596,"")</f>
        <v/>
      </c>
      <c r="E596" s="1">
        <f>IF(Data!E596&gt;0,Data!E596,"")</f>
        <v/>
      </c>
      <c r="F596" s="1">
        <f>IF(Data!F596&gt;0,Data!F596,"")</f>
        <v/>
      </c>
      <c r="G596" s="1">
        <f>IF(Data!G596&gt;0,Data!G596,"")</f>
        <v/>
      </c>
      <c r="H596" s="1">
        <f>IF(Data!H596&gt;0,Data!H596,"")</f>
        <v/>
      </c>
      <c r="I596" s="1">
        <f>IF(Data!I596&gt;0,Data!I596,"")</f>
        <v/>
      </c>
      <c r="J596" s="1">
        <f>IF(Data!J596&gt;0,Data!J596,"")</f>
        <v/>
      </c>
      <c r="K596" s="1">
        <f>IF(Data!K596&gt;0,Data!K596,"")</f>
        <v/>
      </c>
      <c r="L596" s="1">
        <f>IF(Data!L596&gt;0,Data!L596,"")</f>
        <v/>
      </c>
      <c r="M596" s="1">
        <f>IF(Data!M596&gt;0,Data!M596,"")</f>
        <v/>
      </c>
      <c r="N596" s="1">
        <f>IF(Data!N596&gt;0,Data!N596,"")</f>
        <v/>
      </c>
      <c r="O596" s="1">
        <f>IF(Data!O596&gt;0,Data!O596,"")</f>
        <v/>
      </c>
      <c r="P596" s="1">
        <f>IF(Data!P596&gt;0,Data!P596,"")</f>
        <v/>
      </c>
      <c r="Q596" s="1">
        <f>IF(Data!Q596&gt;0,Data!Q596,"")</f>
        <v/>
      </c>
      <c r="R596" s="1">
        <f>IF(Data!R596&gt;0,Data!R596,"")</f>
        <v/>
      </c>
      <c r="S596" s="1">
        <f>IF(Data!S596&gt;0,Data!S596,"")</f>
        <v/>
      </c>
      <c r="V596" s="3">
        <f>IF(COUNT(D596,J596,K596,L596,M596,O596)&gt;0,AVERAGE(D596,J596,K596,L596,M596,O596),"")</f>
        <v/>
      </c>
      <c r="W596" s="3">
        <f>IF(COUNT(C596,F596,G596,N596,Q596)&gt;0,AVERAGE(C596,F596,G596,N596,Q596),"")</f>
        <v/>
      </c>
      <c r="X596" s="3">
        <f>IF(COUNT(B596,E596,H596,I596,P596,R596,S596)&gt;0,AVERAGE(B596,E596,H596,I596,P596,R596,S596),"")</f>
        <v/>
      </c>
      <c r="Y596" s="3" t="n"/>
      <c r="AJ596">
        <f>IFERROR(AVERAGEIF($A$4:$A$1004,AI596,$V$4:$V$1004),"")</f>
        <v/>
      </c>
      <c r="AK596">
        <f>IFERROR(AVERAGEIF($A$4:$A$1004,AI596,$W$4:$W$1004),"")</f>
        <v/>
      </c>
      <c r="AL596">
        <f>IFERROR(AVERAGEIF($A$4:$A$1004,AI596,$X$4:$X$1004),"")</f>
        <v/>
      </c>
    </row>
    <row r="597">
      <c r="A597" s="1">
        <f>IF(Data!A597&gt;0,Data!A597,"")</f>
        <v/>
      </c>
      <c r="B597" s="1">
        <f>IF(Data!B597&gt;0,Data!B597,"")</f>
        <v/>
      </c>
      <c r="C597" s="1">
        <f>IF(Data!C597&gt;0,Data!C597,"")</f>
        <v/>
      </c>
      <c r="D597" s="1">
        <f>IF(Data!D597&gt;0,Data!D597,"")</f>
        <v/>
      </c>
      <c r="E597" s="1">
        <f>IF(Data!E597&gt;0,Data!E597,"")</f>
        <v/>
      </c>
      <c r="F597" s="1">
        <f>IF(Data!F597&gt;0,Data!F597,"")</f>
        <v/>
      </c>
      <c r="G597" s="1">
        <f>IF(Data!G597&gt;0,Data!G597,"")</f>
        <v/>
      </c>
      <c r="H597" s="1">
        <f>IF(Data!H597&gt;0,Data!H597,"")</f>
        <v/>
      </c>
      <c r="I597" s="1">
        <f>IF(Data!I597&gt;0,Data!I597,"")</f>
        <v/>
      </c>
      <c r="J597" s="1">
        <f>IF(Data!J597&gt;0,Data!J597,"")</f>
        <v/>
      </c>
      <c r="K597" s="1">
        <f>IF(Data!K597&gt;0,Data!K597,"")</f>
        <v/>
      </c>
      <c r="L597" s="1">
        <f>IF(Data!L597&gt;0,Data!L597,"")</f>
        <v/>
      </c>
      <c r="M597" s="1">
        <f>IF(Data!M597&gt;0,Data!M597,"")</f>
        <v/>
      </c>
      <c r="N597" s="1">
        <f>IF(Data!N597&gt;0,Data!N597,"")</f>
        <v/>
      </c>
      <c r="O597" s="1">
        <f>IF(Data!O597&gt;0,Data!O597,"")</f>
        <v/>
      </c>
      <c r="P597" s="1">
        <f>IF(Data!P597&gt;0,Data!P597,"")</f>
        <v/>
      </c>
      <c r="Q597" s="1">
        <f>IF(Data!Q597&gt;0,Data!Q597,"")</f>
        <v/>
      </c>
      <c r="R597" s="1">
        <f>IF(Data!R597&gt;0,Data!R597,"")</f>
        <v/>
      </c>
      <c r="S597" s="1">
        <f>IF(Data!S597&gt;0,Data!S597,"")</f>
        <v/>
      </c>
      <c r="V597" s="3">
        <f>IF(COUNT(D597,J597,K597,L597,M597,O597)&gt;0,AVERAGE(D597,J597,K597,L597,M597,O597),"")</f>
        <v/>
      </c>
      <c r="W597" s="3">
        <f>IF(COUNT(C597,F597,G597,N597,Q597)&gt;0,AVERAGE(C597,F597,G597,N597,Q597),"")</f>
        <v/>
      </c>
      <c r="X597" s="3">
        <f>IF(COUNT(B597,E597,H597,I597,P597,R597,S597)&gt;0,AVERAGE(B597,E597,H597,I597,P597,R597,S597),"")</f>
        <v/>
      </c>
      <c r="Y597" s="3" t="n"/>
      <c r="AJ597">
        <f>IFERROR(AVERAGEIF($A$4:$A$1004,AI597,$V$4:$V$1004),"")</f>
        <v/>
      </c>
      <c r="AK597">
        <f>IFERROR(AVERAGEIF($A$4:$A$1004,AI597,$W$4:$W$1004),"")</f>
        <v/>
      </c>
      <c r="AL597">
        <f>IFERROR(AVERAGEIF($A$4:$A$1004,AI597,$X$4:$X$1004),"")</f>
        <v/>
      </c>
    </row>
    <row r="598">
      <c r="A598" s="1">
        <f>IF(Data!A598&gt;0,Data!A598,"")</f>
        <v/>
      </c>
      <c r="B598" s="1">
        <f>IF(Data!B598&gt;0,Data!B598,"")</f>
        <v/>
      </c>
      <c r="C598" s="1">
        <f>IF(Data!C598&gt;0,Data!C598,"")</f>
        <v/>
      </c>
      <c r="D598" s="1">
        <f>IF(Data!D598&gt;0,Data!D598,"")</f>
        <v/>
      </c>
      <c r="E598" s="1">
        <f>IF(Data!E598&gt;0,Data!E598,"")</f>
        <v/>
      </c>
      <c r="F598" s="1">
        <f>IF(Data!F598&gt;0,Data!F598,"")</f>
        <v/>
      </c>
      <c r="G598" s="1">
        <f>IF(Data!G598&gt;0,Data!G598,"")</f>
        <v/>
      </c>
      <c r="H598" s="1">
        <f>IF(Data!H598&gt;0,Data!H598,"")</f>
        <v/>
      </c>
      <c r="I598" s="1">
        <f>IF(Data!I598&gt;0,Data!I598,"")</f>
        <v/>
      </c>
      <c r="J598" s="1">
        <f>IF(Data!J598&gt;0,Data!J598,"")</f>
        <v/>
      </c>
      <c r="K598" s="1">
        <f>IF(Data!K598&gt;0,Data!K598,"")</f>
        <v/>
      </c>
      <c r="L598" s="1">
        <f>IF(Data!L598&gt;0,Data!L598,"")</f>
        <v/>
      </c>
      <c r="M598" s="1">
        <f>IF(Data!M598&gt;0,Data!M598,"")</f>
        <v/>
      </c>
      <c r="N598" s="1">
        <f>IF(Data!N598&gt;0,Data!N598,"")</f>
        <v/>
      </c>
      <c r="O598" s="1">
        <f>IF(Data!O598&gt;0,Data!O598,"")</f>
        <v/>
      </c>
      <c r="P598" s="1">
        <f>IF(Data!P598&gt;0,Data!P598,"")</f>
        <v/>
      </c>
      <c r="Q598" s="1">
        <f>IF(Data!Q598&gt;0,Data!Q598,"")</f>
        <v/>
      </c>
      <c r="R598" s="1">
        <f>IF(Data!R598&gt;0,Data!R598,"")</f>
        <v/>
      </c>
      <c r="S598" s="1">
        <f>IF(Data!S598&gt;0,Data!S598,"")</f>
        <v/>
      </c>
      <c r="V598" s="3">
        <f>IF(COUNT(D598,J598,K598,L598,M598,O598)&gt;0,AVERAGE(D598,J598,K598,L598,M598,O598),"")</f>
        <v/>
      </c>
      <c r="W598" s="3">
        <f>IF(COUNT(C598,F598,G598,N598,Q598)&gt;0,AVERAGE(C598,F598,G598,N598,Q598),"")</f>
        <v/>
      </c>
      <c r="X598" s="3">
        <f>IF(COUNT(B598,E598,H598,I598,P598,R598,S598)&gt;0,AVERAGE(B598,E598,H598,I598,P598,R598,S598),"")</f>
        <v/>
      </c>
      <c r="Y598" s="3" t="n"/>
      <c r="AJ598">
        <f>IFERROR(AVERAGEIF($A$4:$A$1004,AI598,$V$4:$V$1004),"")</f>
        <v/>
      </c>
      <c r="AK598">
        <f>IFERROR(AVERAGEIF($A$4:$A$1004,AI598,$W$4:$W$1004),"")</f>
        <v/>
      </c>
      <c r="AL598">
        <f>IFERROR(AVERAGEIF($A$4:$A$1004,AI598,$X$4:$X$1004),"")</f>
        <v/>
      </c>
    </row>
    <row r="599">
      <c r="A599" s="1">
        <f>IF(Data!A599&gt;0,Data!A599,"")</f>
        <v/>
      </c>
      <c r="B599" s="1">
        <f>IF(Data!B599&gt;0,Data!B599,"")</f>
        <v/>
      </c>
      <c r="C599" s="1">
        <f>IF(Data!C599&gt;0,Data!C599,"")</f>
        <v/>
      </c>
      <c r="D599" s="1">
        <f>IF(Data!D599&gt;0,Data!D599,"")</f>
        <v/>
      </c>
      <c r="E599" s="1">
        <f>IF(Data!E599&gt;0,Data!E599,"")</f>
        <v/>
      </c>
      <c r="F599" s="1">
        <f>IF(Data!F599&gt;0,Data!F599,"")</f>
        <v/>
      </c>
      <c r="G599" s="1">
        <f>IF(Data!G599&gt;0,Data!G599,"")</f>
        <v/>
      </c>
      <c r="H599" s="1">
        <f>IF(Data!H599&gt;0,Data!H599,"")</f>
        <v/>
      </c>
      <c r="I599" s="1">
        <f>IF(Data!I599&gt;0,Data!I599,"")</f>
        <v/>
      </c>
      <c r="J599" s="1">
        <f>IF(Data!J599&gt;0,Data!J599,"")</f>
        <v/>
      </c>
      <c r="K599" s="1">
        <f>IF(Data!K599&gt;0,Data!K599,"")</f>
        <v/>
      </c>
      <c r="L599" s="1">
        <f>IF(Data!L599&gt;0,Data!L599,"")</f>
        <v/>
      </c>
      <c r="M599" s="1">
        <f>IF(Data!M599&gt;0,Data!M599,"")</f>
        <v/>
      </c>
      <c r="N599" s="1">
        <f>IF(Data!N599&gt;0,Data!N599,"")</f>
        <v/>
      </c>
      <c r="O599" s="1">
        <f>IF(Data!O599&gt;0,Data!O599,"")</f>
        <v/>
      </c>
      <c r="P599" s="1">
        <f>IF(Data!P599&gt;0,Data!P599,"")</f>
        <v/>
      </c>
      <c r="Q599" s="1">
        <f>IF(Data!Q599&gt;0,Data!Q599,"")</f>
        <v/>
      </c>
      <c r="R599" s="1">
        <f>IF(Data!R599&gt;0,Data!R599,"")</f>
        <v/>
      </c>
      <c r="S599" s="1">
        <f>IF(Data!S599&gt;0,Data!S599,"")</f>
        <v/>
      </c>
      <c r="V599" s="3">
        <f>IF(COUNT(D599,J599,K599,L599,M599,O599)&gt;0,AVERAGE(D599,J599,K599,L599,M599,O599),"")</f>
        <v/>
      </c>
      <c r="W599" s="3">
        <f>IF(COUNT(C599,F599,G599,N599,Q599)&gt;0,AVERAGE(C599,F599,G599,N599,Q599),"")</f>
        <v/>
      </c>
      <c r="X599" s="3">
        <f>IF(COUNT(B599,E599,H599,I599,P599,R599,S599)&gt;0,AVERAGE(B599,E599,H599,I599,P599,R599,S599),"")</f>
        <v/>
      </c>
      <c r="Y599" s="3" t="n"/>
      <c r="AJ599">
        <f>IFERROR(AVERAGEIF($A$4:$A$1004,AI599,$V$4:$V$1004),"")</f>
        <v/>
      </c>
      <c r="AK599">
        <f>IFERROR(AVERAGEIF($A$4:$A$1004,AI599,$W$4:$W$1004),"")</f>
        <v/>
      </c>
      <c r="AL599">
        <f>IFERROR(AVERAGEIF($A$4:$A$1004,AI599,$X$4:$X$1004),"")</f>
        <v/>
      </c>
    </row>
    <row r="600">
      <c r="A600" s="1">
        <f>IF(Data!A600&gt;0,Data!A600,"")</f>
        <v/>
      </c>
      <c r="B600" s="1">
        <f>IF(Data!B600&gt;0,Data!B600,"")</f>
        <v/>
      </c>
      <c r="C600" s="1">
        <f>IF(Data!C600&gt;0,Data!C600,"")</f>
        <v/>
      </c>
      <c r="D600" s="1">
        <f>IF(Data!D600&gt;0,Data!D600,"")</f>
        <v/>
      </c>
      <c r="E600" s="1">
        <f>IF(Data!E600&gt;0,Data!E600,"")</f>
        <v/>
      </c>
      <c r="F600" s="1">
        <f>IF(Data!F600&gt;0,Data!F600,"")</f>
        <v/>
      </c>
      <c r="G600" s="1">
        <f>IF(Data!G600&gt;0,Data!G600,"")</f>
        <v/>
      </c>
      <c r="H600" s="1">
        <f>IF(Data!H600&gt;0,Data!H600,"")</f>
        <v/>
      </c>
      <c r="I600" s="1">
        <f>IF(Data!I600&gt;0,Data!I600,"")</f>
        <v/>
      </c>
      <c r="J600" s="1">
        <f>IF(Data!J600&gt;0,Data!J600,"")</f>
        <v/>
      </c>
      <c r="K600" s="1">
        <f>IF(Data!K600&gt;0,Data!K600,"")</f>
        <v/>
      </c>
      <c r="L600" s="1">
        <f>IF(Data!L600&gt;0,Data!L600,"")</f>
        <v/>
      </c>
      <c r="M600" s="1">
        <f>IF(Data!M600&gt;0,Data!M600,"")</f>
        <v/>
      </c>
      <c r="N600" s="1">
        <f>IF(Data!N600&gt;0,Data!N600,"")</f>
        <v/>
      </c>
      <c r="O600" s="1">
        <f>IF(Data!O600&gt;0,Data!O600,"")</f>
        <v/>
      </c>
      <c r="P600" s="1">
        <f>IF(Data!P600&gt;0,Data!P600,"")</f>
        <v/>
      </c>
      <c r="Q600" s="1">
        <f>IF(Data!Q600&gt;0,Data!Q600,"")</f>
        <v/>
      </c>
      <c r="R600" s="1">
        <f>IF(Data!R600&gt;0,Data!R600,"")</f>
        <v/>
      </c>
      <c r="S600" s="1">
        <f>IF(Data!S600&gt;0,Data!S600,"")</f>
        <v/>
      </c>
      <c r="V600" s="3">
        <f>IF(COUNT(D600,J600,K600,L600,M600,O600)&gt;0,AVERAGE(D600,J600,K600,L600,M600,O600),"")</f>
        <v/>
      </c>
      <c r="W600" s="3">
        <f>IF(COUNT(C600,F600,G600,N600,Q600)&gt;0,AVERAGE(C600,F600,G600,N600,Q600),"")</f>
        <v/>
      </c>
      <c r="X600" s="3">
        <f>IF(COUNT(B600,E600,H600,I600,P600,R600,S600)&gt;0,AVERAGE(B600,E600,H600,I600,P600,R600,S600),"")</f>
        <v/>
      </c>
      <c r="Y600" s="3" t="n"/>
      <c r="AJ600">
        <f>IFERROR(AVERAGEIF($A$4:$A$1004,AI600,$V$4:$V$1004),"")</f>
        <v/>
      </c>
      <c r="AK600">
        <f>IFERROR(AVERAGEIF($A$4:$A$1004,AI600,$W$4:$W$1004),"")</f>
        <v/>
      </c>
      <c r="AL600">
        <f>IFERROR(AVERAGEIF($A$4:$A$1004,AI600,$X$4:$X$1004),"")</f>
        <v/>
      </c>
    </row>
    <row r="601">
      <c r="A601" s="1">
        <f>IF(Data!A601&gt;0,Data!A601,"")</f>
        <v/>
      </c>
      <c r="B601" s="1">
        <f>IF(Data!B601&gt;0,Data!B601,"")</f>
        <v/>
      </c>
      <c r="C601" s="1">
        <f>IF(Data!C601&gt;0,Data!C601,"")</f>
        <v/>
      </c>
      <c r="D601" s="1">
        <f>IF(Data!D601&gt;0,Data!D601,"")</f>
        <v/>
      </c>
      <c r="E601" s="1">
        <f>IF(Data!E601&gt;0,Data!E601,"")</f>
        <v/>
      </c>
      <c r="F601" s="1">
        <f>IF(Data!F601&gt;0,Data!F601,"")</f>
        <v/>
      </c>
      <c r="G601" s="1">
        <f>IF(Data!G601&gt;0,Data!G601,"")</f>
        <v/>
      </c>
      <c r="H601" s="1">
        <f>IF(Data!H601&gt;0,Data!H601,"")</f>
        <v/>
      </c>
      <c r="I601" s="1">
        <f>IF(Data!I601&gt;0,Data!I601,"")</f>
        <v/>
      </c>
      <c r="J601" s="1">
        <f>IF(Data!J601&gt;0,Data!J601,"")</f>
        <v/>
      </c>
      <c r="K601" s="1">
        <f>IF(Data!K601&gt;0,Data!K601,"")</f>
        <v/>
      </c>
      <c r="L601" s="1">
        <f>IF(Data!L601&gt;0,Data!L601,"")</f>
        <v/>
      </c>
      <c r="M601" s="1">
        <f>IF(Data!M601&gt;0,Data!M601,"")</f>
        <v/>
      </c>
      <c r="N601" s="1">
        <f>IF(Data!N601&gt;0,Data!N601,"")</f>
        <v/>
      </c>
      <c r="O601" s="1">
        <f>IF(Data!O601&gt;0,Data!O601,"")</f>
        <v/>
      </c>
      <c r="P601" s="1">
        <f>IF(Data!P601&gt;0,Data!P601,"")</f>
        <v/>
      </c>
      <c r="Q601" s="1">
        <f>IF(Data!Q601&gt;0,Data!Q601,"")</f>
        <v/>
      </c>
      <c r="R601" s="1">
        <f>IF(Data!R601&gt;0,Data!R601,"")</f>
        <v/>
      </c>
      <c r="S601" s="1">
        <f>IF(Data!S601&gt;0,Data!S601,"")</f>
        <v/>
      </c>
      <c r="V601" s="3">
        <f>IF(COUNT(D601,J601,K601,L601,M601,O601)&gt;0,AVERAGE(D601,J601,K601,L601,M601,O601),"")</f>
        <v/>
      </c>
      <c r="W601" s="3">
        <f>IF(COUNT(C601,F601,G601,N601,Q601)&gt;0,AVERAGE(C601,F601,G601,N601,Q601),"")</f>
        <v/>
      </c>
      <c r="X601" s="3">
        <f>IF(COUNT(B601,E601,H601,I601,P601,R601,S601)&gt;0,AVERAGE(B601,E601,H601,I601,P601,R601,S601),"")</f>
        <v/>
      </c>
      <c r="Y601" s="3" t="n"/>
      <c r="AJ601">
        <f>IFERROR(AVERAGEIF($A$4:$A$1004,AI601,$V$4:$V$1004),"")</f>
        <v/>
      </c>
      <c r="AK601">
        <f>IFERROR(AVERAGEIF($A$4:$A$1004,AI601,$W$4:$W$1004),"")</f>
        <v/>
      </c>
      <c r="AL601">
        <f>IFERROR(AVERAGEIF($A$4:$A$1004,AI601,$X$4:$X$1004),"")</f>
        <v/>
      </c>
    </row>
    <row r="602">
      <c r="A602" s="1">
        <f>IF(Data!A602&gt;0,Data!A602,"")</f>
        <v/>
      </c>
      <c r="B602" s="1">
        <f>IF(Data!B602&gt;0,Data!B602,"")</f>
        <v/>
      </c>
      <c r="C602" s="1">
        <f>IF(Data!C602&gt;0,Data!C602,"")</f>
        <v/>
      </c>
      <c r="D602" s="1">
        <f>IF(Data!D602&gt;0,Data!D602,"")</f>
        <v/>
      </c>
      <c r="E602" s="1">
        <f>IF(Data!E602&gt;0,Data!E602,"")</f>
        <v/>
      </c>
      <c r="F602" s="1">
        <f>IF(Data!F602&gt;0,Data!F602,"")</f>
        <v/>
      </c>
      <c r="G602" s="1">
        <f>IF(Data!G602&gt;0,Data!G602,"")</f>
        <v/>
      </c>
      <c r="H602" s="1">
        <f>IF(Data!H602&gt;0,Data!H602,"")</f>
        <v/>
      </c>
      <c r="I602" s="1">
        <f>IF(Data!I602&gt;0,Data!I602,"")</f>
        <v/>
      </c>
      <c r="J602" s="1">
        <f>IF(Data!J602&gt;0,Data!J602,"")</f>
        <v/>
      </c>
      <c r="K602" s="1">
        <f>IF(Data!K602&gt;0,Data!K602,"")</f>
        <v/>
      </c>
      <c r="L602" s="1">
        <f>IF(Data!L602&gt;0,Data!L602,"")</f>
        <v/>
      </c>
      <c r="M602" s="1">
        <f>IF(Data!M602&gt;0,Data!M602,"")</f>
        <v/>
      </c>
      <c r="N602" s="1">
        <f>IF(Data!N602&gt;0,Data!N602,"")</f>
        <v/>
      </c>
      <c r="O602" s="1">
        <f>IF(Data!O602&gt;0,Data!O602,"")</f>
        <v/>
      </c>
      <c r="P602" s="1">
        <f>IF(Data!P602&gt;0,Data!P602,"")</f>
        <v/>
      </c>
      <c r="Q602" s="1">
        <f>IF(Data!Q602&gt;0,Data!Q602,"")</f>
        <v/>
      </c>
      <c r="R602" s="1">
        <f>IF(Data!R602&gt;0,Data!R602,"")</f>
        <v/>
      </c>
      <c r="S602" s="1">
        <f>IF(Data!S602&gt;0,Data!S602,"")</f>
        <v/>
      </c>
      <c r="V602" s="3">
        <f>IF(COUNT(D602,J602,K602,L602,M602,O602)&gt;0,AVERAGE(D602,J602,K602,L602,M602,O602),"")</f>
        <v/>
      </c>
      <c r="W602" s="3">
        <f>IF(COUNT(C602,F602,G602,N602,Q602)&gt;0,AVERAGE(C602,F602,G602,N602,Q602),"")</f>
        <v/>
      </c>
      <c r="X602" s="3">
        <f>IF(COUNT(B602,E602,H602,I602,P602,R602,S602)&gt;0,AVERAGE(B602,E602,H602,I602,P602,R602,S602),"")</f>
        <v/>
      </c>
      <c r="Y602" s="3" t="n"/>
      <c r="AJ602">
        <f>IFERROR(AVERAGEIF($A$4:$A$1004,AI602,$V$4:$V$1004),"")</f>
        <v/>
      </c>
      <c r="AK602">
        <f>IFERROR(AVERAGEIF($A$4:$A$1004,AI602,$W$4:$W$1004),"")</f>
        <v/>
      </c>
      <c r="AL602">
        <f>IFERROR(AVERAGEIF($A$4:$A$1004,AI602,$X$4:$X$1004),"")</f>
        <v/>
      </c>
    </row>
    <row r="603">
      <c r="A603" s="1">
        <f>IF(Data!A603&gt;0,Data!A603,"")</f>
        <v/>
      </c>
      <c r="B603" s="1">
        <f>IF(Data!B603&gt;0,Data!B603,"")</f>
        <v/>
      </c>
      <c r="C603" s="1">
        <f>IF(Data!C603&gt;0,Data!C603,"")</f>
        <v/>
      </c>
      <c r="D603" s="1">
        <f>IF(Data!D603&gt;0,Data!D603,"")</f>
        <v/>
      </c>
      <c r="E603" s="1">
        <f>IF(Data!E603&gt;0,Data!E603,"")</f>
        <v/>
      </c>
      <c r="F603" s="1">
        <f>IF(Data!F603&gt;0,Data!F603,"")</f>
        <v/>
      </c>
      <c r="G603" s="1">
        <f>IF(Data!G603&gt;0,Data!G603,"")</f>
        <v/>
      </c>
      <c r="H603" s="1">
        <f>IF(Data!H603&gt;0,Data!H603,"")</f>
        <v/>
      </c>
      <c r="I603" s="1">
        <f>IF(Data!I603&gt;0,Data!I603,"")</f>
        <v/>
      </c>
      <c r="J603" s="1">
        <f>IF(Data!J603&gt;0,Data!J603,"")</f>
        <v/>
      </c>
      <c r="K603" s="1">
        <f>IF(Data!K603&gt;0,Data!K603,"")</f>
        <v/>
      </c>
      <c r="L603" s="1">
        <f>IF(Data!L603&gt;0,Data!L603,"")</f>
        <v/>
      </c>
      <c r="M603" s="1">
        <f>IF(Data!M603&gt;0,Data!M603,"")</f>
        <v/>
      </c>
      <c r="N603" s="1">
        <f>IF(Data!N603&gt;0,Data!N603,"")</f>
        <v/>
      </c>
      <c r="O603" s="1">
        <f>IF(Data!O603&gt;0,Data!O603,"")</f>
        <v/>
      </c>
      <c r="P603" s="1">
        <f>IF(Data!P603&gt;0,Data!P603,"")</f>
        <v/>
      </c>
      <c r="Q603" s="1">
        <f>IF(Data!Q603&gt;0,Data!Q603,"")</f>
        <v/>
      </c>
      <c r="R603" s="1">
        <f>IF(Data!R603&gt;0,Data!R603,"")</f>
        <v/>
      </c>
      <c r="S603" s="1">
        <f>IF(Data!S603&gt;0,Data!S603,"")</f>
        <v/>
      </c>
      <c r="V603" s="3">
        <f>IF(COUNT(D603,J603,K603,L603,M603,O603)&gt;0,AVERAGE(D603,J603,K603,L603,M603,O603),"")</f>
        <v/>
      </c>
      <c r="W603" s="3">
        <f>IF(COUNT(C603,F603,G603,N603,Q603)&gt;0,AVERAGE(C603,F603,G603,N603,Q603),"")</f>
        <v/>
      </c>
      <c r="X603" s="3">
        <f>IF(COUNT(B603,E603,H603,I603,P603,R603,S603)&gt;0,AVERAGE(B603,E603,H603,I603,P603,R603,S603),"")</f>
        <v/>
      </c>
      <c r="Y603" s="3" t="n"/>
      <c r="AJ603">
        <f>IFERROR(AVERAGEIF($A$4:$A$1004,AI603,$V$4:$V$1004),"")</f>
        <v/>
      </c>
      <c r="AK603">
        <f>IFERROR(AVERAGEIF($A$4:$A$1004,AI603,$W$4:$W$1004),"")</f>
        <v/>
      </c>
      <c r="AL603">
        <f>IFERROR(AVERAGEIF($A$4:$A$1004,AI603,$X$4:$X$1004),"")</f>
        <v/>
      </c>
    </row>
    <row r="604">
      <c r="A604" s="1">
        <f>IF(Data!A604&gt;0,Data!A604,"")</f>
        <v/>
      </c>
      <c r="B604" s="1">
        <f>IF(Data!B604&gt;0,Data!B604,"")</f>
        <v/>
      </c>
      <c r="C604" s="1">
        <f>IF(Data!C604&gt;0,Data!C604,"")</f>
        <v/>
      </c>
      <c r="D604" s="1">
        <f>IF(Data!D604&gt;0,Data!D604,"")</f>
        <v/>
      </c>
      <c r="E604" s="1">
        <f>IF(Data!E604&gt;0,Data!E604,"")</f>
        <v/>
      </c>
      <c r="F604" s="1">
        <f>IF(Data!F604&gt;0,Data!F604,"")</f>
        <v/>
      </c>
      <c r="G604" s="1">
        <f>IF(Data!G604&gt;0,Data!G604,"")</f>
        <v/>
      </c>
      <c r="H604" s="1">
        <f>IF(Data!H604&gt;0,Data!H604,"")</f>
        <v/>
      </c>
      <c r="I604" s="1">
        <f>IF(Data!I604&gt;0,Data!I604,"")</f>
        <v/>
      </c>
      <c r="J604" s="1">
        <f>IF(Data!J604&gt;0,Data!J604,"")</f>
        <v/>
      </c>
      <c r="K604" s="1">
        <f>IF(Data!K604&gt;0,Data!K604,"")</f>
        <v/>
      </c>
      <c r="L604" s="1">
        <f>IF(Data!L604&gt;0,Data!L604,"")</f>
        <v/>
      </c>
      <c r="M604" s="1">
        <f>IF(Data!M604&gt;0,Data!M604,"")</f>
        <v/>
      </c>
      <c r="N604" s="1">
        <f>IF(Data!N604&gt;0,Data!N604,"")</f>
        <v/>
      </c>
      <c r="O604" s="1">
        <f>IF(Data!O604&gt;0,Data!O604,"")</f>
        <v/>
      </c>
      <c r="P604" s="1">
        <f>IF(Data!P604&gt;0,Data!P604,"")</f>
        <v/>
      </c>
      <c r="Q604" s="1">
        <f>IF(Data!Q604&gt;0,Data!Q604,"")</f>
        <v/>
      </c>
      <c r="R604" s="1">
        <f>IF(Data!R604&gt;0,Data!R604,"")</f>
        <v/>
      </c>
      <c r="S604" s="1">
        <f>IF(Data!S604&gt;0,Data!S604,"")</f>
        <v/>
      </c>
      <c r="V604" s="3">
        <f>IF(COUNT(D604,J604,K604,L604,M604,O604)&gt;0,AVERAGE(D604,J604,K604,L604,M604,O604),"")</f>
        <v/>
      </c>
      <c r="W604" s="3">
        <f>IF(COUNT(C604,F604,G604,N604,Q604)&gt;0,AVERAGE(C604,F604,G604,N604,Q604),"")</f>
        <v/>
      </c>
      <c r="X604" s="3">
        <f>IF(COUNT(B604,E604,H604,I604,P604,R604,S604)&gt;0,AVERAGE(B604,E604,H604,I604,P604,R604,S604),"")</f>
        <v/>
      </c>
      <c r="Y604" s="3" t="n"/>
      <c r="AJ604">
        <f>IFERROR(AVERAGEIF($A$4:$A$1004,AI604,$V$4:$V$1004),"")</f>
        <v/>
      </c>
      <c r="AK604">
        <f>IFERROR(AVERAGEIF($A$4:$A$1004,AI604,$W$4:$W$1004),"")</f>
        <v/>
      </c>
      <c r="AL604">
        <f>IFERROR(AVERAGEIF($A$4:$A$1004,AI604,$X$4:$X$1004),"")</f>
        <v/>
      </c>
    </row>
    <row r="605">
      <c r="A605" s="1">
        <f>IF(Data!A605&gt;0,Data!A605,"")</f>
        <v/>
      </c>
      <c r="B605" s="1">
        <f>IF(Data!B605&gt;0,Data!B605,"")</f>
        <v/>
      </c>
      <c r="C605" s="1">
        <f>IF(Data!C605&gt;0,Data!C605,"")</f>
        <v/>
      </c>
      <c r="D605" s="1">
        <f>IF(Data!D605&gt;0,Data!D605,"")</f>
        <v/>
      </c>
      <c r="E605" s="1">
        <f>IF(Data!E605&gt;0,Data!E605,"")</f>
        <v/>
      </c>
      <c r="F605" s="1">
        <f>IF(Data!F605&gt;0,Data!F605,"")</f>
        <v/>
      </c>
      <c r="G605" s="1">
        <f>IF(Data!G605&gt;0,Data!G605,"")</f>
        <v/>
      </c>
      <c r="H605" s="1">
        <f>IF(Data!H605&gt;0,Data!H605,"")</f>
        <v/>
      </c>
      <c r="I605" s="1">
        <f>IF(Data!I605&gt;0,Data!I605,"")</f>
        <v/>
      </c>
      <c r="J605" s="1">
        <f>IF(Data!J605&gt;0,Data!J605,"")</f>
        <v/>
      </c>
      <c r="K605" s="1">
        <f>IF(Data!K605&gt;0,Data!K605,"")</f>
        <v/>
      </c>
      <c r="L605" s="1">
        <f>IF(Data!L605&gt;0,Data!L605,"")</f>
        <v/>
      </c>
      <c r="M605" s="1">
        <f>IF(Data!M605&gt;0,Data!M605,"")</f>
        <v/>
      </c>
      <c r="N605" s="1">
        <f>IF(Data!N605&gt;0,Data!N605,"")</f>
        <v/>
      </c>
      <c r="O605" s="1">
        <f>IF(Data!O605&gt;0,Data!O605,"")</f>
        <v/>
      </c>
      <c r="P605" s="1">
        <f>IF(Data!P605&gt;0,Data!P605,"")</f>
        <v/>
      </c>
      <c r="Q605" s="1">
        <f>IF(Data!Q605&gt;0,Data!Q605,"")</f>
        <v/>
      </c>
      <c r="R605" s="1">
        <f>IF(Data!R605&gt;0,Data!R605,"")</f>
        <v/>
      </c>
      <c r="S605" s="1">
        <f>IF(Data!S605&gt;0,Data!S605,"")</f>
        <v/>
      </c>
      <c r="V605" s="3">
        <f>IF(COUNT(D605,J605,K605,L605,M605,O605)&gt;0,AVERAGE(D605,J605,K605,L605,M605,O605),"")</f>
        <v/>
      </c>
      <c r="W605" s="3">
        <f>IF(COUNT(C605,F605,G605,N605,Q605)&gt;0,AVERAGE(C605,F605,G605,N605,Q605),"")</f>
        <v/>
      </c>
      <c r="X605" s="3">
        <f>IF(COUNT(B605,E605,H605,I605,P605,R605,S605)&gt;0,AVERAGE(B605,E605,H605,I605,P605,R605,S605),"")</f>
        <v/>
      </c>
      <c r="Y605" s="3" t="n"/>
      <c r="AJ605">
        <f>IFERROR(AVERAGEIF($A$4:$A$1004,AI605,$V$4:$V$1004),"")</f>
        <v/>
      </c>
      <c r="AK605">
        <f>IFERROR(AVERAGEIF($A$4:$A$1004,AI605,$W$4:$W$1004),"")</f>
        <v/>
      </c>
      <c r="AL605">
        <f>IFERROR(AVERAGEIF($A$4:$A$1004,AI605,$X$4:$X$1004),"")</f>
        <v/>
      </c>
    </row>
    <row r="606">
      <c r="A606" s="1">
        <f>IF(Data!A606&gt;0,Data!A606,"")</f>
        <v/>
      </c>
      <c r="B606" s="1">
        <f>IF(Data!B606&gt;0,Data!B606,"")</f>
        <v/>
      </c>
      <c r="C606" s="1">
        <f>IF(Data!C606&gt;0,Data!C606,"")</f>
        <v/>
      </c>
      <c r="D606" s="1">
        <f>IF(Data!D606&gt;0,Data!D606,"")</f>
        <v/>
      </c>
      <c r="E606" s="1">
        <f>IF(Data!E606&gt;0,Data!E606,"")</f>
        <v/>
      </c>
      <c r="F606" s="1">
        <f>IF(Data!F606&gt;0,Data!F606,"")</f>
        <v/>
      </c>
      <c r="G606" s="1">
        <f>IF(Data!G606&gt;0,Data!G606,"")</f>
        <v/>
      </c>
      <c r="H606" s="1">
        <f>IF(Data!H606&gt;0,Data!H606,"")</f>
        <v/>
      </c>
      <c r="I606" s="1">
        <f>IF(Data!I606&gt;0,Data!I606,"")</f>
        <v/>
      </c>
      <c r="J606" s="1">
        <f>IF(Data!J606&gt;0,Data!J606,"")</f>
        <v/>
      </c>
      <c r="K606" s="1">
        <f>IF(Data!K606&gt;0,Data!K606,"")</f>
        <v/>
      </c>
      <c r="L606" s="1">
        <f>IF(Data!L606&gt;0,Data!L606,"")</f>
        <v/>
      </c>
      <c r="M606" s="1">
        <f>IF(Data!M606&gt;0,Data!M606,"")</f>
        <v/>
      </c>
      <c r="N606" s="1">
        <f>IF(Data!N606&gt;0,Data!N606,"")</f>
        <v/>
      </c>
      <c r="O606" s="1">
        <f>IF(Data!O606&gt;0,Data!O606,"")</f>
        <v/>
      </c>
      <c r="P606" s="1">
        <f>IF(Data!P606&gt;0,Data!P606,"")</f>
        <v/>
      </c>
      <c r="Q606" s="1">
        <f>IF(Data!Q606&gt;0,Data!Q606,"")</f>
        <v/>
      </c>
      <c r="R606" s="1">
        <f>IF(Data!R606&gt;0,Data!R606,"")</f>
        <v/>
      </c>
      <c r="S606" s="1">
        <f>IF(Data!S606&gt;0,Data!S606,"")</f>
        <v/>
      </c>
      <c r="V606" s="3">
        <f>IF(COUNT(D606,J606,K606,L606,M606,O606)&gt;0,AVERAGE(D606,J606,K606,L606,M606,O606),"")</f>
        <v/>
      </c>
      <c r="W606" s="3">
        <f>IF(COUNT(C606,F606,G606,N606,Q606)&gt;0,AVERAGE(C606,F606,G606,N606,Q606),"")</f>
        <v/>
      </c>
      <c r="X606" s="3">
        <f>IF(COUNT(B606,E606,H606,I606,P606,R606,S606)&gt;0,AVERAGE(B606,E606,H606,I606,P606,R606,S606),"")</f>
        <v/>
      </c>
      <c r="Y606" s="3" t="n"/>
      <c r="AJ606">
        <f>IFERROR(AVERAGEIF($A$4:$A$1004,AI606,$V$4:$V$1004),"")</f>
        <v/>
      </c>
      <c r="AK606">
        <f>IFERROR(AVERAGEIF($A$4:$A$1004,AI606,$W$4:$W$1004),"")</f>
        <v/>
      </c>
      <c r="AL606">
        <f>IFERROR(AVERAGEIF($A$4:$A$1004,AI606,$X$4:$X$1004),"")</f>
        <v/>
      </c>
    </row>
    <row r="607">
      <c r="A607" s="1">
        <f>IF(Data!A607&gt;0,Data!A607,"")</f>
        <v/>
      </c>
      <c r="B607" s="1">
        <f>IF(Data!B607&gt;0,Data!B607,"")</f>
        <v/>
      </c>
      <c r="C607" s="1">
        <f>IF(Data!C607&gt;0,Data!C607,"")</f>
        <v/>
      </c>
      <c r="D607" s="1">
        <f>IF(Data!D607&gt;0,Data!D607,"")</f>
        <v/>
      </c>
      <c r="E607" s="1">
        <f>IF(Data!E607&gt;0,Data!E607,"")</f>
        <v/>
      </c>
      <c r="F607" s="1">
        <f>IF(Data!F607&gt;0,Data!F607,"")</f>
        <v/>
      </c>
      <c r="G607" s="1">
        <f>IF(Data!G607&gt;0,Data!G607,"")</f>
        <v/>
      </c>
      <c r="H607" s="1">
        <f>IF(Data!H607&gt;0,Data!H607,"")</f>
        <v/>
      </c>
      <c r="I607" s="1">
        <f>IF(Data!I607&gt;0,Data!I607,"")</f>
        <v/>
      </c>
      <c r="J607" s="1">
        <f>IF(Data!J607&gt;0,Data!J607,"")</f>
        <v/>
      </c>
      <c r="K607" s="1">
        <f>IF(Data!K607&gt;0,Data!K607,"")</f>
        <v/>
      </c>
      <c r="L607" s="1">
        <f>IF(Data!L607&gt;0,Data!L607,"")</f>
        <v/>
      </c>
      <c r="M607" s="1">
        <f>IF(Data!M607&gt;0,Data!M607,"")</f>
        <v/>
      </c>
      <c r="N607" s="1">
        <f>IF(Data!N607&gt;0,Data!N607,"")</f>
        <v/>
      </c>
      <c r="O607" s="1">
        <f>IF(Data!O607&gt;0,Data!O607,"")</f>
        <v/>
      </c>
      <c r="P607" s="1">
        <f>IF(Data!P607&gt;0,Data!P607,"")</f>
        <v/>
      </c>
      <c r="Q607" s="1">
        <f>IF(Data!Q607&gt;0,Data!Q607,"")</f>
        <v/>
      </c>
      <c r="R607" s="1">
        <f>IF(Data!R607&gt;0,Data!R607,"")</f>
        <v/>
      </c>
      <c r="S607" s="1">
        <f>IF(Data!S607&gt;0,Data!S607,"")</f>
        <v/>
      </c>
      <c r="V607" s="3">
        <f>IF(COUNT(D607,J607,K607,L607,M607,O607)&gt;0,AVERAGE(D607,J607,K607,L607,M607,O607),"")</f>
        <v/>
      </c>
      <c r="W607" s="3">
        <f>IF(COUNT(C607,F607,G607,N607,Q607)&gt;0,AVERAGE(C607,F607,G607,N607,Q607),"")</f>
        <v/>
      </c>
      <c r="X607" s="3">
        <f>IF(COUNT(B607,E607,H607,I607,P607,R607,S607)&gt;0,AVERAGE(B607,E607,H607,I607,P607,R607,S607),"")</f>
        <v/>
      </c>
      <c r="Y607" s="3" t="n"/>
      <c r="AJ607">
        <f>IFERROR(AVERAGEIF($A$4:$A$1004,AI607,$V$4:$V$1004),"")</f>
        <v/>
      </c>
      <c r="AK607">
        <f>IFERROR(AVERAGEIF($A$4:$A$1004,AI607,$W$4:$W$1004),"")</f>
        <v/>
      </c>
      <c r="AL607">
        <f>IFERROR(AVERAGEIF($A$4:$A$1004,AI607,$X$4:$X$1004),"")</f>
        <v/>
      </c>
    </row>
    <row r="608">
      <c r="A608" s="1">
        <f>IF(Data!A608&gt;0,Data!A608,"")</f>
        <v/>
      </c>
      <c r="B608" s="1">
        <f>IF(Data!B608&gt;0,Data!B608,"")</f>
        <v/>
      </c>
      <c r="C608" s="1">
        <f>IF(Data!C608&gt;0,Data!C608,"")</f>
        <v/>
      </c>
      <c r="D608" s="1">
        <f>IF(Data!D608&gt;0,Data!D608,"")</f>
        <v/>
      </c>
      <c r="E608" s="1">
        <f>IF(Data!E608&gt;0,Data!E608,"")</f>
        <v/>
      </c>
      <c r="F608" s="1">
        <f>IF(Data!F608&gt;0,Data!F608,"")</f>
        <v/>
      </c>
      <c r="G608" s="1">
        <f>IF(Data!G608&gt;0,Data!G608,"")</f>
        <v/>
      </c>
      <c r="H608" s="1">
        <f>IF(Data!H608&gt;0,Data!H608,"")</f>
        <v/>
      </c>
      <c r="I608" s="1">
        <f>IF(Data!I608&gt;0,Data!I608,"")</f>
        <v/>
      </c>
      <c r="J608" s="1">
        <f>IF(Data!J608&gt;0,Data!J608,"")</f>
        <v/>
      </c>
      <c r="K608" s="1">
        <f>IF(Data!K608&gt;0,Data!K608,"")</f>
        <v/>
      </c>
      <c r="L608" s="1">
        <f>IF(Data!L608&gt;0,Data!L608,"")</f>
        <v/>
      </c>
      <c r="M608" s="1">
        <f>IF(Data!M608&gt;0,Data!M608,"")</f>
        <v/>
      </c>
      <c r="N608" s="1">
        <f>IF(Data!N608&gt;0,Data!N608,"")</f>
        <v/>
      </c>
      <c r="O608" s="1">
        <f>IF(Data!O608&gt;0,Data!O608,"")</f>
        <v/>
      </c>
      <c r="P608" s="1">
        <f>IF(Data!P608&gt;0,Data!P608,"")</f>
        <v/>
      </c>
      <c r="Q608" s="1">
        <f>IF(Data!Q608&gt;0,Data!Q608,"")</f>
        <v/>
      </c>
      <c r="R608" s="1">
        <f>IF(Data!R608&gt;0,Data!R608,"")</f>
        <v/>
      </c>
      <c r="S608" s="1">
        <f>IF(Data!S608&gt;0,Data!S608,"")</f>
        <v/>
      </c>
      <c r="V608" s="3">
        <f>IF(COUNT(D608,J608,K608,L608,M608,O608)&gt;0,AVERAGE(D608,J608,K608,L608,M608,O608),"")</f>
        <v/>
      </c>
      <c r="W608" s="3">
        <f>IF(COUNT(C608,F608,G608,N608,Q608)&gt;0,AVERAGE(C608,F608,G608,N608,Q608),"")</f>
        <v/>
      </c>
      <c r="X608" s="3">
        <f>IF(COUNT(B608,E608,H608,I608,P608,R608,S608)&gt;0,AVERAGE(B608,E608,H608,I608,P608,R608,S608),"")</f>
        <v/>
      </c>
      <c r="Y608" s="3" t="n"/>
      <c r="AJ608">
        <f>IFERROR(AVERAGEIF($A$4:$A$1004,AI608,$V$4:$V$1004),"")</f>
        <v/>
      </c>
      <c r="AK608">
        <f>IFERROR(AVERAGEIF($A$4:$A$1004,AI608,$W$4:$W$1004),"")</f>
        <v/>
      </c>
      <c r="AL608">
        <f>IFERROR(AVERAGEIF($A$4:$A$1004,AI608,$X$4:$X$1004),"")</f>
        <v/>
      </c>
    </row>
    <row r="609">
      <c r="A609" s="1">
        <f>IF(Data!A609&gt;0,Data!A609,"")</f>
        <v/>
      </c>
      <c r="B609" s="1">
        <f>IF(Data!B609&gt;0,Data!B609,"")</f>
        <v/>
      </c>
      <c r="C609" s="1">
        <f>IF(Data!C609&gt;0,Data!C609,"")</f>
        <v/>
      </c>
      <c r="D609" s="1">
        <f>IF(Data!D609&gt;0,Data!D609,"")</f>
        <v/>
      </c>
      <c r="E609" s="1">
        <f>IF(Data!E609&gt;0,Data!E609,"")</f>
        <v/>
      </c>
      <c r="F609" s="1">
        <f>IF(Data!F609&gt;0,Data!F609,"")</f>
        <v/>
      </c>
      <c r="G609" s="1">
        <f>IF(Data!G609&gt;0,Data!G609,"")</f>
        <v/>
      </c>
      <c r="H609" s="1">
        <f>IF(Data!H609&gt;0,Data!H609,"")</f>
        <v/>
      </c>
      <c r="I609" s="1">
        <f>IF(Data!I609&gt;0,Data!I609,"")</f>
        <v/>
      </c>
      <c r="J609" s="1">
        <f>IF(Data!J609&gt;0,Data!J609,"")</f>
        <v/>
      </c>
      <c r="K609" s="1">
        <f>IF(Data!K609&gt;0,Data!K609,"")</f>
        <v/>
      </c>
      <c r="L609" s="1">
        <f>IF(Data!L609&gt;0,Data!L609,"")</f>
        <v/>
      </c>
      <c r="M609" s="1">
        <f>IF(Data!M609&gt;0,Data!M609,"")</f>
        <v/>
      </c>
      <c r="N609" s="1">
        <f>IF(Data!N609&gt;0,Data!N609,"")</f>
        <v/>
      </c>
      <c r="O609" s="1">
        <f>IF(Data!O609&gt;0,Data!O609,"")</f>
        <v/>
      </c>
      <c r="P609" s="1">
        <f>IF(Data!P609&gt;0,Data!P609,"")</f>
        <v/>
      </c>
      <c r="Q609" s="1">
        <f>IF(Data!Q609&gt;0,Data!Q609,"")</f>
        <v/>
      </c>
      <c r="R609" s="1">
        <f>IF(Data!R609&gt;0,Data!R609,"")</f>
        <v/>
      </c>
      <c r="S609" s="1">
        <f>IF(Data!S609&gt;0,Data!S609,"")</f>
        <v/>
      </c>
      <c r="V609" s="3">
        <f>IF(COUNT(D609,J609,K609,L609,M609,O609)&gt;0,AVERAGE(D609,J609,K609,L609,M609,O609),"")</f>
        <v/>
      </c>
      <c r="W609" s="3">
        <f>IF(COUNT(C609,F609,G609,N609,Q609)&gt;0,AVERAGE(C609,F609,G609,N609,Q609),"")</f>
        <v/>
      </c>
      <c r="X609" s="3">
        <f>IF(COUNT(B609,E609,H609,I609,P609,R609,S609)&gt;0,AVERAGE(B609,E609,H609,I609,P609,R609,S609),"")</f>
        <v/>
      </c>
      <c r="Y609" s="3" t="n"/>
      <c r="AJ609">
        <f>IFERROR(AVERAGEIF($A$4:$A$1004,AI609,$V$4:$V$1004),"")</f>
        <v/>
      </c>
      <c r="AK609">
        <f>IFERROR(AVERAGEIF($A$4:$A$1004,AI609,$W$4:$W$1004),"")</f>
        <v/>
      </c>
      <c r="AL609">
        <f>IFERROR(AVERAGEIF($A$4:$A$1004,AI609,$X$4:$X$1004),"")</f>
        <v/>
      </c>
    </row>
    <row r="610">
      <c r="A610" s="1">
        <f>IF(Data!A610&gt;0,Data!A610,"")</f>
        <v/>
      </c>
      <c r="B610" s="1">
        <f>IF(Data!B610&gt;0,Data!B610,"")</f>
        <v/>
      </c>
      <c r="C610" s="1">
        <f>IF(Data!C610&gt;0,Data!C610,"")</f>
        <v/>
      </c>
      <c r="D610" s="1">
        <f>IF(Data!D610&gt;0,Data!D610,"")</f>
        <v/>
      </c>
      <c r="E610" s="1">
        <f>IF(Data!E610&gt;0,Data!E610,"")</f>
        <v/>
      </c>
      <c r="F610" s="1">
        <f>IF(Data!F610&gt;0,Data!F610,"")</f>
        <v/>
      </c>
      <c r="G610" s="1">
        <f>IF(Data!G610&gt;0,Data!G610,"")</f>
        <v/>
      </c>
      <c r="H610" s="1">
        <f>IF(Data!H610&gt;0,Data!H610,"")</f>
        <v/>
      </c>
      <c r="I610" s="1">
        <f>IF(Data!I610&gt;0,Data!I610,"")</f>
        <v/>
      </c>
      <c r="J610" s="1">
        <f>IF(Data!J610&gt;0,Data!J610,"")</f>
        <v/>
      </c>
      <c r="K610" s="1">
        <f>IF(Data!K610&gt;0,Data!K610,"")</f>
        <v/>
      </c>
      <c r="L610" s="1">
        <f>IF(Data!L610&gt;0,Data!L610,"")</f>
        <v/>
      </c>
      <c r="M610" s="1">
        <f>IF(Data!M610&gt;0,Data!M610,"")</f>
        <v/>
      </c>
      <c r="N610" s="1">
        <f>IF(Data!N610&gt;0,Data!N610,"")</f>
        <v/>
      </c>
      <c r="O610" s="1">
        <f>IF(Data!O610&gt;0,Data!O610,"")</f>
        <v/>
      </c>
      <c r="P610" s="1">
        <f>IF(Data!P610&gt;0,Data!P610,"")</f>
        <v/>
      </c>
      <c r="Q610" s="1">
        <f>IF(Data!Q610&gt;0,Data!Q610,"")</f>
        <v/>
      </c>
      <c r="R610" s="1">
        <f>IF(Data!R610&gt;0,Data!R610,"")</f>
        <v/>
      </c>
      <c r="S610" s="1">
        <f>IF(Data!S610&gt;0,Data!S610,"")</f>
        <v/>
      </c>
      <c r="V610" s="3">
        <f>IF(COUNT(D610,J610,K610,L610,M610,O610)&gt;0,AVERAGE(D610,J610,K610,L610,M610,O610),"")</f>
        <v/>
      </c>
      <c r="W610" s="3">
        <f>IF(COUNT(C610,F610,G610,N610,Q610)&gt;0,AVERAGE(C610,F610,G610,N610,Q610),"")</f>
        <v/>
      </c>
      <c r="X610" s="3">
        <f>IF(COUNT(B610,E610,H610,I610,P610,R610,S610)&gt;0,AVERAGE(B610,E610,H610,I610,P610,R610,S610),"")</f>
        <v/>
      </c>
      <c r="Y610" s="3" t="n"/>
      <c r="AJ610">
        <f>IFERROR(AVERAGEIF($A$4:$A$1004,AI610,$V$4:$V$1004),"")</f>
        <v/>
      </c>
      <c r="AK610">
        <f>IFERROR(AVERAGEIF($A$4:$A$1004,AI610,$W$4:$W$1004),"")</f>
        <v/>
      </c>
      <c r="AL610">
        <f>IFERROR(AVERAGEIF($A$4:$A$1004,AI610,$X$4:$X$1004),"")</f>
        <v/>
      </c>
    </row>
    <row r="611">
      <c r="A611" s="1">
        <f>IF(Data!A611&gt;0,Data!A611,"")</f>
        <v/>
      </c>
      <c r="B611" s="1">
        <f>IF(Data!B611&gt;0,Data!B611,"")</f>
        <v/>
      </c>
      <c r="C611" s="1">
        <f>IF(Data!C611&gt;0,Data!C611,"")</f>
        <v/>
      </c>
      <c r="D611" s="1">
        <f>IF(Data!D611&gt;0,Data!D611,"")</f>
        <v/>
      </c>
      <c r="E611" s="1">
        <f>IF(Data!E611&gt;0,Data!E611,"")</f>
        <v/>
      </c>
      <c r="F611" s="1">
        <f>IF(Data!F611&gt;0,Data!F611,"")</f>
        <v/>
      </c>
      <c r="G611" s="1">
        <f>IF(Data!G611&gt;0,Data!G611,"")</f>
        <v/>
      </c>
      <c r="H611" s="1">
        <f>IF(Data!H611&gt;0,Data!H611,"")</f>
        <v/>
      </c>
      <c r="I611" s="1">
        <f>IF(Data!I611&gt;0,Data!I611,"")</f>
        <v/>
      </c>
      <c r="J611" s="1">
        <f>IF(Data!J611&gt;0,Data!J611,"")</f>
        <v/>
      </c>
      <c r="K611" s="1">
        <f>IF(Data!K611&gt;0,Data!K611,"")</f>
        <v/>
      </c>
      <c r="L611" s="1">
        <f>IF(Data!L611&gt;0,Data!L611,"")</f>
        <v/>
      </c>
      <c r="M611" s="1">
        <f>IF(Data!M611&gt;0,Data!M611,"")</f>
        <v/>
      </c>
      <c r="N611" s="1">
        <f>IF(Data!N611&gt;0,Data!N611,"")</f>
        <v/>
      </c>
      <c r="O611" s="1">
        <f>IF(Data!O611&gt;0,Data!O611,"")</f>
        <v/>
      </c>
      <c r="P611" s="1">
        <f>IF(Data!P611&gt;0,Data!P611,"")</f>
        <v/>
      </c>
      <c r="Q611" s="1">
        <f>IF(Data!Q611&gt;0,Data!Q611,"")</f>
        <v/>
      </c>
      <c r="R611" s="1">
        <f>IF(Data!R611&gt;0,Data!R611,"")</f>
        <v/>
      </c>
      <c r="S611" s="1">
        <f>IF(Data!S611&gt;0,Data!S611,"")</f>
        <v/>
      </c>
      <c r="V611" s="3">
        <f>IF(COUNT(D611,J611,K611,L611,M611,O611)&gt;0,AVERAGE(D611,J611,K611,L611,M611,O611),"")</f>
        <v/>
      </c>
      <c r="W611" s="3">
        <f>IF(COUNT(C611,F611,G611,N611,Q611)&gt;0,AVERAGE(C611,F611,G611,N611,Q611),"")</f>
        <v/>
      </c>
      <c r="X611" s="3">
        <f>IF(COUNT(B611,E611,H611,I611,P611,R611,S611)&gt;0,AVERAGE(B611,E611,H611,I611,P611,R611,S611),"")</f>
        <v/>
      </c>
      <c r="Y611" s="3" t="n"/>
      <c r="AJ611">
        <f>IFERROR(AVERAGEIF($A$4:$A$1004,AI611,$V$4:$V$1004),"")</f>
        <v/>
      </c>
      <c r="AK611">
        <f>IFERROR(AVERAGEIF($A$4:$A$1004,AI611,$W$4:$W$1004),"")</f>
        <v/>
      </c>
      <c r="AL611">
        <f>IFERROR(AVERAGEIF($A$4:$A$1004,AI611,$X$4:$X$1004),"")</f>
        <v/>
      </c>
    </row>
    <row r="612">
      <c r="A612" s="1">
        <f>IF(Data!A612&gt;0,Data!A612,"")</f>
        <v/>
      </c>
      <c r="B612" s="1">
        <f>IF(Data!B612&gt;0,Data!B612,"")</f>
        <v/>
      </c>
      <c r="C612" s="1">
        <f>IF(Data!C612&gt;0,Data!C612,"")</f>
        <v/>
      </c>
      <c r="D612" s="1">
        <f>IF(Data!D612&gt;0,Data!D612,"")</f>
        <v/>
      </c>
      <c r="E612" s="1">
        <f>IF(Data!E612&gt;0,Data!E612,"")</f>
        <v/>
      </c>
      <c r="F612" s="1">
        <f>IF(Data!F612&gt;0,Data!F612,"")</f>
        <v/>
      </c>
      <c r="G612" s="1">
        <f>IF(Data!G612&gt;0,Data!G612,"")</f>
        <v/>
      </c>
      <c r="H612" s="1">
        <f>IF(Data!H612&gt;0,Data!H612,"")</f>
        <v/>
      </c>
      <c r="I612" s="1">
        <f>IF(Data!I612&gt;0,Data!I612,"")</f>
        <v/>
      </c>
      <c r="J612" s="1">
        <f>IF(Data!J612&gt;0,Data!J612,"")</f>
        <v/>
      </c>
      <c r="K612" s="1">
        <f>IF(Data!K612&gt;0,Data!K612,"")</f>
        <v/>
      </c>
      <c r="L612" s="1">
        <f>IF(Data!L612&gt;0,Data!L612,"")</f>
        <v/>
      </c>
      <c r="M612" s="1">
        <f>IF(Data!M612&gt;0,Data!M612,"")</f>
        <v/>
      </c>
      <c r="N612" s="1">
        <f>IF(Data!N612&gt;0,Data!N612,"")</f>
        <v/>
      </c>
      <c r="O612" s="1">
        <f>IF(Data!O612&gt;0,Data!O612,"")</f>
        <v/>
      </c>
      <c r="P612" s="1">
        <f>IF(Data!P612&gt;0,Data!P612,"")</f>
        <v/>
      </c>
      <c r="Q612" s="1">
        <f>IF(Data!Q612&gt;0,Data!Q612,"")</f>
        <v/>
      </c>
      <c r="R612" s="1">
        <f>IF(Data!R612&gt;0,Data!R612,"")</f>
        <v/>
      </c>
      <c r="S612" s="1">
        <f>IF(Data!S612&gt;0,Data!S612,"")</f>
        <v/>
      </c>
      <c r="V612" s="3">
        <f>IF(COUNT(D612,J612,K612,L612,M612,O612)&gt;0,AVERAGE(D612,J612,K612,L612,M612,O612),"")</f>
        <v/>
      </c>
      <c r="W612" s="3">
        <f>IF(COUNT(C612,F612,G612,N612,Q612)&gt;0,AVERAGE(C612,F612,G612,N612,Q612),"")</f>
        <v/>
      </c>
      <c r="X612" s="3">
        <f>IF(COUNT(B612,E612,H612,I612,P612,R612,S612)&gt;0,AVERAGE(B612,E612,H612,I612,P612,R612,S612),"")</f>
        <v/>
      </c>
      <c r="Y612" s="3" t="n"/>
      <c r="AJ612">
        <f>IFERROR(AVERAGEIF($A$4:$A$1004,AI612,$V$4:$V$1004),"")</f>
        <v/>
      </c>
      <c r="AK612">
        <f>IFERROR(AVERAGEIF($A$4:$A$1004,AI612,$W$4:$W$1004),"")</f>
        <v/>
      </c>
      <c r="AL612">
        <f>IFERROR(AVERAGEIF($A$4:$A$1004,AI612,$X$4:$X$1004),"")</f>
        <v/>
      </c>
    </row>
    <row r="613">
      <c r="A613" s="1">
        <f>IF(Data!A613&gt;0,Data!A613,"")</f>
        <v/>
      </c>
      <c r="B613" s="1">
        <f>IF(Data!B613&gt;0,Data!B613,"")</f>
        <v/>
      </c>
      <c r="C613" s="1">
        <f>IF(Data!C613&gt;0,Data!C613,"")</f>
        <v/>
      </c>
      <c r="D613" s="1">
        <f>IF(Data!D613&gt;0,Data!D613,"")</f>
        <v/>
      </c>
      <c r="E613" s="1">
        <f>IF(Data!E613&gt;0,Data!E613,"")</f>
        <v/>
      </c>
      <c r="F613" s="1">
        <f>IF(Data!F613&gt;0,Data!F613,"")</f>
        <v/>
      </c>
      <c r="G613" s="1">
        <f>IF(Data!G613&gt;0,Data!G613,"")</f>
        <v/>
      </c>
      <c r="H613" s="1">
        <f>IF(Data!H613&gt;0,Data!H613,"")</f>
        <v/>
      </c>
      <c r="I613" s="1">
        <f>IF(Data!I613&gt;0,Data!I613,"")</f>
        <v/>
      </c>
      <c r="J613" s="1">
        <f>IF(Data!J613&gt;0,Data!J613,"")</f>
        <v/>
      </c>
      <c r="K613" s="1">
        <f>IF(Data!K613&gt;0,Data!K613,"")</f>
        <v/>
      </c>
      <c r="L613" s="1">
        <f>IF(Data!L613&gt;0,Data!L613,"")</f>
        <v/>
      </c>
      <c r="M613" s="1">
        <f>IF(Data!M613&gt;0,Data!M613,"")</f>
        <v/>
      </c>
      <c r="N613" s="1">
        <f>IF(Data!N613&gt;0,Data!N613,"")</f>
        <v/>
      </c>
      <c r="O613" s="1">
        <f>IF(Data!O613&gt;0,Data!O613,"")</f>
        <v/>
      </c>
      <c r="P613" s="1">
        <f>IF(Data!P613&gt;0,Data!P613,"")</f>
        <v/>
      </c>
      <c r="Q613" s="1">
        <f>IF(Data!Q613&gt;0,Data!Q613,"")</f>
        <v/>
      </c>
      <c r="R613" s="1">
        <f>IF(Data!R613&gt;0,Data!R613,"")</f>
        <v/>
      </c>
      <c r="S613" s="1">
        <f>IF(Data!S613&gt;0,Data!S613,"")</f>
        <v/>
      </c>
      <c r="V613" s="3">
        <f>IF(COUNT(D613,J613,K613,L613,M613,O613)&gt;0,AVERAGE(D613,J613,K613,L613,M613,O613),"")</f>
        <v/>
      </c>
      <c r="W613" s="3">
        <f>IF(COUNT(C613,F613,G613,N613,Q613)&gt;0,AVERAGE(C613,F613,G613,N613,Q613),"")</f>
        <v/>
      </c>
      <c r="X613" s="3">
        <f>IF(COUNT(B613,E613,H613,I613,P613,R613,S613)&gt;0,AVERAGE(B613,E613,H613,I613,P613,R613,S613),"")</f>
        <v/>
      </c>
      <c r="Y613" s="3" t="n"/>
      <c r="AJ613">
        <f>IFERROR(AVERAGEIF($A$4:$A$1004,AI613,$V$4:$V$1004),"")</f>
        <v/>
      </c>
      <c r="AK613">
        <f>IFERROR(AVERAGEIF($A$4:$A$1004,AI613,$W$4:$W$1004),"")</f>
        <v/>
      </c>
      <c r="AL613">
        <f>IFERROR(AVERAGEIF($A$4:$A$1004,AI613,$X$4:$X$1004),"")</f>
        <v/>
      </c>
    </row>
    <row r="614">
      <c r="A614" s="1">
        <f>IF(Data!A614&gt;0,Data!A614,"")</f>
        <v/>
      </c>
      <c r="B614" s="1">
        <f>IF(Data!B614&gt;0,Data!B614,"")</f>
        <v/>
      </c>
      <c r="C614" s="1">
        <f>IF(Data!C614&gt;0,Data!C614,"")</f>
        <v/>
      </c>
      <c r="D614" s="1">
        <f>IF(Data!D614&gt;0,Data!D614,"")</f>
        <v/>
      </c>
      <c r="E614" s="1">
        <f>IF(Data!E614&gt;0,Data!E614,"")</f>
        <v/>
      </c>
      <c r="F614" s="1">
        <f>IF(Data!F614&gt;0,Data!F614,"")</f>
        <v/>
      </c>
      <c r="G614" s="1">
        <f>IF(Data!G614&gt;0,Data!G614,"")</f>
        <v/>
      </c>
      <c r="H614" s="1">
        <f>IF(Data!H614&gt;0,Data!H614,"")</f>
        <v/>
      </c>
      <c r="I614" s="1">
        <f>IF(Data!I614&gt;0,Data!I614,"")</f>
        <v/>
      </c>
      <c r="J614" s="1">
        <f>IF(Data!J614&gt;0,Data!J614,"")</f>
        <v/>
      </c>
      <c r="K614" s="1">
        <f>IF(Data!K614&gt;0,Data!K614,"")</f>
        <v/>
      </c>
      <c r="L614" s="1">
        <f>IF(Data!L614&gt;0,Data!L614,"")</f>
        <v/>
      </c>
      <c r="M614" s="1">
        <f>IF(Data!M614&gt;0,Data!M614,"")</f>
        <v/>
      </c>
      <c r="N614" s="1">
        <f>IF(Data!N614&gt;0,Data!N614,"")</f>
        <v/>
      </c>
      <c r="O614" s="1">
        <f>IF(Data!O614&gt;0,Data!O614,"")</f>
        <v/>
      </c>
      <c r="P614" s="1">
        <f>IF(Data!P614&gt;0,Data!P614,"")</f>
        <v/>
      </c>
      <c r="Q614" s="1">
        <f>IF(Data!Q614&gt;0,Data!Q614,"")</f>
        <v/>
      </c>
      <c r="R614" s="1">
        <f>IF(Data!R614&gt;0,Data!R614,"")</f>
        <v/>
      </c>
      <c r="S614" s="1">
        <f>IF(Data!S614&gt;0,Data!S614,"")</f>
        <v/>
      </c>
      <c r="V614" s="3">
        <f>IF(COUNT(D614,J614,K614,L614,M614,O614)&gt;0,AVERAGE(D614,J614,K614,L614,M614,O614),"")</f>
        <v/>
      </c>
      <c r="W614" s="3">
        <f>IF(COUNT(C614,F614,G614,N614,Q614)&gt;0,AVERAGE(C614,F614,G614,N614,Q614),"")</f>
        <v/>
      </c>
      <c r="X614" s="3">
        <f>IF(COUNT(B614,E614,H614,I614,P614,R614,S614)&gt;0,AVERAGE(B614,E614,H614,I614,P614,R614,S614),"")</f>
        <v/>
      </c>
      <c r="Y614" s="3" t="n"/>
      <c r="AJ614">
        <f>IFERROR(AVERAGEIF($A$4:$A$1004,AI614,$V$4:$V$1004),"")</f>
        <v/>
      </c>
      <c r="AK614">
        <f>IFERROR(AVERAGEIF($A$4:$A$1004,AI614,$W$4:$W$1004),"")</f>
        <v/>
      </c>
      <c r="AL614">
        <f>IFERROR(AVERAGEIF($A$4:$A$1004,AI614,$X$4:$X$1004),"")</f>
        <v/>
      </c>
    </row>
    <row r="615">
      <c r="A615" s="1">
        <f>IF(Data!A615&gt;0,Data!A615,"")</f>
        <v/>
      </c>
      <c r="B615" s="1">
        <f>IF(Data!B615&gt;0,Data!B615,"")</f>
        <v/>
      </c>
      <c r="C615" s="1">
        <f>IF(Data!C615&gt;0,Data!C615,"")</f>
        <v/>
      </c>
      <c r="D615" s="1">
        <f>IF(Data!D615&gt;0,Data!D615,"")</f>
        <v/>
      </c>
      <c r="E615" s="1">
        <f>IF(Data!E615&gt;0,Data!E615,"")</f>
        <v/>
      </c>
      <c r="F615" s="1">
        <f>IF(Data!F615&gt;0,Data!F615,"")</f>
        <v/>
      </c>
      <c r="G615" s="1">
        <f>IF(Data!G615&gt;0,Data!G615,"")</f>
        <v/>
      </c>
      <c r="H615" s="1">
        <f>IF(Data!H615&gt;0,Data!H615,"")</f>
        <v/>
      </c>
      <c r="I615" s="1">
        <f>IF(Data!I615&gt;0,Data!I615,"")</f>
        <v/>
      </c>
      <c r="J615" s="1">
        <f>IF(Data!J615&gt;0,Data!J615,"")</f>
        <v/>
      </c>
      <c r="K615" s="1">
        <f>IF(Data!K615&gt;0,Data!K615,"")</f>
        <v/>
      </c>
      <c r="L615" s="1">
        <f>IF(Data!L615&gt;0,Data!L615,"")</f>
        <v/>
      </c>
      <c r="M615" s="1">
        <f>IF(Data!M615&gt;0,Data!M615,"")</f>
        <v/>
      </c>
      <c r="N615" s="1">
        <f>IF(Data!N615&gt;0,Data!N615,"")</f>
        <v/>
      </c>
      <c r="O615" s="1">
        <f>IF(Data!O615&gt;0,Data!O615,"")</f>
        <v/>
      </c>
      <c r="P615" s="1">
        <f>IF(Data!P615&gt;0,Data!P615,"")</f>
        <v/>
      </c>
      <c r="Q615" s="1">
        <f>IF(Data!Q615&gt;0,Data!Q615,"")</f>
        <v/>
      </c>
      <c r="R615" s="1">
        <f>IF(Data!R615&gt;0,Data!R615,"")</f>
        <v/>
      </c>
      <c r="S615" s="1">
        <f>IF(Data!S615&gt;0,Data!S615,"")</f>
        <v/>
      </c>
      <c r="V615" s="3">
        <f>IF(COUNT(D615,J615,K615,L615,M615,O615)&gt;0,AVERAGE(D615,J615,K615,L615,M615,O615),"")</f>
        <v/>
      </c>
      <c r="W615" s="3">
        <f>IF(COUNT(C615,F615,G615,N615,Q615)&gt;0,AVERAGE(C615,F615,G615,N615,Q615),"")</f>
        <v/>
      </c>
      <c r="X615" s="3">
        <f>IF(COUNT(B615,E615,H615,I615,P615,R615,S615)&gt;0,AVERAGE(B615,E615,H615,I615,P615,R615,S615),"")</f>
        <v/>
      </c>
      <c r="Y615" s="3" t="n"/>
      <c r="AJ615">
        <f>IFERROR(AVERAGEIF($A$4:$A$1004,AI615,$V$4:$V$1004),"")</f>
        <v/>
      </c>
      <c r="AK615">
        <f>IFERROR(AVERAGEIF($A$4:$A$1004,AI615,$W$4:$W$1004),"")</f>
        <v/>
      </c>
      <c r="AL615">
        <f>IFERROR(AVERAGEIF($A$4:$A$1004,AI615,$X$4:$X$1004),"")</f>
        <v/>
      </c>
    </row>
    <row r="616">
      <c r="A616" s="1">
        <f>IF(Data!A616&gt;0,Data!A616,"")</f>
        <v/>
      </c>
      <c r="B616" s="1">
        <f>IF(Data!B616&gt;0,Data!B616,"")</f>
        <v/>
      </c>
      <c r="C616" s="1">
        <f>IF(Data!C616&gt;0,Data!C616,"")</f>
        <v/>
      </c>
      <c r="D616" s="1">
        <f>IF(Data!D616&gt;0,Data!D616,"")</f>
        <v/>
      </c>
      <c r="E616" s="1">
        <f>IF(Data!E616&gt;0,Data!E616,"")</f>
        <v/>
      </c>
      <c r="F616" s="1">
        <f>IF(Data!F616&gt;0,Data!F616,"")</f>
        <v/>
      </c>
      <c r="G616" s="1">
        <f>IF(Data!G616&gt;0,Data!G616,"")</f>
        <v/>
      </c>
      <c r="H616" s="1">
        <f>IF(Data!H616&gt;0,Data!H616,"")</f>
        <v/>
      </c>
      <c r="I616" s="1">
        <f>IF(Data!I616&gt;0,Data!I616,"")</f>
        <v/>
      </c>
      <c r="J616" s="1">
        <f>IF(Data!J616&gt;0,Data!J616,"")</f>
        <v/>
      </c>
      <c r="K616" s="1">
        <f>IF(Data!K616&gt;0,Data!K616,"")</f>
        <v/>
      </c>
      <c r="L616" s="1">
        <f>IF(Data!L616&gt;0,Data!L616,"")</f>
        <v/>
      </c>
      <c r="M616" s="1">
        <f>IF(Data!M616&gt;0,Data!M616,"")</f>
        <v/>
      </c>
      <c r="N616" s="1">
        <f>IF(Data!N616&gt;0,Data!N616,"")</f>
        <v/>
      </c>
      <c r="O616" s="1">
        <f>IF(Data!O616&gt;0,Data!O616,"")</f>
        <v/>
      </c>
      <c r="P616" s="1">
        <f>IF(Data!P616&gt;0,Data!P616,"")</f>
        <v/>
      </c>
      <c r="Q616" s="1">
        <f>IF(Data!Q616&gt;0,Data!Q616,"")</f>
        <v/>
      </c>
      <c r="R616" s="1">
        <f>IF(Data!R616&gt;0,Data!R616,"")</f>
        <v/>
      </c>
      <c r="S616" s="1">
        <f>IF(Data!S616&gt;0,Data!S616,"")</f>
        <v/>
      </c>
      <c r="V616" s="3">
        <f>IF(COUNT(D616,J616,K616,L616,M616,O616)&gt;0,AVERAGE(D616,J616,K616,L616,M616,O616),"")</f>
        <v/>
      </c>
      <c r="W616" s="3">
        <f>IF(COUNT(C616,F616,G616,N616,Q616)&gt;0,AVERAGE(C616,F616,G616,N616,Q616),"")</f>
        <v/>
      </c>
      <c r="X616" s="3">
        <f>IF(COUNT(B616,E616,H616,I616,P616,R616,S616)&gt;0,AVERAGE(B616,E616,H616,I616,P616,R616,S616),"")</f>
        <v/>
      </c>
      <c r="Y616" s="3" t="n"/>
      <c r="AJ616">
        <f>IFERROR(AVERAGEIF($A$4:$A$1004,AI616,$V$4:$V$1004),"")</f>
        <v/>
      </c>
      <c r="AK616">
        <f>IFERROR(AVERAGEIF($A$4:$A$1004,AI616,$W$4:$W$1004),"")</f>
        <v/>
      </c>
      <c r="AL616">
        <f>IFERROR(AVERAGEIF($A$4:$A$1004,AI616,$X$4:$X$1004),"")</f>
        <v/>
      </c>
    </row>
    <row r="617">
      <c r="A617" s="1">
        <f>IF(Data!A617&gt;0,Data!A617,"")</f>
        <v/>
      </c>
      <c r="B617" s="1">
        <f>IF(Data!B617&gt;0,Data!B617,"")</f>
        <v/>
      </c>
      <c r="C617" s="1">
        <f>IF(Data!C617&gt;0,Data!C617,"")</f>
        <v/>
      </c>
      <c r="D617" s="1">
        <f>IF(Data!D617&gt;0,Data!D617,"")</f>
        <v/>
      </c>
      <c r="E617" s="1">
        <f>IF(Data!E617&gt;0,Data!E617,"")</f>
        <v/>
      </c>
      <c r="F617" s="1">
        <f>IF(Data!F617&gt;0,Data!F617,"")</f>
        <v/>
      </c>
      <c r="G617" s="1">
        <f>IF(Data!G617&gt;0,Data!G617,"")</f>
        <v/>
      </c>
      <c r="H617" s="1">
        <f>IF(Data!H617&gt;0,Data!H617,"")</f>
        <v/>
      </c>
      <c r="I617" s="1">
        <f>IF(Data!I617&gt;0,Data!I617,"")</f>
        <v/>
      </c>
      <c r="J617" s="1">
        <f>IF(Data!J617&gt;0,Data!J617,"")</f>
        <v/>
      </c>
      <c r="K617" s="1">
        <f>IF(Data!K617&gt;0,Data!K617,"")</f>
        <v/>
      </c>
      <c r="L617" s="1">
        <f>IF(Data!L617&gt;0,Data!L617,"")</f>
        <v/>
      </c>
      <c r="M617" s="1">
        <f>IF(Data!M617&gt;0,Data!M617,"")</f>
        <v/>
      </c>
      <c r="N617" s="1">
        <f>IF(Data!N617&gt;0,Data!N617,"")</f>
        <v/>
      </c>
      <c r="O617" s="1">
        <f>IF(Data!O617&gt;0,Data!O617,"")</f>
        <v/>
      </c>
      <c r="P617" s="1">
        <f>IF(Data!P617&gt;0,Data!P617,"")</f>
        <v/>
      </c>
      <c r="Q617" s="1">
        <f>IF(Data!Q617&gt;0,Data!Q617,"")</f>
        <v/>
      </c>
      <c r="R617" s="1">
        <f>IF(Data!R617&gt;0,Data!R617,"")</f>
        <v/>
      </c>
      <c r="S617" s="1">
        <f>IF(Data!S617&gt;0,Data!S617,"")</f>
        <v/>
      </c>
      <c r="V617" s="3">
        <f>IF(COUNT(D617,J617,K617,L617,M617,O617)&gt;0,AVERAGE(D617,J617,K617,L617,M617,O617),"")</f>
        <v/>
      </c>
      <c r="W617" s="3">
        <f>IF(COUNT(C617,F617,G617,N617,Q617)&gt;0,AVERAGE(C617,F617,G617,N617,Q617),"")</f>
        <v/>
      </c>
      <c r="X617" s="3">
        <f>IF(COUNT(B617,E617,H617,I617,P617,R617,S617)&gt;0,AVERAGE(B617,E617,H617,I617,P617,R617,S617),"")</f>
        <v/>
      </c>
      <c r="Y617" s="3" t="n"/>
      <c r="AJ617">
        <f>IFERROR(AVERAGEIF($A$4:$A$1004,AI617,$V$4:$V$1004),"")</f>
        <v/>
      </c>
      <c r="AK617">
        <f>IFERROR(AVERAGEIF($A$4:$A$1004,AI617,$W$4:$W$1004),"")</f>
        <v/>
      </c>
      <c r="AL617">
        <f>IFERROR(AVERAGEIF($A$4:$A$1004,AI617,$X$4:$X$1004),"")</f>
        <v/>
      </c>
    </row>
    <row r="618">
      <c r="A618" s="1">
        <f>IF(Data!A618&gt;0,Data!A618,"")</f>
        <v/>
      </c>
      <c r="B618" s="1">
        <f>IF(Data!B618&gt;0,Data!B618,"")</f>
        <v/>
      </c>
      <c r="C618" s="1">
        <f>IF(Data!C618&gt;0,Data!C618,"")</f>
        <v/>
      </c>
      <c r="D618" s="1">
        <f>IF(Data!D618&gt;0,Data!D618,"")</f>
        <v/>
      </c>
      <c r="E618" s="1">
        <f>IF(Data!E618&gt;0,Data!E618,"")</f>
        <v/>
      </c>
      <c r="F618" s="1">
        <f>IF(Data!F618&gt;0,Data!F618,"")</f>
        <v/>
      </c>
      <c r="G618" s="1">
        <f>IF(Data!G618&gt;0,Data!G618,"")</f>
        <v/>
      </c>
      <c r="H618" s="1">
        <f>IF(Data!H618&gt;0,Data!H618,"")</f>
        <v/>
      </c>
      <c r="I618" s="1">
        <f>IF(Data!I618&gt;0,Data!I618,"")</f>
        <v/>
      </c>
      <c r="J618" s="1">
        <f>IF(Data!J618&gt;0,Data!J618,"")</f>
        <v/>
      </c>
      <c r="K618" s="1">
        <f>IF(Data!K618&gt;0,Data!K618,"")</f>
        <v/>
      </c>
      <c r="L618" s="1">
        <f>IF(Data!L618&gt;0,Data!L618,"")</f>
        <v/>
      </c>
      <c r="M618" s="1">
        <f>IF(Data!M618&gt;0,Data!M618,"")</f>
        <v/>
      </c>
      <c r="N618" s="1">
        <f>IF(Data!N618&gt;0,Data!N618,"")</f>
        <v/>
      </c>
      <c r="O618" s="1">
        <f>IF(Data!O618&gt;0,Data!O618,"")</f>
        <v/>
      </c>
      <c r="P618" s="1">
        <f>IF(Data!P618&gt;0,Data!P618,"")</f>
        <v/>
      </c>
      <c r="Q618" s="1">
        <f>IF(Data!Q618&gt;0,Data!Q618,"")</f>
        <v/>
      </c>
      <c r="R618" s="1">
        <f>IF(Data!R618&gt;0,Data!R618,"")</f>
        <v/>
      </c>
      <c r="S618" s="1">
        <f>IF(Data!S618&gt;0,Data!S618,"")</f>
        <v/>
      </c>
      <c r="V618" s="3">
        <f>IF(COUNT(D618,J618,K618,L618,M618,O618)&gt;0,AVERAGE(D618,J618,K618,L618,M618,O618),"")</f>
        <v/>
      </c>
      <c r="W618" s="3">
        <f>IF(COUNT(C618,F618,G618,N618,Q618)&gt;0,AVERAGE(C618,F618,G618,N618,Q618),"")</f>
        <v/>
      </c>
      <c r="X618" s="3">
        <f>IF(COUNT(B618,E618,H618,I618,P618,R618,S618)&gt;0,AVERAGE(B618,E618,H618,I618,P618,R618,S618),"")</f>
        <v/>
      </c>
      <c r="Y618" s="3" t="n"/>
      <c r="AJ618">
        <f>IFERROR(AVERAGEIF($A$4:$A$1004,AI618,$V$4:$V$1004),"")</f>
        <v/>
      </c>
      <c r="AK618">
        <f>IFERROR(AVERAGEIF($A$4:$A$1004,AI618,$W$4:$W$1004),"")</f>
        <v/>
      </c>
      <c r="AL618">
        <f>IFERROR(AVERAGEIF($A$4:$A$1004,AI618,$X$4:$X$1004),"")</f>
        <v/>
      </c>
    </row>
    <row r="619">
      <c r="A619" s="1">
        <f>IF(Data!A619&gt;0,Data!A619,"")</f>
        <v/>
      </c>
      <c r="B619" s="1">
        <f>IF(Data!B619&gt;0,Data!B619,"")</f>
        <v/>
      </c>
      <c r="C619" s="1">
        <f>IF(Data!C619&gt;0,Data!C619,"")</f>
        <v/>
      </c>
      <c r="D619" s="1">
        <f>IF(Data!D619&gt;0,Data!D619,"")</f>
        <v/>
      </c>
      <c r="E619" s="1">
        <f>IF(Data!E619&gt;0,Data!E619,"")</f>
        <v/>
      </c>
      <c r="F619" s="1">
        <f>IF(Data!F619&gt;0,Data!F619,"")</f>
        <v/>
      </c>
      <c r="G619" s="1">
        <f>IF(Data!G619&gt;0,Data!G619,"")</f>
        <v/>
      </c>
      <c r="H619" s="1">
        <f>IF(Data!H619&gt;0,Data!H619,"")</f>
        <v/>
      </c>
      <c r="I619" s="1">
        <f>IF(Data!I619&gt;0,Data!I619,"")</f>
        <v/>
      </c>
      <c r="J619" s="1">
        <f>IF(Data!J619&gt;0,Data!J619,"")</f>
        <v/>
      </c>
      <c r="K619" s="1">
        <f>IF(Data!K619&gt;0,Data!K619,"")</f>
        <v/>
      </c>
      <c r="L619" s="1">
        <f>IF(Data!L619&gt;0,Data!L619,"")</f>
        <v/>
      </c>
      <c r="M619" s="1">
        <f>IF(Data!M619&gt;0,Data!M619,"")</f>
        <v/>
      </c>
      <c r="N619" s="1">
        <f>IF(Data!N619&gt;0,Data!N619,"")</f>
        <v/>
      </c>
      <c r="O619" s="1">
        <f>IF(Data!O619&gt;0,Data!O619,"")</f>
        <v/>
      </c>
      <c r="P619" s="1">
        <f>IF(Data!P619&gt;0,Data!P619,"")</f>
        <v/>
      </c>
      <c r="Q619" s="1">
        <f>IF(Data!Q619&gt;0,Data!Q619,"")</f>
        <v/>
      </c>
      <c r="R619" s="1">
        <f>IF(Data!R619&gt;0,Data!R619,"")</f>
        <v/>
      </c>
      <c r="S619" s="1">
        <f>IF(Data!S619&gt;0,Data!S619,"")</f>
        <v/>
      </c>
      <c r="V619" s="3">
        <f>IF(COUNT(D619,J619,K619,L619,M619,O619)&gt;0,AVERAGE(D619,J619,K619,L619,M619,O619),"")</f>
        <v/>
      </c>
      <c r="W619" s="3">
        <f>IF(COUNT(C619,F619,G619,N619,Q619)&gt;0,AVERAGE(C619,F619,G619,N619,Q619),"")</f>
        <v/>
      </c>
      <c r="X619" s="3">
        <f>IF(COUNT(B619,E619,H619,I619,P619,R619,S619)&gt;0,AVERAGE(B619,E619,H619,I619,P619,R619,S619),"")</f>
        <v/>
      </c>
      <c r="Y619" s="3" t="n"/>
      <c r="AJ619">
        <f>IFERROR(AVERAGEIF($A$4:$A$1004,AI619,$V$4:$V$1004),"")</f>
        <v/>
      </c>
      <c r="AK619">
        <f>IFERROR(AVERAGEIF($A$4:$A$1004,AI619,$W$4:$W$1004),"")</f>
        <v/>
      </c>
      <c r="AL619">
        <f>IFERROR(AVERAGEIF($A$4:$A$1004,AI619,$X$4:$X$1004),"")</f>
        <v/>
      </c>
    </row>
    <row r="620">
      <c r="A620" s="1">
        <f>IF(Data!A620&gt;0,Data!A620,"")</f>
        <v/>
      </c>
      <c r="B620" s="1">
        <f>IF(Data!B620&gt;0,Data!B620,"")</f>
        <v/>
      </c>
      <c r="C620" s="1">
        <f>IF(Data!C620&gt;0,Data!C620,"")</f>
        <v/>
      </c>
      <c r="D620" s="1">
        <f>IF(Data!D620&gt;0,Data!D620,"")</f>
        <v/>
      </c>
      <c r="E620" s="1">
        <f>IF(Data!E620&gt;0,Data!E620,"")</f>
        <v/>
      </c>
      <c r="F620" s="1">
        <f>IF(Data!F620&gt;0,Data!F620,"")</f>
        <v/>
      </c>
      <c r="G620" s="1">
        <f>IF(Data!G620&gt;0,Data!G620,"")</f>
        <v/>
      </c>
      <c r="H620" s="1">
        <f>IF(Data!H620&gt;0,Data!H620,"")</f>
        <v/>
      </c>
      <c r="I620" s="1">
        <f>IF(Data!I620&gt;0,Data!I620,"")</f>
        <v/>
      </c>
      <c r="J620" s="1">
        <f>IF(Data!J620&gt;0,Data!J620,"")</f>
        <v/>
      </c>
      <c r="K620" s="1">
        <f>IF(Data!K620&gt;0,Data!K620,"")</f>
        <v/>
      </c>
      <c r="L620" s="1">
        <f>IF(Data!L620&gt;0,Data!L620,"")</f>
        <v/>
      </c>
      <c r="M620" s="1">
        <f>IF(Data!M620&gt;0,Data!M620,"")</f>
        <v/>
      </c>
      <c r="N620" s="1">
        <f>IF(Data!N620&gt;0,Data!N620,"")</f>
        <v/>
      </c>
      <c r="O620" s="1">
        <f>IF(Data!O620&gt;0,Data!O620,"")</f>
        <v/>
      </c>
      <c r="P620" s="1">
        <f>IF(Data!P620&gt;0,Data!P620,"")</f>
        <v/>
      </c>
      <c r="Q620" s="1">
        <f>IF(Data!Q620&gt;0,Data!Q620,"")</f>
        <v/>
      </c>
      <c r="R620" s="1">
        <f>IF(Data!R620&gt;0,Data!R620,"")</f>
        <v/>
      </c>
      <c r="S620" s="1">
        <f>IF(Data!S620&gt;0,Data!S620,"")</f>
        <v/>
      </c>
      <c r="V620" s="3">
        <f>IF(COUNT(D620,J620,K620,L620,M620,O620)&gt;0,AVERAGE(D620,J620,K620,L620,M620,O620),"")</f>
        <v/>
      </c>
      <c r="W620" s="3">
        <f>IF(COUNT(C620,F620,G620,N620,Q620)&gt;0,AVERAGE(C620,F620,G620,N620,Q620),"")</f>
        <v/>
      </c>
      <c r="X620" s="3">
        <f>IF(COUNT(B620,E620,H620,I620,P620,R620,S620)&gt;0,AVERAGE(B620,E620,H620,I620,P620,R620,S620),"")</f>
        <v/>
      </c>
      <c r="Y620" s="3" t="n"/>
      <c r="AJ620">
        <f>IFERROR(AVERAGEIF($A$4:$A$1004,AI620,$V$4:$V$1004),"")</f>
        <v/>
      </c>
      <c r="AK620">
        <f>IFERROR(AVERAGEIF($A$4:$A$1004,AI620,$W$4:$W$1004),"")</f>
        <v/>
      </c>
      <c r="AL620">
        <f>IFERROR(AVERAGEIF($A$4:$A$1004,AI620,$X$4:$X$1004),"")</f>
        <v/>
      </c>
    </row>
    <row r="621">
      <c r="A621" s="1">
        <f>IF(Data!A621&gt;0,Data!A621,"")</f>
        <v/>
      </c>
      <c r="B621" s="1">
        <f>IF(Data!B621&gt;0,Data!B621,"")</f>
        <v/>
      </c>
      <c r="C621" s="1">
        <f>IF(Data!C621&gt;0,Data!C621,"")</f>
        <v/>
      </c>
      <c r="D621" s="1">
        <f>IF(Data!D621&gt;0,Data!D621,"")</f>
        <v/>
      </c>
      <c r="E621" s="1">
        <f>IF(Data!E621&gt;0,Data!E621,"")</f>
        <v/>
      </c>
      <c r="F621" s="1">
        <f>IF(Data!F621&gt;0,Data!F621,"")</f>
        <v/>
      </c>
      <c r="G621" s="1">
        <f>IF(Data!G621&gt;0,Data!G621,"")</f>
        <v/>
      </c>
      <c r="H621" s="1">
        <f>IF(Data!H621&gt;0,Data!H621,"")</f>
        <v/>
      </c>
      <c r="I621" s="1">
        <f>IF(Data!I621&gt;0,Data!I621,"")</f>
        <v/>
      </c>
      <c r="J621" s="1">
        <f>IF(Data!J621&gt;0,Data!J621,"")</f>
        <v/>
      </c>
      <c r="K621" s="1">
        <f>IF(Data!K621&gt;0,Data!K621,"")</f>
        <v/>
      </c>
      <c r="L621" s="1">
        <f>IF(Data!L621&gt;0,Data!L621,"")</f>
        <v/>
      </c>
      <c r="M621" s="1">
        <f>IF(Data!M621&gt;0,Data!M621,"")</f>
        <v/>
      </c>
      <c r="N621" s="1">
        <f>IF(Data!N621&gt;0,Data!N621,"")</f>
        <v/>
      </c>
      <c r="O621" s="1">
        <f>IF(Data!O621&gt;0,Data!O621,"")</f>
        <v/>
      </c>
      <c r="P621" s="1">
        <f>IF(Data!P621&gt;0,Data!P621,"")</f>
        <v/>
      </c>
      <c r="Q621" s="1">
        <f>IF(Data!Q621&gt;0,Data!Q621,"")</f>
        <v/>
      </c>
      <c r="R621" s="1">
        <f>IF(Data!R621&gt;0,Data!R621,"")</f>
        <v/>
      </c>
      <c r="S621" s="1">
        <f>IF(Data!S621&gt;0,Data!S621,"")</f>
        <v/>
      </c>
      <c r="V621" s="3">
        <f>IF(COUNT(D621,J621,K621,L621,M621,O621)&gt;0,AVERAGE(D621,J621,K621,L621,M621,O621),"")</f>
        <v/>
      </c>
      <c r="W621" s="3">
        <f>IF(COUNT(C621,F621,G621,N621,Q621)&gt;0,AVERAGE(C621,F621,G621,N621,Q621),"")</f>
        <v/>
      </c>
      <c r="X621" s="3">
        <f>IF(COUNT(B621,E621,H621,I621,P621,R621,S621)&gt;0,AVERAGE(B621,E621,H621,I621,P621,R621,S621),"")</f>
        <v/>
      </c>
      <c r="Y621" s="3" t="n"/>
      <c r="AJ621">
        <f>IFERROR(AVERAGEIF($A$4:$A$1004,AI621,$V$4:$V$1004),"")</f>
        <v/>
      </c>
      <c r="AK621">
        <f>IFERROR(AVERAGEIF($A$4:$A$1004,AI621,$W$4:$W$1004),"")</f>
        <v/>
      </c>
      <c r="AL621">
        <f>IFERROR(AVERAGEIF($A$4:$A$1004,AI621,$X$4:$X$1004),"")</f>
        <v/>
      </c>
    </row>
    <row r="622">
      <c r="A622" s="1">
        <f>IF(Data!A622&gt;0,Data!A622,"")</f>
        <v/>
      </c>
      <c r="B622" s="1">
        <f>IF(Data!B622&gt;0,Data!B622,"")</f>
        <v/>
      </c>
      <c r="C622" s="1">
        <f>IF(Data!C622&gt;0,Data!C622,"")</f>
        <v/>
      </c>
      <c r="D622" s="1">
        <f>IF(Data!D622&gt;0,Data!D622,"")</f>
        <v/>
      </c>
      <c r="E622" s="1">
        <f>IF(Data!E622&gt;0,Data!E622,"")</f>
        <v/>
      </c>
      <c r="F622" s="1">
        <f>IF(Data!F622&gt;0,Data!F622,"")</f>
        <v/>
      </c>
      <c r="G622" s="1">
        <f>IF(Data!G622&gt;0,Data!G622,"")</f>
        <v/>
      </c>
      <c r="H622" s="1">
        <f>IF(Data!H622&gt;0,Data!H622,"")</f>
        <v/>
      </c>
      <c r="I622" s="1">
        <f>IF(Data!I622&gt;0,Data!I622,"")</f>
        <v/>
      </c>
      <c r="J622" s="1">
        <f>IF(Data!J622&gt;0,Data!J622,"")</f>
        <v/>
      </c>
      <c r="K622" s="1">
        <f>IF(Data!K622&gt;0,Data!K622,"")</f>
        <v/>
      </c>
      <c r="L622" s="1">
        <f>IF(Data!L622&gt;0,Data!L622,"")</f>
        <v/>
      </c>
      <c r="M622" s="1">
        <f>IF(Data!M622&gt;0,Data!M622,"")</f>
        <v/>
      </c>
      <c r="N622" s="1">
        <f>IF(Data!N622&gt;0,Data!N622,"")</f>
        <v/>
      </c>
      <c r="O622" s="1">
        <f>IF(Data!O622&gt;0,Data!O622,"")</f>
        <v/>
      </c>
      <c r="P622" s="1">
        <f>IF(Data!P622&gt;0,Data!P622,"")</f>
        <v/>
      </c>
      <c r="Q622" s="1">
        <f>IF(Data!Q622&gt;0,Data!Q622,"")</f>
        <v/>
      </c>
      <c r="R622" s="1">
        <f>IF(Data!R622&gt;0,Data!R622,"")</f>
        <v/>
      </c>
      <c r="S622" s="1">
        <f>IF(Data!S622&gt;0,Data!S622,"")</f>
        <v/>
      </c>
      <c r="V622" s="3">
        <f>IF(COUNT(D622,J622,K622,L622,M622,O622)&gt;0,AVERAGE(D622,J622,K622,L622,M622,O622),"")</f>
        <v/>
      </c>
      <c r="W622" s="3">
        <f>IF(COUNT(C622,F622,G622,N622,Q622)&gt;0,AVERAGE(C622,F622,G622,N622,Q622),"")</f>
        <v/>
      </c>
      <c r="X622" s="3">
        <f>IF(COUNT(B622,E622,H622,I622,P622,R622,S622)&gt;0,AVERAGE(B622,E622,H622,I622,P622,R622,S622),"")</f>
        <v/>
      </c>
      <c r="Y622" s="3" t="n"/>
      <c r="AJ622">
        <f>IFERROR(AVERAGEIF($A$4:$A$1004,AI622,$V$4:$V$1004),"")</f>
        <v/>
      </c>
      <c r="AK622">
        <f>IFERROR(AVERAGEIF($A$4:$A$1004,AI622,$W$4:$W$1004),"")</f>
        <v/>
      </c>
      <c r="AL622">
        <f>IFERROR(AVERAGEIF($A$4:$A$1004,AI622,$X$4:$X$1004),"")</f>
        <v/>
      </c>
    </row>
    <row r="623">
      <c r="A623" s="1">
        <f>IF(Data!A623&gt;0,Data!A623,"")</f>
        <v/>
      </c>
      <c r="B623" s="1">
        <f>IF(Data!B623&gt;0,Data!B623,"")</f>
        <v/>
      </c>
      <c r="C623" s="1">
        <f>IF(Data!C623&gt;0,Data!C623,"")</f>
        <v/>
      </c>
      <c r="D623" s="1">
        <f>IF(Data!D623&gt;0,Data!D623,"")</f>
        <v/>
      </c>
      <c r="E623" s="1">
        <f>IF(Data!E623&gt;0,Data!E623,"")</f>
        <v/>
      </c>
      <c r="F623" s="1">
        <f>IF(Data!F623&gt;0,Data!F623,"")</f>
        <v/>
      </c>
      <c r="G623" s="1">
        <f>IF(Data!G623&gt;0,Data!G623,"")</f>
        <v/>
      </c>
      <c r="H623" s="1">
        <f>IF(Data!H623&gt;0,Data!H623,"")</f>
        <v/>
      </c>
      <c r="I623" s="1">
        <f>IF(Data!I623&gt;0,Data!I623,"")</f>
        <v/>
      </c>
      <c r="J623" s="1">
        <f>IF(Data!J623&gt;0,Data!J623,"")</f>
        <v/>
      </c>
      <c r="K623" s="1">
        <f>IF(Data!K623&gt;0,Data!K623,"")</f>
        <v/>
      </c>
      <c r="L623" s="1">
        <f>IF(Data!L623&gt;0,Data!L623,"")</f>
        <v/>
      </c>
      <c r="M623" s="1">
        <f>IF(Data!M623&gt;0,Data!M623,"")</f>
        <v/>
      </c>
      <c r="N623" s="1">
        <f>IF(Data!N623&gt;0,Data!N623,"")</f>
        <v/>
      </c>
      <c r="O623" s="1">
        <f>IF(Data!O623&gt;0,Data!O623,"")</f>
        <v/>
      </c>
      <c r="P623" s="1">
        <f>IF(Data!P623&gt;0,Data!P623,"")</f>
        <v/>
      </c>
      <c r="Q623" s="1">
        <f>IF(Data!Q623&gt;0,Data!Q623,"")</f>
        <v/>
      </c>
      <c r="R623" s="1">
        <f>IF(Data!R623&gt;0,Data!R623,"")</f>
        <v/>
      </c>
      <c r="S623" s="1">
        <f>IF(Data!S623&gt;0,Data!S623,"")</f>
        <v/>
      </c>
      <c r="V623" s="3">
        <f>IF(COUNT(D623,J623,K623,L623,M623,O623)&gt;0,AVERAGE(D623,J623,K623,L623,M623,O623),"")</f>
        <v/>
      </c>
      <c r="W623" s="3">
        <f>IF(COUNT(C623,F623,G623,N623,Q623)&gt;0,AVERAGE(C623,F623,G623,N623,Q623),"")</f>
        <v/>
      </c>
      <c r="X623" s="3">
        <f>IF(COUNT(B623,E623,H623,I623,P623,R623,S623)&gt;0,AVERAGE(B623,E623,H623,I623,P623,R623,S623),"")</f>
        <v/>
      </c>
      <c r="Y623" s="3" t="n"/>
      <c r="AJ623">
        <f>IFERROR(AVERAGEIF($A$4:$A$1004,AI623,$V$4:$V$1004),"")</f>
        <v/>
      </c>
      <c r="AK623">
        <f>IFERROR(AVERAGEIF($A$4:$A$1004,AI623,$W$4:$W$1004),"")</f>
        <v/>
      </c>
      <c r="AL623">
        <f>IFERROR(AVERAGEIF($A$4:$A$1004,AI623,$X$4:$X$1004),"")</f>
        <v/>
      </c>
    </row>
    <row r="624">
      <c r="A624" s="1">
        <f>IF(Data!A624&gt;0,Data!A624,"")</f>
        <v/>
      </c>
      <c r="B624" s="1">
        <f>IF(Data!B624&gt;0,Data!B624,"")</f>
        <v/>
      </c>
      <c r="C624" s="1">
        <f>IF(Data!C624&gt;0,Data!C624,"")</f>
        <v/>
      </c>
      <c r="D624" s="1">
        <f>IF(Data!D624&gt;0,Data!D624,"")</f>
        <v/>
      </c>
      <c r="E624" s="1">
        <f>IF(Data!E624&gt;0,Data!E624,"")</f>
        <v/>
      </c>
      <c r="F624" s="1">
        <f>IF(Data!F624&gt;0,Data!F624,"")</f>
        <v/>
      </c>
      <c r="G624" s="1">
        <f>IF(Data!G624&gt;0,Data!G624,"")</f>
        <v/>
      </c>
      <c r="H624" s="1">
        <f>IF(Data!H624&gt;0,Data!H624,"")</f>
        <v/>
      </c>
      <c r="I624" s="1">
        <f>IF(Data!I624&gt;0,Data!I624,"")</f>
        <v/>
      </c>
      <c r="J624" s="1">
        <f>IF(Data!J624&gt;0,Data!J624,"")</f>
        <v/>
      </c>
      <c r="K624" s="1">
        <f>IF(Data!K624&gt;0,Data!K624,"")</f>
        <v/>
      </c>
      <c r="L624" s="1">
        <f>IF(Data!L624&gt;0,Data!L624,"")</f>
        <v/>
      </c>
      <c r="M624" s="1">
        <f>IF(Data!M624&gt;0,Data!M624,"")</f>
        <v/>
      </c>
      <c r="N624" s="1">
        <f>IF(Data!N624&gt;0,Data!N624,"")</f>
        <v/>
      </c>
      <c r="O624" s="1">
        <f>IF(Data!O624&gt;0,Data!O624,"")</f>
        <v/>
      </c>
      <c r="P624" s="1">
        <f>IF(Data!P624&gt;0,Data!P624,"")</f>
        <v/>
      </c>
      <c r="Q624" s="1">
        <f>IF(Data!Q624&gt;0,Data!Q624,"")</f>
        <v/>
      </c>
      <c r="R624" s="1">
        <f>IF(Data!R624&gt;0,Data!R624,"")</f>
        <v/>
      </c>
      <c r="S624" s="1">
        <f>IF(Data!S624&gt;0,Data!S624,"")</f>
        <v/>
      </c>
      <c r="V624" s="3">
        <f>IF(COUNT(D624,J624,K624,L624,M624,O624)&gt;0,AVERAGE(D624,J624,K624,L624,M624,O624),"")</f>
        <v/>
      </c>
      <c r="W624" s="3">
        <f>IF(COUNT(C624,F624,G624,N624,Q624)&gt;0,AVERAGE(C624,F624,G624,N624,Q624),"")</f>
        <v/>
      </c>
      <c r="X624" s="3">
        <f>IF(COUNT(B624,E624,H624,I624,P624,R624,S624)&gt;0,AVERAGE(B624,E624,H624,I624,P624,R624,S624),"")</f>
        <v/>
      </c>
      <c r="Y624" s="3" t="n"/>
      <c r="AJ624">
        <f>IFERROR(AVERAGEIF($A$4:$A$1004,AI624,$V$4:$V$1004),"")</f>
        <v/>
      </c>
      <c r="AK624">
        <f>IFERROR(AVERAGEIF($A$4:$A$1004,AI624,$W$4:$W$1004),"")</f>
        <v/>
      </c>
      <c r="AL624">
        <f>IFERROR(AVERAGEIF($A$4:$A$1004,AI624,$X$4:$X$1004),"")</f>
        <v/>
      </c>
    </row>
    <row r="625">
      <c r="A625" s="1">
        <f>IF(Data!A625&gt;0,Data!A625,"")</f>
        <v/>
      </c>
      <c r="B625" s="1">
        <f>IF(Data!B625&gt;0,Data!B625,"")</f>
        <v/>
      </c>
      <c r="C625" s="1">
        <f>IF(Data!C625&gt;0,Data!C625,"")</f>
        <v/>
      </c>
      <c r="D625" s="1">
        <f>IF(Data!D625&gt;0,Data!D625,"")</f>
        <v/>
      </c>
      <c r="E625" s="1">
        <f>IF(Data!E625&gt;0,Data!E625,"")</f>
        <v/>
      </c>
      <c r="F625" s="1">
        <f>IF(Data!F625&gt;0,Data!F625,"")</f>
        <v/>
      </c>
      <c r="G625" s="1">
        <f>IF(Data!G625&gt;0,Data!G625,"")</f>
        <v/>
      </c>
      <c r="H625" s="1">
        <f>IF(Data!H625&gt;0,Data!H625,"")</f>
        <v/>
      </c>
      <c r="I625" s="1">
        <f>IF(Data!I625&gt;0,Data!I625,"")</f>
        <v/>
      </c>
      <c r="J625" s="1">
        <f>IF(Data!J625&gt;0,Data!J625,"")</f>
        <v/>
      </c>
      <c r="K625" s="1">
        <f>IF(Data!K625&gt;0,Data!K625,"")</f>
        <v/>
      </c>
      <c r="L625" s="1">
        <f>IF(Data!L625&gt;0,Data!L625,"")</f>
        <v/>
      </c>
      <c r="M625" s="1">
        <f>IF(Data!M625&gt;0,Data!M625,"")</f>
        <v/>
      </c>
      <c r="N625" s="1">
        <f>IF(Data!N625&gt;0,Data!N625,"")</f>
        <v/>
      </c>
      <c r="O625" s="1">
        <f>IF(Data!O625&gt;0,Data!O625,"")</f>
        <v/>
      </c>
      <c r="P625" s="1">
        <f>IF(Data!P625&gt;0,Data!P625,"")</f>
        <v/>
      </c>
      <c r="Q625" s="1">
        <f>IF(Data!Q625&gt;0,Data!Q625,"")</f>
        <v/>
      </c>
      <c r="R625" s="1">
        <f>IF(Data!R625&gt;0,Data!R625,"")</f>
        <v/>
      </c>
      <c r="S625" s="1">
        <f>IF(Data!S625&gt;0,Data!S625,"")</f>
        <v/>
      </c>
      <c r="V625" s="3">
        <f>IF(COUNT(D625,J625,K625,L625,M625,O625)&gt;0,AVERAGE(D625,J625,K625,L625,M625,O625),"")</f>
        <v/>
      </c>
      <c r="W625" s="3">
        <f>IF(COUNT(C625,F625,G625,N625,Q625)&gt;0,AVERAGE(C625,F625,G625,N625,Q625),"")</f>
        <v/>
      </c>
      <c r="X625" s="3">
        <f>IF(COUNT(B625,E625,H625,I625,P625,R625,S625)&gt;0,AVERAGE(B625,E625,H625,I625,P625,R625,S625),"")</f>
        <v/>
      </c>
      <c r="Y625" s="3" t="n"/>
      <c r="AJ625">
        <f>IFERROR(AVERAGEIF($A$4:$A$1004,AI625,$V$4:$V$1004),"")</f>
        <v/>
      </c>
      <c r="AK625">
        <f>IFERROR(AVERAGEIF($A$4:$A$1004,AI625,$W$4:$W$1004),"")</f>
        <v/>
      </c>
      <c r="AL625">
        <f>IFERROR(AVERAGEIF($A$4:$A$1004,AI625,$X$4:$X$1004),"")</f>
        <v/>
      </c>
    </row>
    <row r="626">
      <c r="A626" s="1">
        <f>IF(Data!A626&gt;0,Data!A626,"")</f>
        <v/>
      </c>
      <c r="B626" s="1">
        <f>IF(Data!B626&gt;0,Data!B626,"")</f>
        <v/>
      </c>
      <c r="C626" s="1">
        <f>IF(Data!C626&gt;0,Data!C626,"")</f>
        <v/>
      </c>
      <c r="D626" s="1">
        <f>IF(Data!D626&gt;0,Data!D626,"")</f>
        <v/>
      </c>
      <c r="E626" s="1">
        <f>IF(Data!E626&gt;0,Data!E626,"")</f>
        <v/>
      </c>
      <c r="F626" s="1">
        <f>IF(Data!F626&gt;0,Data!F626,"")</f>
        <v/>
      </c>
      <c r="G626" s="1">
        <f>IF(Data!G626&gt;0,Data!G626,"")</f>
        <v/>
      </c>
      <c r="H626" s="1">
        <f>IF(Data!H626&gt;0,Data!H626,"")</f>
        <v/>
      </c>
      <c r="I626" s="1">
        <f>IF(Data!I626&gt;0,Data!I626,"")</f>
        <v/>
      </c>
      <c r="J626" s="1">
        <f>IF(Data!J626&gt;0,Data!J626,"")</f>
        <v/>
      </c>
      <c r="K626" s="1">
        <f>IF(Data!K626&gt;0,Data!K626,"")</f>
        <v/>
      </c>
      <c r="L626" s="1">
        <f>IF(Data!L626&gt;0,Data!L626,"")</f>
        <v/>
      </c>
      <c r="M626" s="1">
        <f>IF(Data!M626&gt;0,Data!M626,"")</f>
        <v/>
      </c>
      <c r="N626" s="1">
        <f>IF(Data!N626&gt;0,Data!N626,"")</f>
        <v/>
      </c>
      <c r="O626" s="1">
        <f>IF(Data!O626&gt;0,Data!O626,"")</f>
        <v/>
      </c>
      <c r="P626" s="1">
        <f>IF(Data!P626&gt;0,Data!P626,"")</f>
        <v/>
      </c>
      <c r="Q626" s="1">
        <f>IF(Data!Q626&gt;0,Data!Q626,"")</f>
        <v/>
      </c>
      <c r="R626" s="1">
        <f>IF(Data!R626&gt;0,Data!R626,"")</f>
        <v/>
      </c>
      <c r="S626" s="1">
        <f>IF(Data!S626&gt;0,Data!S626,"")</f>
        <v/>
      </c>
      <c r="V626" s="3">
        <f>IF(COUNT(D626,J626,K626,L626,M626,O626)&gt;0,AVERAGE(D626,J626,K626,L626,M626,O626),"")</f>
        <v/>
      </c>
      <c r="W626" s="3">
        <f>IF(COUNT(C626,F626,G626,N626,Q626)&gt;0,AVERAGE(C626,F626,G626,N626,Q626),"")</f>
        <v/>
      </c>
      <c r="X626" s="3">
        <f>IF(COUNT(B626,E626,H626,I626,P626,R626,S626)&gt;0,AVERAGE(B626,E626,H626,I626,P626,R626,S626),"")</f>
        <v/>
      </c>
      <c r="Y626" s="3" t="n"/>
      <c r="AJ626">
        <f>IFERROR(AVERAGEIF($A$4:$A$1004,AI626,$V$4:$V$1004),"")</f>
        <v/>
      </c>
      <c r="AK626">
        <f>IFERROR(AVERAGEIF($A$4:$A$1004,AI626,$W$4:$W$1004),"")</f>
        <v/>
      </c>
      <c r="AL626">
        <f>IFERROR(AVERAGEIF($A$4:$A$1004,AI626,$X$4:$X$1004),"")</f>
        <v/>
      </c>
    </row>
    <row r="627">
      <c r="A627" s="1">
        <f>IF(Data!A627&gt;0,Data!A627,"")</f>
        <v/>
      </c>
      <c r="B627" s="1">
        <f>IF(Data!B627&gt;0,Data!B627,"")</f>
        <v/>
      </c>
      <c r="C627" s="1">
        <f>IF(Data!C627&gt;0,Data!C627,"")</f>
        <v/>
      </c>
      <c r="D627" s="1">
        <f>IF(Data!D627&gt;0,Data!D627,"")</f>
        <v/>
      </c>
      <c r="E627" s="1">
        <f>IF(Data!E627&gt;0,Data!E627,"")</f>
        <v/>
      </c>
      <c r="F627" s="1">
        <f>IF(Data!F627&gt;0,Data!F627,"")</f>
        <v/>
      </c>
      <c r="G627" s="1">
        <f>IF(Data!G627&gt;0,Data!G627,"")</f>
        <v/>
      </c>
      <c r="H627" s="1">
        <f>IF(Data!H627&gt;0,Data!H627,"")</f>
        <v/>
      </c>
      <c r="I627" s="1">
        <f>IF(Data!I627&gt;0,Data!I627,"")</f>
        <v/>
      </c>
      <c r="J627" s="1">
        <f>IF(Data!J627&gt;0,Data!J627,"")</f>
        <v/>
      </c>
      <c r="K627" s="1">
        <f>IF(Data!K627&gt;0,Data!K627,"")</f>
        <v/>
      </c>
      <c r="L627" s="1">
        <f>IF(Data!L627&gt;0,Data!L627,"")</f>
        <v/>
      </c>
      <c r="M627" s="1">
        <f>IF(Data!M627&gt;0,Data!M627,"")</f>
        <v/>
      </c>
      <c r="N627" s="1">
        <f>IF(Data!N627&gt;0,Data!N627,"")</f>
        <v/>
      </c>
      <c r="O627" s="1">
        <f>IF(Data!O627&gt;0,Data!O627,"")</f>
        <v/>
      </c>
      <c r="P627" s="1">
        <f>IF(Data!P627&gt;0,Data!P627,"")</f>
        <v/>
      </c>
      <c r="Q627" s="1">
        <f>IF(Data!Q627&gt;0,Data!Q627,"")</f>
        <v/>
      </c>
      <c r="R627" s="1">
        <f>IF(Data!R627&gt;0,Data!R627,"")</f>
        <v/>
      </c>
      <c r="S627" s="1">
        <f>IF(Data!S627&gt;0,Data!S627,"")</f>
        <v/>
      </c>
      <c r="V627" s="3">
        <f>IF(COUNT(D627,J627,K627,L627,M627,O627)&gt;0,AVERAGE(D627,J627,K627,L627,M627,O627),"")</f>
        <v/>
      </c>
      <c r="W627" s="3">
        <f>IF(COUNT(C627,F627,G627,N627,Q627)&gt;0,AVERAGE(C627,F627,G627,N627,Q627),"")</f>
        <v/>
      </c>
      <c r="X627" s="3">
        <f>IF(COUNT(B627,E627,H627,I627,P627,R627,S627)&gt;0,AVERAGE(B627,E627,H627,I627,P627,R627,S627),"")</f>
        <v/>
      </c>
      <c r="Y627" s="3" t="n"/>
      <c r="AJ627">
        <f>IFERROR(AVERAGEIF($A$4:$A$1004,AI627,$V$4:$V$1004),"")</f>
        <v/>
      </c>
      <c r="AK627">
        <f>IFERROR(AVERAGEIF($A$4:$A$1004,AI627,$W$4:$W$1004),"")</f>
        <v/>
      </c>
      <c r="AL627">
        <f>IFERROR(AVERAGEIF($A$4:$A$1004,AI627,$X$4:$X$1004),"")</f>
        <v/>
      </c>
    </row>
    <row r="628">
      <c r="A628" s="1">
        <f>IF(Data!A628&gt;0,Data!A628,"")</f>
        <v/>
      </c>
      <c r="B628" s="1">
        <f>IF(Data!B628&gt;0,Data!B628,"")</f>
        <v/>
      </c>
      <c r="C628" s="1">
        <f>IF(Data!C628&gt;0,Data!C628,"")</f>
        <v/>
      </c>
      <c r="D628" s="1">
        <f>IF(Data!D628&gt;0,Data!D628,"")</f>
        <v/>
      </c>
      <c r="E628" s="1">
        <f>IF(Data!E628&gt;0,Data!E628,"")</f>
        <v/>
      </c>
      <c r="F628" s="1">
        <f>IF(Data!F628&gt;0,Data!F628,"")</f>
        <v/>
      </c>
      <c r="G628" s="1">
        <f>IF(Data!G628&gt;0,Data!G628,"")</f>
        <v/>
      </c>
      <c r="H628" s="1">
        <f>IF(Data!H628&gt;0,Data!H628,"")</f>
        <v/>
      </c>
      <c r="I628" s="1">
        <f>IF(Data!I628&gt;0,Data!I628,"")</f>
        <v/>
      </c>
      <c r="J628" s="1">
        <f>IF(Data!J628&gt;0,Data!J628,"")</f>
        <v/>
      </c>
      <c r="K628" s="1">
        <f>IF(Data!K628&gt;0,Data!K628,"")</f>
        <v/>
      </c>
      <c r="L628" s="1">
        <f>IF(Data!L628&gt;0,Data!L628,"")</f>
        <v/>
      </c>
      <c r="M628" s="1">
        <f>IF(Data!M628&gt;0,Data!M628,"")</f>
        <v/>
      </c>
      <c r="N628" s="1">
        <f>IF(Data!N628&gt;0,Data!N628,"")</f>
        <v/>
      </c>
      <c r="O628" s="1">
        <f>IF(Data!O628&gt;0,Data!O628,"")</f>
        <v/>
      </c>
      <c r="P628" s="1">
        <f>IF(Data!P628&gt;0,Data!P628,"")</f>
        <v/>
      </c>
      <c r="Q628" s="1">
        <f>IF(Data!Q628&gt;0,Data!Q628,"")</f>
        <v/>
      </c>
      <c r="R628" s="1">
        <f>IF(Data!R628&gt;0,Data!R628,"")</f>
        <v/>
      </c>
      <c r="S628" s="1">
        <f>IF(Data!S628&gt;0,Data!S628,"")</f>
        <v/>
      </c>
      <c r="V628" s="3">
        <f>IF(COUNT(D628,J628,K628,L628,M628,O628)&gt;0,AVERAGE(D628,J628,K628,L628,M628,O628),"")</f>
        <v/>
      </c>
      <c r="W628" s="3">
        <f>IF(COUNT(C628,F628,G628,N628,Q628)&gt;0,AVERAGE(C628,F628,G628,N628,Q628),"")</f>
        <v/>
      </c>
      <c r="X628" s="3">
        <f>IF(COUNT(B628,E628,H628,I628,P628,R628,S628)&gt;0,AVERAGE(B628,E628,H628,I628,P628,R628,S628),"")</f>
        <v/>
      </c>
      <c r="Y628" s="3" t="n"/>
      <c r="AJ628">
        <f>IFERROR(AVERAGEIF($A$4:$A$1004,AI628,$V$4:$V$1004),"")</f>
        <v/>
      </c>
      <c r="AK628">
        <f>IFERROR(AVERAGEIF($A$4:$A$1004,AI628,$W$4:$W$1004),"")</f>
        <v/>
      </c>
      <c r="AL628">
        <f>IFERROR(AVERAGEIF($A$4:$A$1004,AI628,$X$4:$X$1004),"")</f>
        <v/>
      </c>
    </row>
    <row r="629">
      <c r="A629" s="1">
        <f>IF(Data!A629&gt;0,Data!A629,"")</f>
        <v/>
      </c>
      <c r="B629" s="1">
        <f>IF(Data!B629&gt;0,Data!B629,"")</f>
        <v/>
      </c>
      <c r="C629" s="1">
        <f>IF(Data!C629&gt;0,Data!C629,"")</f>
        <v/>
      </c>
      <c r="D629" s="1">
        <f>IF(Data!D629&gt;0,Data!D629,"")</f>
        <v/>
      </c>
      <c r="E629" s="1">
        <f>IF(Data!E629&gt;0,Data!E629,"")</f>
        <v/>
      </c>
      <c r="F629" s="1">
        <f>IF(Data!F629&gt;0,Data!F629,"")</f>
        <v/>
      </c>
      <c r="G629" s="1">
        <f>IF(Data!G629&gt;0,Data!G629,"")</f>
        <v/>
      </c>
      <c r="H629" s="1">
        <f>IF(Data!H629&gt;0,Data!H629,"")</f>
        <v/>
      </c>
      <c r="I629" s="1">
        <f>IF(Data!I629&gt;0,Data!I629,"")</f>
        <v/>
      </c>
      <c r="J629" s="1">
        <f>IF(Data!J629&gt;0,Data!J629,"")</f>
        <v/>
      </c>
      <c r="K629" s="1">
        <f>IF(Data!K629&gt;0,Data!K629,"")</f>
        <v/>
      </c>
      <c r="L629" s="1">
        <f>IF(Data!L629&gt;0,Data!L629,"")</f>
        <v/>
      </c>
      <c r="M629" s="1">
        <f>IF(Data!M629&gt;0,Data!M629,"")</f>
        <v/>
      </c>
      <c r="N629" s="1">
        <f>IF(Data!N629&gt;0,Data!N629,"")</f>
        <v/>
      </c>
      <c r="O629" s="1">
        <f>IF(Data!O629&gt;0,Data!O629,"")</f>
        <v/>
      </c>
      <c r="P629" s="1">
        <f>IF(Data!P629&gt;0,Data!P629,"")</f>
        <v/>
      </c>
      <c r="Q629" s="1">
        <f>IF(Data!Q629&gt;0,Data!Q629,"")</f>
        <v/>
      </c>
      <c r="R629" s="1">
        <f>IF(Data!R629&gt;0,Data!R629,"")</f>
        <v/>
      </c>
      <c r="S629" s="1">
        <f>IF(Data!S629&gt;0,Data!S629,"")</f>
        <v/>
      </c>
      <c r="V629" s="3">
        <f>IF(COUNT(D629,J629,K629,L629,M629,O629)&gt;0,AVERAGE(D629,J629,K629,L629,M629,O629),"")</f>
        <v/>
      </c>
      <c r="W629" s="3">
        <f>IF(COUNT(C629,F629,G629,N629,Q629)&gt;0,AVERAGE(C629,F629,G629,N629,Q629),"")</f>
        <v/>
      </c>
      <c r="X629" s="3">
        <f>IF(COUNT(B629,E629,H629,I629,P629,R629,S629)&gt;0,AVERAGE(B629,E629,H629,I629,P629,R629,S629),"")</f>
        <v/>
      </c>
      <c r="Y629" s="3" t="n"/>
      <c r="AJ629">
        <f>IFERROR(AVERAGEIF($A$4:$A$1004,AI629,$V$4:$V$1004),"")</f>
        <v/>
      </c>
      <c r="AK629">
        <f>IFERROR(AVERAGEIF($A$4:$A$1004,AI629,$W$4:$W$1004),"")</f>
        <v/>
      </c>
      <c r="AL629">
        <f>IFERROR(AVERAGEIF($A$4:$A$1004,AI629,$X$4:$X$1004),"")</f>
        <v/>
      </c>
    </row>
    <row r="630">
      <c r="A630" s="1">
        <f>IF(Data!A630&gt;0,Data!A630,"")</f>
        <v/>
      </c>
      <c r="B630" s="1">
        <f>IF(Data!B630&gt;0,Data!B630,"")</f>
        <v/>
      </c>
      <c r="C630" s="1">
        <f>IF(Data!C630&gt;0,Data!C630,"")</f>
        <v/>
      </c>
      <c r="D630" s="1">
        <f>IF(Data!D630&gt;0,Data!D630,"")</f>
        <v/>
      </c>
      <c r="E630" s="1">
        <f>IF(Data!E630&gt;0,Data!E630,"")</f>
        <v/>
      </c>
      <c r="F630" s="1">
        <f>IF(Data!F630&gt;0,Data!F630,"")</f>
        <v/>
      </c>
      <c r="G630" s="1">
        <f>IF(Data!G630&gt;0,Data!G630,"")</f>
        <v/>
      </c>
      <c r="H630" s="1">
        <f>IF(Data!H630&gt;0,Data!H630,"")</f>
        <v/>
      </c>
      <c r="I630" s="1">
        <f>IF(Data!I630&gt;0,Data!I630,"")</f>
        <v/>
      </c>
      <c r="J630" s="1">
        <f>IF(Data!J630&gt;0,Data!J630,"")</f>
        <v/>
      </c>
      <c r="K630" s="1">
        <f>IF(Data!K630&gt;0,Data!K630,"")</f>
        <v/>
      </c>
      <c r="L630" s="1">
        <f>IF(Data!L630&gt;0,Data!L630,"")</f>
        <v/>
      </c>
      <c r="M630" s="1">
        <f>IF(Data!M630&gt;0,Data!M630,"")</f>
        <v/>
      </c>
      <c r="N630" s="1">
        <f>IF(Data!N630&gt;0,Data!N630,"")</f>
        <v/>
      </c>
      <c r="O630" s="1">
        <f>IF(Data!O630&gt;0,Data!O630,"")</f>
        <v/>
      </c>
      <c r="P630" s="1">
        <f>IF(Data!P630&gt;0,Data!P630,"")</f>
        <v/>
      </c>
      <c r="Q630" s="1">
        <f>IF(Data!Q630&gt;0,Data!Q630,"")</f>
        <v/>
      </c>
      <c r="R630" s="1">
        <f>IF(Data!R630&gt;0,Data!R630,"")</f>
        <v/>
      </c>
      <c r="S630" s="1">
        <f>IF(Data!S630&gt;0,Data!S630,"")</f>
        <v/>
      </c>
      <c r="V630" s="3">
        <f>IF(COUNT(D630,J630,K630,L630,M630,O630)&gt;0,AVERAGE(D630,J630,K630,L630,M630,O630),"")</f>
        <v/>
      </c>
      <c r="W630" s="3">
        <f>IF(COUNT(C630,F630,G630,N630,Q630)&gt;0,AVERAGE(C630,F630,G630,N630,Q630),"")</f>
        <v/>
      </c>
      <c r="X630" s="3">
        <f>IF(COUNT(B630,E630,H630,I630,P630,R630,S630)&gt;0,AVERAGE(B630,E630,H630,I630,P630,R630,S630),"")</f>
        <v/>
      </c>
      <c r="Y630" s="3" t="n"/>
      <c r="AJ630">
        <f>IFERROR(AVERAGEIF($A$4:$A$1004,AI630,$V$4:$V$1004),"")</f>
        <v/>
      </c>
      <c r="AK630">
        <f>IFERROR(AVERAGEIF($A$4:$A$1004,AI630,$W$4:$W$1004),"")</f>
        <v/>
      </c>
      <c r="AL630">
        <f>IFERROR(AVERAGEIF($A$4:$A$1004,AI630,$X$4:$X$1004),"")</f>
        <v/>
      </c>
    </row>
    <row r="631">
      <c r="A631" s="1">
        <f>IF(Data!A631&gt;0,Data!A631,"")</f>
        <v/>
      </c>
      <c r="B631" s="1">
        <f>IF(Data!B631&gt;0,Data!B631,"")</f>
        <v/>
      </c>
      <c r="C631" s="1">
        <f>IF(Data!C631&gt;0,Data!C631,"")</f>
        <v/>
      </c>
      <c r="D631" s="1">
        <f>IF(Data!D631&gt;0,Data!D631,"")</f>
        <v/>
      </c>
      <c r="E631" s="1">
        <f>IF(Data!E631&gt;0,Data!E631,"")</f>
        <v/>
      </c>
      <c r="F631" s="1">
        <f>IF(Data!F631&gt;0,Data!F631,"")</f>
        <v/>
      </c>
      <c r="G631" s="1">
        <f>IF(Data!G631&gt;0,Data!G631,"")</f>
        <v/>
      </c>
      <c r="H631" s="1">
        <f>IF(Data!H631&gt;0,Data!H631,"")</f>
        <v/>
      </c>
      <c r="I631" s="1">
        <f>IF(Data!I631&gt;0,Data!I631,"")</f>
        <v/>
      </c>
      <c r="J631" s="1">
        <f>IF(Data!J631&gt;0,Data!J631,"")</f>
        <v/>
      </c>
      <c r="K631" s="1">
        <f>IF(Data!K631&gt;0,Data!K631,"")</f>
        <v/>
      </c>
      <c r="L631" s="1">
        <f>IF(Data!L631&gt;0,Data!L631,"")</f>
        <v/>
      </c>
      <c r="M631" s="1">
        <f>IF(Data!M631&gt;0,Data!M631,"")</f>
        <v/>
      </c>
      <c r="N631" s="1">
        <f>IF(Data!N631&gt;0,Data!N631,"")</f>
        <v/>
      </c>
      <c r="O631" s="1">
        <f>IF(Data!O631&gt;0,Data!O631,"")</f>
        <v/>
      </c>
      <c r="P631" s="1">
        <f>IF(Data!P631&gt;0,Data!P631,"")</f>
        <v/>
      </c>
      <c r="Q631" s="1">
        <f>IF(Data!Q631&gt;0,Data!Q631,"")</f>
        <v/>
      </c>
      <c r="R631" s="1">
        <f>IF(Data!R631&gt;0,Data!R631,"")</f>
        <v/>
      </c>
      <c r="S631" s="1">
        <f>IF(Data!S631&gt;0,Data!S631,"")</f>
        <v/>
      </c>
      <c r="V631" s="3">
        <f>IF(COUNT(D631,J631,K631,L631,M631,O631)&gt;0,AVERAGE(D631,J631,K631,L631,M631,O631),"")</f>
        <v/>
      </c>
      <c r="W631" s="3">
        <f>IF(COUNT(C631,F631,G631,N631,Q631)&gt;0,AVERAGE(C631,F631,G631,N631,Q631),"")</f>
        <v/>
      </c>
      <c r="X631" s="3">
        <f>IF(COUNT(B631,E631,H631,I631,P631,R631,S631)&gt;0,AVERAGE(B631,E631,H631,I631,P631,R631,S631),"")</f>
        <v/>
      </c>
      <c r="Y631" s="3" t="n"/>
      <c r="AJ631">
        <f>IFERROR(AVERAGEIF($A$4:$A$1004,AI631,$V$4:$V$1004),"")</f>
        <v/>
      </c>
      <c r="AK631">
        <f>IFERROR(AVERAGEIF($A$4:$A$1004,AI631,$W$4:$W$1004),"")</f>
        <v/>
      </c>
      <c r="AL631">
        <f>IFERROR(AVERAGEIF($A$4:$A$1004,AI631,$X$4:$X$1004),"")</f>
        <v/>
      </c>
    </row>
    <row r="632">
      <c r="A632" s="1">
        <f>IF(Data!A632&gt;0,Data!A632,"")</f>
        <v/>
      </c>
      <c r="B632" s="1">
        <f>IF(Data!B632&gt;0,Data!B632,"")</f>
        <v/>
      </c>
      <c r="C632" s="1">
        <f>IF(Data!C632&gt;0,Data!C632,"")</f>
        <v/>
      </c>
      <c r="D632" s="1">
        <f>IF(Data!D632&gt;0,Data!D632,"")</f>
        <v/>
      </c>
      <c r="E632" s="1">
        <f>IF(Data!E632&gt;0,Data!E632,"")</f>
        <v/>
      </c>
      <c r="F632" s="1">
        <f>IF(Data!F632&gt;0,Data!F632,"")</f>
        <v/>
      </c>
      <c r="G632" s="1">
        <f>IF(Data!G632&gt;0,Data!G632,"")</f>
        <v/>
      </c>
      <c r="H632" s="1">
        <f>IF(Data!H632&gt;0,Data!H632,"")</f>
        <v/>
      </c>
      <c r="I632" s="1">
        <f>IF(Data!I632&gt;0,Data!I632,"")</f>
        <v/>
      </c>
      <c r="J632" s="1">
        <f>IF(Data!J632&gt;0,Data!J632,"")</f>
        <v/>
      </c>
      <c r="K632" s="1">
        <f>IF(Data!K632&gt;0,Data!K632,"")</f>
        <v/>
      </c>
      <c r="L632" s="1">
        <f>IF(Data!L632&gt;0,Data!L632,"")</f>
        <v/>
      </c>
      <c r="M632" s="1">
        <f>IF(Data!M632&gt;0,Data!M632,"")</f>
        <v/>
      </c>
      <c r="N632" s="1">
        <f>IF(Data!N632&gt;0,Data!N632,"")</f>
        <v/>
      </c>
      <c r="O632" s="1">
        <f>IF(Data!O632&gt;0,Data!O632,"")</f>
        <v/>
      </c>
      <c r="P632" s="1">
        <f>IF(Data!P632&gt;0,Data!P632,"")</f>
        <v/>
      </c>
      <c r="Q632" s="1">
        <f>IF(Data!Q632&gt;0,Data!Q632,"")</f>
        <v/>
      </c>
      <c r="R632" s="1">
        <f>IF(Data!R632&gt;0,Data!R632,"")</f>
        <v/>
      </c>
      <c r="S632" s="1">
        <f>IF(Data!S632&gt;0,Data!S632,"")</f>
        <v/>
      </c>
      <c r="V632" s="3">
        <f>IF(COUNT(D632,J632,K632,L632,M632,O632)&gt;0,AVERAGE(D632,J632,K632,L632,M632,O632),"")</f>
        <v/>
      </c>
      <c r="W632" s="3">
        <f>IF(COUNT(C632,F632,G632,N632,Q632)&gt;0,AVERAGE(C632,F632,G632,N632,Q632),"")</f>
        <v/>
      </c>
      <c r="X632" s="3">
        <f>IF(COUNT(B632,E632,H632,I632,P632,R632,S632)&gt;0,AVERAGE(B632,E632,H632,I632,P632,R632,S632),"")</f>
        <v/>
      </c>
      <c r="Y632" s="3" t="n"/>
      <c r="AJ632">
        <f>IFERROR(AVERAGEIF($A$4:$A$1004,AI632,$V$4:$V$1004),"")</f>
        <v/>
      </c>
      <c r="AK632">
        <f>IFERROR(AVERAGEIF($A$4:$A$1004,AI632,$W$4:$W$1004),"")</f>
        <v/>
      </c>
      <c r="AL632">
        <f>IFERROR(AVERAGEIF($A$4:$A$1004,AI632,$X$4:$X$1004),"")</f>
        <v/>
      </c>
    </row>
    <row r="633">
      <c r="A633" s="1">
        <f>IF(Data!A633&gt;0,Data!A633,"")</f>
        <v/>
      </c>
      <c r="B633" s="1">
        <f>IF(Data!B633&gt;0,Data!B633,"")</f>
        <v/>
      </c>
      <c r="C633" s="1">
        <f>IF(Data!C633&gt;0,Data!C633,"")</f>
        <v/>
      </c>
      <c r="D633" s="1">
        <f>IF(Data!D633&gt;0,Data!D633,"")</f>
        <v/>
      </c>
      <c r="E633" s="1">
        <f>IF(Data!E633&gt;0,Data!E633,"")</f>
        <v/>
      </c>
      <c r="F633" s="1">
        <f>IF(Data!F633&gt;0,Data!F633,"")</f>
        <v/>
      </c>
      <c r="G633" s="1">
        <f>IF(Data!G633&gt;0,Data!G633,"")</f>
        <v/>
      </c>
      <c r="H633" s="1">
        <f>IF(Data!H633&gt;0,Data!H633,"")</f>
        <v/>
      </c>
      <c r="I633" s="1">
        <f>IF(Data!I633&gt;0,Data!I633,"")</f>
        <v/>
      </c>
      <c r="J633" s="1">
        <f>IF(Data!J633&gt;0,Data!J633,"")</f>
        <v/>
      </c>
      <c r="K633" s="1">
        <f>IF(Data!K633&gt;0,Data!K633,"")</f>
        <v/>
      </c>
      <c r="L633" s="1">
        <f>IF(Data!L633&gt;0,Data!L633,"")</f>
        <v/>
      </c>
      <c r="M633" s="1">
        <f>IF(Data!M633&gt;0,Data!M633,"")</f>
        <v/>
      </c>
      <c r="N633" s="1">
        <f>IF(Data!N633&gt;0,Data!N633,"")</f>
        <v/>
      </c>
      <c r="O633" s="1">
        <f>IF(Data!O633&gt;0,Data!O633,"")</f>
        <v/>
      </c>
      <c r="P633" s="1">
        <f>IF(Data!P633&gt;0,Data!P633,"")</f>
        <v/>
      </c>
      <c r="Q633" s="1">
        <f>IF(Data!Q633&gt;0,Data!Q633,"")</f>
        <v/>
      </c>
      <c r="R633" s="1">
        <f>IF(Data!R633&gt;0,Data!R633,"")</f>
        <v/>
      </c>
      <c r="S633" s="1">
        <f>IF(Data!S633&gt;0,Data!S633,"")</f>
        <v/>
      </c>
      <c r="V633" s="3">
        <f>IF(COUNT(D633,J633,K633,L633,M633,O633)&gt;0,AVERAGE(D633,J633,K633,L633,M633,O633),"")</f>
        <v/>
      </c>
      <c r="W633" s="3">
        <f>IF(COUNT(C633,F633,G633,N633,Q633)&gt;0,AVERAGE(C633,F633,G633,N633,Q633),"")</f>
        <v/>
      </c>
      <c r="X633" s="3">
        <f>IF(COUNT(B633,E633,H633,I633,P633,R633,S633)&gt;0,AVERAGE(B633,E633,H633,I633,P633,R633,S633),"")</f>
        <v/>
      </c>
      <c r="Y633" s="3" t="n"/>
      <c r="AJ633">
        <f>IFERROR(AVERAGEIF($A$4:$A$1004,AI633,$V$4:$V$1004),"")</f>
        <v/>
      </c>
      <c r="AK633">
        <f>IFERROR(AVERAGEIF($A$4:$A$1004,AI633,$W$4:$W$1004),"")</f>
        <v/>
      </c>
      <c r="AL633">
        <f>IFERROR(AVERAGEIF($A$4:$A$1004,AI633,$X$4:$X$1004),"")</f>
        <v/>
      </c>
    </row>
    <row r="634">
      <c r="A634" s="1">
        <f>IF(Data!A634&gt;0,Data!A634,"")</f>
        <v/>
      </c>
      <c r="B634" s="1">
        <f>IF(Data!B634&gt;0,Data!B634,"")</f>
        <v/>
      </c>
      <c r="C634" s="1">
        <f>IF(Data!C634&gt;0,Data!C634,"")</f>
        <v/>
      </c>
      <c r="D634" s="1">
        <f>IF(Data!D634&gt;0,Data!D634,"")</f>
        <v/>
      </c>
      <c r="E634" s="1">
        <f>IF(Data!E634&gt;0,Data!E634,"")</f>
        <v/>
      </c>
      <c r="F634" s="1">
        <f>IF(Data!F634&gt;0,Data!F634,"")</f>
        <v/>
      </c>
      <c r="G634" s="1">
        <f>IF(Data!G634&gt;0,Data!G634,"")</f>
        <v/>
      </c>
      <c r="H634" s="1">
        <f>IF(Data!H634&gt;0,Data!H634,"")</f>
        <v/>
      </c>
      <c r="I634" s="1">
        <f>IF(Data!I634&gt;0,Data!I634,"")</f>
        <v/>
      </c>
      <c r="J634" s="1">
        <f>IF(Data!J634&gt;0,Data!J634,"")</f>
        <v/>
      </c>
      <c r="K634" s="1">
        <f>IF(Data!K634&gt;0,Data!K634,"")</f>
        <v/>
      </c>
      <c r="L634" s="1">
        <f>IF(Data!L634&gt;0,Data!L634,"")</f>
        <v/>
      </c>
      <c r="M634" s="1">
        <f>IF(Data!M634&gt;0,Data!M634,"")</f>
        <v/>
      </c>
      <c r="N634" s="1">
        <f>IF(Data!N634&gt;0,Data!N634,"")</f>
        <v/>
      </c>
      <c r="O634" s="1">
        <f>IF(Data!O634&gt;0,Data!O634,"")</f>
        <v/>
      </c>
      <c r="P634" s="1">
        <f>IF(Data!P634&gt;0,Data!P634,"")</f>
        <v/>
      </c>
      <c r="Q634" s="1">
        <f>IF(Data!Q634&gt;0,Data!Q634,"")</f>
        <v/>
      </c>
      <c r="R634" s="1">
        <f>IF(Data!R634&gt;0,Data!R634,"")</f>
        <v/>
      </c>
      <c r="S634" s="1">
        <f>IF(Data!S634&gt;0,Data!S634,"")</f>
        <v/>
      </c>
      <c r="V634" s="3">
        <f>IF(COUNT(D634,J634,K634,L634,M634,O634)&gt;0,AVERAGE(D634,J634,K634,L634,M634,O634),"")</f>
        <v/>
      </c>
      <c r="W634" s="3">
        <f>IF(COUNT(C634,F634,G634,N634,Q634)&gt;0,AVERAGE(C634,F634,G634,N634,Q634),"")</f>
        <v/>
      </c>
      <c r="X634" s="3">
        <f>IF(COUNT(B634,E634,H634,I634,P634,R634,S634)&gt;0,AVERAGE(B634,E634,H634,I634,P634,R634,S634),"")</f>
        <v/>
      </c>
      <c r="Y634" s="3" t="n"/>
      <c r="AJ634">
        <f>IFERROR(AVERAGEIF($A$4:$A$1004,AI634,$V$4:$V$1004),"")</f>
        <v/>
      </c>
      <c r="AK634">
        <f>IFERROR(AVERAGEIF($A$4:$A$1004,AI634,$W$4:$W$1004),"")</f>
        <v/>
      </c>
      <c r="AL634">
        <f>IFERROR(AVERAGEIF($A$4:$A$1004,AI634,$X$4:$X$1004),"")</f>
        <v/>
      </c>
    </row>
    <row r="635">
      <c r="A635" s="1">
        <f>IF(Data!A635&gt;0,Data!A635,"")</f>
        <v/>
      </c>
      <c r="B635" s="1">
        <f>IF(Data!B635&gt;0,Data!B635,"")</f>
        <v/>
      </c>
      <c r="C635" s="1">
        <f>IF(Data!C635&gt;0,Data!C635,"")</f>
        <v/>
      </c>
      <c r="D635" s="1">
        <f>IF(Data!D635&gt;0,Data!D635,"")</f>
        <v/>
      </c>
      <c r="E635" s="1">
        <f>IF(Data!E635&gt;0,Data!E635,"")</f>
        <v/>
      </c>
      <c r="F635" s="1">
        <f>IF(Data!F635&gt;0,Data!F635,"")</f>
        <v/>
      </c>
      <c r="G635" s="1">
        <f>IF(Data!G635&gt;0,Data!G635,"")</f>
        <v/>
      </c>
      <c r="H635" s="1">
        <f>IF(Data!H635&gt;0,Data!H635,"")</f>
        <v/>
      </c>
      <c r="I635" s="1">
        <f>IF(Data!I635&gt;0,Data!I635,"")</f>
        <v/>
      </c>
      <c r="J635" s="1">
        <f>IF(Data!J635&gt;0,Data!J635,"")</f>
        <v/>
      </c>
      <c r="K635" s="1">
        <f>IF(Data!K635&gt;0,Data!K635,"")</f>
        <v/>
      </c>
      <c r="L635" s="1">
        <f>IF(Data!L635&gt;0,Data!L635,"")</f>
        <v/>
      </c>
      <c r="M635" s="1">
        <f>IF(Data!M635&gt;0,Data!M635,"")</f>
        <v/>
      </c>
      <c r="N635" s="1">
        <f>IF(Data!N635&gt;0,Data!N635,"")</f>
        <v/>
      </c>
      <c r="O635" s="1">
        <f>IF(Data!O635&gt;0,Data!O635,"")</f>
        <v/>
      </c>
      <c r="P635" s="1">
        <f>IF(Data!P635&gt;0,Data!P635,"")</f>
        <v/>
      </c>
      <c r="Q635" s="1">
        <f>IF(Data!Q635&gt;0,Data!Q635,"")</f>
        <v/>
      </c>
      <c r="R635" s="1">
        <f>IF(Data!R635&gt;0,Data!R635,"")</f>
        <v/>
      </c>
      <c r="S635" s="1">
        <f>IF(Data!S635&gt;0,Data!S635,"")</f>
        <v/>
      </c>
      <c r="V635" s="3">
        <f>IF(COUNT(D635,J635,K635,L635,M635,O635)&gt;0,AVERAGE(D635,J635,K635,L635,M635,O635),"")</f>
        <v/>
      </c>
      <c r="W635" s="3">
        <f>IF(COUNT(C635,F635,G635,N635,Q635)&gt;0,AVERAGE(C635,F635,G635,N635,Q635),"")</f>
        <v/>
      </c>
      <c r="X635" s="3">
        <f>IF(COUNT(B635,E635,H635,I635,P635,R635,S635)&gt;0,AVERAGE(B635,E635,H635,I635,P635,R635,S635),"")</f>
        <v/>
      </c>
      <c r="Y635" s="3" t="n"/>
      <c r="AJ635">
        <f>IFERROR(AVERAGEIF($A$4:$A$1004,AI635,$V$4:$V$1004),"")</f>
        <v/>
      </c>
      <c r="AK635">
        <f>IFERROR(AVERAGEIF($A$4:$A$1004,AI635,$W$4:$W$1004),"")</f>
        <v/>
      </c>
      <c r="AL635">
        <f>IFERROR(AVERAGEIF($A$4:$A$1004,AI635,$X$4:$X$1004),"")</f>
        <v/>
      </c>
    </row>
    <row r="636">
      <c r="A636" s="1">
        <f>IF(Data!A636&gt;0,Data!A636,"")</f>
        <v/>
      </c>
      <c r="B636" s="1">
        <f>IF(Data!B636&gt;0,Data!B636,"")</f>
        <v/>
      </c>
      <c r="C636" s="1">
        <f>IF(Data!C636&gt;0,Data!C636,"")</f>
        <v/>
      </c>
      <c r="D636" s="1">
        <f>IF(Data!D636&gt;0,Data!D636,"")</f>
        <v/>
      </c>
      <c r="E636" s="1">
        <f>IF(Data!E636&gt;0,Data!E636,"")</f>
        <v/>
      </c>
      <c r="F636" s="1">
        <f>IF(Data!F636&gt;0,Data!F636,"")</f>
        <v/>
      </c>
      <c r="G636" s="1">
        <f>IF(Data!G636&gt;0,Data!G636,"")</f>
        <v/>
      </c>
      <c r="H636" s="1">
        <f>IF(Data!H636&gt;0,Data!H636,"")</f>
        <v/>
      </c>
      <c r="I636" s="1">
        <f>IF(Data!I636&gt;0,Data!I636,"")</f>
        <v/>
      </c>
      <c r="J636" s="1">
        <f>IF(Data!J636&gt;0,Data!J636,"")</f>
        <v/>
      </c>
      <c r="K636" s="1">
        <f>IF(Data!K636&gt;0,Data!K636,"")</f>
        <v/>
      </c>
      <c r="L636" s="1">
        <f>IF(Data!L636&gt;0,Data!L636,"")</f>
        <v/>
      </c>
      <c r="M636" s="1">
        <f>IF(Data!M636&gt;0,Data!M636,"")</f>
        <v/>
      </c>
      <c r="N636" s="1">
        <f>IF(Data!N636&gt;0,Data!N636,"")</f>
        <v/>
      </c>
      <c r="O636" s="1">
        <f>IF(Data!O636&gt;0,Data!O636,"")</f>
        <v/>
      </c>
      <c r="P636" s="1">
        <f>IF(Data!P636&gt;0,Data!P636,"")</f>
        <v/>
      </c>
      <c r="Q636" s="1">
        <f>IF(Data!Q636&gt;0,Data!Q636,"")</f>
        <v/>
      </c>
      <c r="R636" s="1">
        <f>IF(Data!R636&gt;0,Data!R636,"")</f>
        <v/>
      </c>
      <c r="S636" s="1">
        <f>IF(Data!S636&gt;0,Data!S636,"")</f>
        <v/>
      </c>
      <c r="V636" s="3">
        <f>IF(COUNT(D636,J636,K636,L636,M636,O636)&gt;0,AVERAGE(D636,J636,K636,L636,M636,O636),"")</f>
        <v/>
      </c>
      <c r="W636" s="3">
        <f>IF(COUNT(C636,F636,G636,N636,Q636)&gt;0,AVERAGE(C636,F636,G636,N636,Q636),"")</f>
        <v/>
      </c>
      <c r="X636" s="3">
        <f>IF(COUNT(B636,E636,H636,I636,P636,R636,S636)&gt;0,AVERAGE(B636,E636,H636,I636,P636,R636,S636),"")</f>
        <v/>
      </c>
      <c r="Y636" s="3" t="n"/>
      <c r="AJ636">
        <f>IFERROR(AVERAGEIF($A$4:$A$1004,AI636,$V$4:$V$1004),"")</f>
        <v/>
      </c>
      <c r="AK636">
        <f>IFERROR(AVERAGEIF($A$4:$A$1004,AI636,$W$4:$W$1004),"")</f>
        <v/>
      </c>
      <c r="AL636">
        <f>IFERROR(AVERAGEIF($A$4:$A$1004,AI636,$X$4:$X$1004),"")</f>
        <v/>
      </c>
    </row>
    <row r="637">
      <c r="A637" s="1">
        <f>IF(Data!A637&gt;0,Data!A637,"")</f>
        <v/>
      </c>
      <c r="B637" s="1">
        <f>IF(Data!B637&gt;0,Data!B637,"")</f>
        <v/>
      </c>
      <c r="C637" s="1">
        <f>IF(Data!C637&gt;0,Data!C637,"")</f>
        <v/>
      </c>
      <c r="D637" s="1">
        <f>IF(Data!D637&gt;0,Data!D637,"")</f>
        <v/>
      </c>
      <c r="E637" s="1">
        <f>IF(Data!E637&gt;0,Data!E637,"")</f>
        <v/>
      </c>
      <c r="F637" s="1">
        <f>IF(Data!F637&gt;0,Data!F637,"")</f>
        <v/>
      </c>
      <c r="G637" s="1">
        <f>IF(Data!G637&gt;0,Data!G637,"")</f>
        <v/>
      </c>
      <c r="H637" s="1">
        <f>IF(Data!H637&gt;0,Data!H637,"")</f>
        <v/>
      </c>
      <c r="I637" s="1">
        <f>IF(Data!I637&gt;0,Data!I637,"")</f>
        <v/>
      </c>
      <c r="J637" s="1">
        <f>IF(Data!J637&gt;0,Data!J637,"")</f>
        <v/>
      </c>
      <c r="K637" s="1">
        <f>IF(Data!K637&gt;0,Data!K637,"")</f>
        <v/>
      </c>
      <c r="L637" s="1">
        <f>IF(Data!L637&gt;0,Data!L637,"")</f>
        <v/>
      </c>
      <c r="M637" s="1">
        <f>IF(Data!M637&gt;0,Data!M637,"")</f>
        <v/>
      </c>
      <c r="N637" s="1">
        <f>IF(Data!N637&gt;0,Data!N637,"")</f>
        <v/>
      </c>
      <c r="O637" s="1">
        <f>IF(Data!O637&gt;0,Data!O637,"")</f>
        <v/>
      </c>
      <c r="P637" s="1">
        <f>IF(Data!P637&gt;0,Data!P637,"")</f>
        <v/>
      </c>
      <c r="Q637" s="1">
        <f>IF(Data!Q637&gt;0,Data!Q637,"")</f>
        <v/>
      </c>
      <c r="R637" s="1">
        <f>IF(Data!R637&gt;0,Data!R637,"")</f>
        <v/>
      </c>
      <c r="S637" s="1">
        <f>IF(Data!S637&gt;0,Data!S637,"")</f>
        <v/>
      </c>
      <c r="V637" s="3">
        <f>IF(COUNT(D637,J637,K637,L637,M637,O637)&gt;0,AVERAGE(D637,J637,K637,L637,M637,O637),"")</f>
        <v/>
      </c>
      <c r="W637" s="3">
        <f>IF(COUNT(C637,F637,G637,N637,Q637)&gt;0,AVERAGE(C637,F637,G637,N637,Q637),"")</f>
        <v/>
      </c>
      <c r="X637" s="3">
        <f>IF(COUNT(B637,E637,H637,I637,P637,R637,S637)&gt;0,AVERAGE(B637,E637,H637,I637,P637,R637,S637),"")</f>
        <v/>
      </c>
      <c r="Y637" s="3" t="n"/>
      <c r="AJ637">
        <f>IFERROR(AVERAGEIF($A$4:$A$1004,AI637,$V$4:$V$1004),"")</f>
        <v/>
      </c>
      <c r="AK637">
        <f>IFERROR(AVERAGEIF($A$4:$A$1004,AI637,$W$4:$W$1004),"")</f>
        <v/>
      </c>
      <c r="AL637">
        <f>IFERROR(AVERAGEIF($A$4:$A$1004,AI637,$X$4:$X$1004),"")</f>
        <v/>
      </c>
    </row>
    <row r="638">
      <c r="A638" s="1">
        <f>IF(Data!A638&gt;0,Data!A638,"")</f>
        <v/>
      </c>
      <c r="B638" s="1">
        <f>IF(Data!B638&gt;0,Data!B638,"")</f>
        <v/>
      </c>
      <c r="C638" s="1">
        <f>IF(Data!C638&gt;0,Data!C638,"")</f>
        <v/>
      </c>
      <c r="D638" s="1">
        <f>IF(Data!D638&gt;0,Data!D638,"")</f>
        <v/>
      </c>
      <c r="E638" s="1">
        <f>IF(Data!E638&gt;0,Data!E638,"")</f>
        <v/>
      </c>
      <c r="F638" s="1">
        <f>IF(Data!F638&gt;0,Data!F638,"")</f>
        <v/>
      </c>
      <c r="G638" s="1">
        <f>IF(Data!G638&gt;0,Data!G638,"")</f>
        <v/>
      </c>
      <c r="H638" s="1">
        <f>IF(Data!H638&gt;0,Data!H638,"")</f>
        <v/>
      </c>
      <c r="I638" s="1">
        <f>IF(Data!I638&gt;0,Data!I638,"")</f>
        <v/>
      </c>
      <c r="J638" s="1">
        <f>IF(Data!J638&gt;0,Data!J638,"")</f>
        <v/>
      </c>
      <c r="K638" s="1">
        <f>IF(Data!K638&gt;0,Data!K638,"")</f>
        <v/>
      </c>
      <c r="L638" s="1">
        <f>IF(Data!L638&gt;0,Data!L638,"")</f>
        <v/>
      </c>
      <c r="M638" s="1">
        <f>IF(Data!M638&gt;0,Data!M638,"")</f>
        <v/>
      </c>
      <c r="N638" s="1">
        <f>IF(Data!N638&gt;0,Data!N638,"")</f>
        <v/>
      </c>
      <c r="O638" s="1">
        <f>IF(Data!O638&gt;0,Data!O638,"")</f>
        <v/>
      </c>
      <c r="P638" s="1">
        <f>IF(Data!P638&gt;0,Data!P638,"")</f>
        <v/>
      </c>
      <c r="Q638" s="1">
        <f>IF(Data!Q638&gt;0,Data!Q638,"")</f>
        <v/>
      </c>
      <c r="R638" s="1">
        <f>IF(Data!R638&gt;0,Data!R638,"")</f>
        <v/>
      </c>
      <c r="S638" s="1">
        <f>IF(Data!S638&gt;0,Data!S638,"")</f>
        <v/>
      </c>
      <c r="V638" s="3">
        <f>IF(COUNT(D638,J638,K638,L638,M638,O638)&gt;0,AVERAGE(D638,J638,K638,L638,M638,O638),"")</f>
        <v/>
      </c>
      <c r="W638" s="3">
        <f>IF(COUNT(C638,F638,G638,N638,Q638)&gt;0,AVERAGE(C638,F638,G638,N638,Q638),"")</f>
        <v/>
      </c>
      <c r="X638" s="3">
        <f>IF(COUNT(B638,E638,H638,I638,P638,R638,S638)&gt;0,AVERAGE(B638,E638,H638,I638,P638,R638,S638),"")</f>
        <v/>
      </c>
      <c r="Y638" s="3" t="n"/>
      <c r="AJ638">
        <f>IFERROR(AVERAGEIF($A$4:$A$1004,AI638,$V$4:$V$1004),"")</f>
        <v/>
      </c>
      <c r="AK638">
        <f>IFERROR(AVERAGEIF($A$4:$A$1004,AI638,$W$4:$W$1004),"")</f>
        <v/>
      </c>
      <c r="AL638">
        <f>IFERROR(AVERAGEIF($A$4:$A$1004,AI638,$X$4:$X$1004),"")</f>
        <v/>
      </c>
    </row>
    <row r="639">
      <c r="A639" s="1">
        <f>IF(Data!A639&gt;0,Data!A639,"")</f>
        <v/>
      </c>
      <c r="B639" s="1">
        <f>IF(Data!B639&gt;0,Data!B639,"")</f>
        <v/>
      </c>
      <c r="C639" s="1">
        <f>IF(Data!C639&gt;0,Data!C639,"")</f>
        <v/>
      </c>
      <c r="D639" s="1">
        <f>IF(Data!D639&gt;0,Data!D639,"")</f>
        <v/>
      </c>
      <c r="E639" s="1">
        <f>IF(Data!E639&gt;0,Data!E639,"")</f>
        <v/>
      </c>
      <c r="F639" s="1">
        <f>IF(Data!F639&gt;0,Data!F639,"")</f>
        <v/>
      </c>
      <c r="G639" s="1">
        <f>IF(Data!G639&gt;0,Data!G639,"")</f>
        <v/>
      </c>
      <c r="H639" s="1">
        <f>IF(Data!H639&gt;0,Data!H639,"")</f>
        <v/>
      </c>
      <c r="I639" s="1">
        <f>IF(Data!I639&gt;0,Data!I639,"")</f>
        <v/>
      </c>
      <c r="J639" s="1">
        <f>IF(Data!J639&gt;0,Data!J639,"")</f>
        <v/>
      </c>
      <c r="K639" s="1">
        <f>IF(Data!K639&gt;0,Data!K639,"")</f>
        <v/>
      </c>
      <c r="L639" s="1">
        <f>IF(Data!L639&gt;0,Data!L639,"")</f>
        <v/>
      </c>
      <c r="M639" s="1">
        <f>IF(Data!M639&gt;0,Data!M639,"")</f>
        <v/>
      </c>
      <c r="N639" s="1">
        <f>IF(Data!N639&gt;0,Data!N639,"")</f>
        <v/>
      </c>
      <c r="O639" s="1">
        <f>IF(Data!O639&gt;0,Data!O639,"")</f>
        <v/>
      </c>
      <c r="P639" s="1">
        <f>IF(Data!P639&gt;0,Data!P639,"")</f>
        <v/>
      </c>
      <c r="Q639" s="1">
        <f>IF(Data!Q639&gt;0,Data!Q639,"")</f>
        <v/>
      </c>
      <c r="R639" s="1">
        <f>IF(Data!R639&gt;0,Data!R639,"")</f>
        <v/>
      </c>
      <c r="S639" s="1">
        <f>IF(Data!S639&gt;0,Data!S639,"")</f>
        <v/>
      </c>
      <c r="V639" s="3">
        <f>IF(COUNT(D639,J639,K639,L639,M639,O639)&gt;0,AVERAGE(D639,J639,K639,L639,M639,O639),"")</f>
        <v/>
      </c>
      <c r="W639" s="3">
        <f>IF(COUNT(C639,F639,G639,N639,Q639)&gt;0,AVERAGE(C639,F639,G639,N639,Q639),"")</f>
        <v/>
      </c>
      <c r="X639" s="3">
        <f>IF(COUNT(B639,E639,H639,I639,P639,R639,S639)&gt;0,AVERAGE(B639,E639,H639,I639,P639,R639,S639),"")</f>
        <v/>
      </c>
      <c r="Y639" s="3" t="n"/>
      <c r="AJ639">
        <f>IFERROR(AVERAGEIF($A$4:$A$1004,AI639,$V$4:$V$1004),"")</f>
        <v/>
      </c>
      <c r="AK639">
        <f>IFERROR(AVERAGEIF($A$4:$A$1004,AI639,$W$4:$W$1004),"")</f>
        <v/>
      </c>
      <c r="AL639">
        <f>IFERROR(AVERAGEIF($A$4:$A$1004,AI639,$X$4:$X$1004),"")</f>
        <v/>
      </c>
    </row>
    <row r="640">
      <c r="A640" s="1">
        <f>IF(Data!A640&gt;0,Data!A640,"")</f>
        <v/>
      </c>
      <c r="B640" s="1">
        <f>IF(Data!B640&gt;0,Data!B640,"")</f>
        <v/>
      </c>
      <c r="C640" s="1">
        <f>IF(Data!C640&gt;0,Data!C640,"")</f>
        <v/>
      </c>
      <c r="D640" s="1">
        <f>IF(Data!D640&gt;0,Data!D640,"")</f>
        <v/>
      </c>
      <c r="E640" s="1">
        <f>IF(Data!E640&gt;0,Data!E640,"")</f>
        <v/>
      </c>
      <c r="F640" s="1">
        <f>IF(Data!F640&gt;0,Data!F640,"")</f>
        <v/>
      </c>
      <c r="G640" s="1">
        <f>IF(Data!G640&gt;0,Data!G640,"")</f>
        <v/>
      </c>
      <c r="H640" s="1">
        <f>IF(Data!H640&gt;0,Data!H640,"")</f>
        <v/>
      </c>
      <c r="I640" s="1">
        <f>IF(Data!I640&gt;0,Data!I640,"")</f>
        <v/>
      </c>
      <c r="J640" s="1">
        <f>IF(Data!J640&gt;0,Data!J640,"")</f>
        <v/>
      </c>
      <c r="K640" s="1">
        <f>IF(Data!K640&gt;0,Data!K640,"")</f>
        <v/>
      </c>
      <c r="L640" s="1">
        <f>IF(Data!L640&gt;0,Data!L640,"")</f>
        <v/>
      </c>
      <c r="M640" s="1">
        <f>IF(Data!M640&gt;0,Data!M640,"")</f>
        <v/>
      </c>
      <c r="N640" s="1">
        <f>IF(Data!N640&gt;0,Data!N640,"")</f>
        <v/>
      </c>
      <c r="O640" s="1">
        <f>IF(Data!O640&gt;0,Data!O640,"")</f>
        <v/>
      </c>
      <c r="P640" s="1">
        <f>IF(Data!P640&gt;0,Data!P640,"")</f>
        <v/>
      </c>
      <c r="Q640" s="1">
        <f>IF(Data!Q640&gt;0,Data!Q640,"")</f>
        <v/>
      </c>
      <c r="R640" s="1">
        <f>IF(Data!R640&gt;0,Data!R640,"")</f>
        <v/>
      </c>
      <c r="S640" s="1">
        <f>IF(Data!S640&gt;0,Data!S640,"")</f>
        <v/>
      </c>
      <c r="V640" s="3">
        <f>IF(COUNT(D640,J640,K640,L640,M640,O640)&gt;0,AVERAGE(D640,J640,K640,L640,M640,O640),"")</f>
        <v/>
      </c>
      <c r="W640" s="3">
        <f>IF(COUNT(C640,F640,G640,N640,Q640)&gt;0,AVERAGE(C640,F640,G640,N640,Q640),"")</f>
        <v/>
      </c>
      <c r="X640" s="3">
        <f>IF(COUNT(B640,E640,H640,I640,P640,R640,S640)&gt;0,AVERAGE(B640,E640,H640,I640,P640,R640,S640),"")</f>
        <v/>
      </c>
      <c r="Y640" s="3" t="n"/>
      <c r="AJ640">
        <f>IFERROR(AVERAGEIF($A$4:$A$1004,AI640,$V$4:$V$1004),"")</f>
        <v/>
      </c>
      <c r="AK640">
        <f>IFERROR(AVERAGEIF($A$4:$A$1004,AI640,$W$4:$W$1004),"")</f>
        <v/>
      </c>
      <c r="AL640">
        <f>IFERROR(AVERAGEIF($A$4:$A$1004,AI640,$X$4:$X$1004),"")</f>
        <v/>
      </c>
    </row>
    <row r="641">
      <c r="A641" s="1">
        <f>IF(Data!A641&gt;0,Data!A641,"")</f>
        <v/>
      </c>
      <c r="B641" s="1">
        <f>IF(Data!B641&gt;0,Data!B641,"")</f>
        <v/>
      </c>
      <c r="C641" s="1">
        <f>IF(Data!C641&gt;0,Data!C641,"")</f>
        <v/>
      </c>
      <c r="D641" s="1">
        <f>IF(Data!D641&gt;0,Data!D641,"")</f>
        <v/>
      </c>
      <c r="E641" s="1">
        <f>IF(Data!E641&gt;0,Data!E641,"")</f>
        <v/>
      </c>
      <c r="F641" s="1">
        <f>IF(Data!F641&gt;0,Data!F641,"")</f>
        <v/>
      </c>
      <c r="G641" s="1">
        <f>IF(Data!G641&gt;0,Data!G641,"")</f>
        <v/>
      </c>
      <c r="H641" s="1">
        <f>IF(Data!H641&gt;0,Data!H641,"")</f>
        <v/>
      </c>
      <c r="I641" s="1">
        <f>IF(Data!I641&gt;0,Data!I641,"")</f>
        <v/>
      </c>
      <c r="J641" s="1">
        <f>IF(Data!J641&gt;0,Data!J641,"")</f>
        <v/>
      </c>
      <c r="K641" s="1">
        <f>IF(Data!K641&gt;0,Data!K641,"")</f>
        <v/>
      </c>
      <c r="L641" s="1">
        <f>IF(Data!L641&gt;0,Data!L641,"")</f>
        <v/>
      </c>
      <c r="M641" s="1">
        <f>IF(Data!M641&gt;0,Data!M641,"")</f>
        <v/>
      </c>
      <c r="N641" s="1">
        <f>IF(Data!N641&gt;0,Data!N641,"")</f>
        <v/>
      </c>
      <c r="O641" s="1">
        <f>IF(Data!O641&gt;0,Data!O641,"")</f>
        <v/>
      </c>
      <c r="P641" s="1">
        <f>IF(Data!P641&gt;0,Data!P641,"")</f>
        <v/>
      </c>
      <c r="Q641" s="1">
        <f>IF(Data!Q641&gt;0,Data!Q641,"")</f>
        <v/>
      </c>
      <c r="R641" s="1">
        <f>IF(Data!R641&gt;0,Data!R641,"")</f>
        <v/>
      </c>
      <c r="S641" s="1">
        <f>IF(Data!S641&gt;0,Data!S641,"")</f>
        <v/>
      </c>
      <c r="V641" s="3">
        <f>IF(COUNT(D641,J641,K641,L641,M641,O641)&gt;0,AVERAGE(D641,J641,K641,L641,M641,O641),"")</f>
        <v/>
      </c>
      <c r="W641" s="3">
        <f>IF(COUNT(C641,F641,G641,N641,Q641)&gt;0,AVERAGE(C641,F641,G641,N641,Q641),"")</f>
        <v/>
      </c>
      <c r="X641" s="3">
        <f>IF(COUNT(B641,E641,H641,I641,P641,R641,S641)&gt;0,AVERAGE(B641,E641,H641,I641,P641,R641,S641),"")</f>
        <v/>
      </c>
      <c r="Y641" s="3" t="n"/>
      <c r="AJ641">
        <f>IFERROR(AVERAGEIF($A$4:$A$1004,AI641,$V$4:$V$1004),"")</f>
        <v/>
      </c>
      <c r="AK641">
        <f>IFERROR(AVERAGEIF($A$4:$A$1004,AI641,$W$4:$W$1004),"")</f>
        <v/>
      </c>
      <c r="AL641">
        <f>IFERROR(AVERAGEIF($A$4:$A$1004,AI641,$X$4:$X$1004),"")</f>
        <v/>
      </c>
    </row>
    <row r="642">
      <c r="A642" s="1">
        <f>IF(Data!A642&gt;0,Data!A642,"")</f>
        <v/>
      </c>
      <c r="B642" s="1">
        <f>IF(Data!B642&gt;0,Data!B642,"")</f>
        <v/>
      </c>
      <c r="C642" s="1">
        <f>IF(Data!C642&gt;0,Data!C642,"")</f>
        <v/>
      </c>
      <c r="D642" s="1">
        <f>IF(Data!D642&gt;0,Data!D642,"")</f>
        <v/>
      </c>
      <c r="E642" s="1">
        <f>IF(Data!E642&gt;0,Data!E642,"")</f>
        <v/>
      </c>
      <c r="F642" s="1">
        <f>IF(Data!F642&gt;0,Data!F642,"")</f>
        <v/>
      </c>
      <c r="G642" s="1">
        <f>IF(Data!G642&gt;0,Data!G642,"")</f>
        <v/>
      </c>
      <c r="H642" s="1">
        <f>IF(Data!H642&gt;0,Data!H642,"")</f>
        <v/>
      </c>
      <c r="I642" s="1">
        <f>IF(Data!I642&gt;0,Data!I642,"")</f>
        <v/>
      </c>
      <c r="J642" s="1">
        <f>IF(Data!J642&gt;0,Data!J642,"")</f>
        <v/>
      </c>
      <c r="K642" s="1">
        <f>IF(Data!K642&gt;0,Data!K642,"")</f>
        <v/>
      </c>
      <c r="L642" s="1">
        <f>IF(Data!L642&gt;0,Data!L642,"")</f>
        <v/>
      </c>
      <c r="M642" s="1">
        <f>IF(Data!M642&gt;0,Data!M642,"")</f>
        <v/>
      </c>
      <c r="N642" s="1">
        <f>IF(Data!N642&gt;0,Data!N642,"")</f>
        <v/>
      </c>
      <c r="O642" s="1">
        <f>IF(Data!O642&gt;0,Data!O642,"")</f>
        <v/>
      </c>
      <c r="P642" s="1">
        <f>IF(Data!P642&gt;0,Data!P642,"")</f>
        <v/>
      </c>
      <c r="Q642" s="1">
        <f>IF(Data!Q642&gt;0,Data!Q642,"")</f>
        <v/>
      </c>
      <c r="R642" s="1">
        <f>IF(Data!R642&gt;0,Data!R642,"")</f>
        <v/>
      </c>
      <c r="S642" s="1">
        <f>IF(Data!S642&gt;0,Data!S642,"")</f>
        <v/>
      </c>
      <c r="V642" s="3">
        <f>IF(COUNT(D642,J642,K642,L642,M642,O642)&gt;0,AVERAGE(D642,J642,K642,L642,M642,O642),"")</f>
        <v/>
      </c>
      <c r="W642" s="3">
        <f>IF(COUNT(C642,F642,G642,N642,Q642)&gt;0,AVERAGE(C642,F642,G642,N642,Q642),"")</f>
        <v/>
      </c>
      <c r="X642" s="3">
        <f>IF(COUNT(B642,E642,H642,I642,P642,R642,S642)&gt;0,AVERAGE(B642,E642,H642,I642,P642,R642,S642),"")</f>
        <v/>
      </c>
      <c r="Y642" s="3" t="n"/>
      <c r="AJ642">
        <f>IFERROR(AVERAGEIF($A$4:$A$1004,AI642,$V$4:$V$1004),"")</f>
        <v/>
      </c>
      <c r="AK642">
        <f>IFERROR(AVERAGEIF($A$4:$A$1004,AI642,$W$4:$W$1004),"")</f>
        <v/>
      </c>
      <c r="AL642">
        <f>IFERROR(AVERAGEIF($A$4:$A$1004,AI642,$X$4:$X$1004),"")</f>
        <v/>
      </c>
    </row>
    <row r="643">
      <c r="A643" s="1">
        <f>IF(Data!A643&gt;0,Data!A643,"")</f>
        <v/>
      </c>
      <c r="B643" s="1">
        <f>IF(Data!B643&gt;0,Data!B643,"")</f>
        <v/>
      </c>
      <c r="C643" s="1">
        <f>IF(Data!C643&gt;0,Data!C643,"")</f>
        <v/>
      </c>
      <c r="D643" s="1">
        <f>IF(Data!D643&gt;0,Data!D643,"")</f>
        <v/>
      </c>
      <c r="E643" s="1">
        <f>IF(Data!E643&gt;0,Data!E643,"")</f>
        <v/>
      </c>
      <c r="F643" s="1">
        <f>IF(Data!F643&gt;0,Data!F643,"")</f>
        <v/>
      </c>
      <c r="G643" s="1">
        <f>IF(Data!G643&gt;0,Data!G643,"")</f>
        <v/>
      </c>
      <c r="H643" s="1">
        <f>IF(Data!H643&gt;0,Data!H643,"")</f>
        <v/>
      </c>
      <c r="I643" s="1">
        <f>IF(Data!I643&gt;0,Data!I643,"")</f>
        <v/>
      </c>
      <c r="J643" s="1">
        <f>IF(Data!J643&gt;0,Data!J643,"")</f>
        <v/>
      </c>
      <c r="K643" s="1">
        <f>IF(Data!K643&gt;0,Data!K643,"")</f>
        <v/>
      </c>
      <c r="L643" s="1">
        <f>IF(Data!L643&gt;0,Data!L643,"")</f>
        <v/>
      </c>
      <c r="M643" s="1">
        <f>IF(Data!M643&gt;0,Data!M643,"")</f>
        <v/>
      </c>
      <c r="N643" s="1">
        <f>IF(Data!N643&gt;0,Data!N643,"")</f>
        <v/>
      </c>
      <c r="O643" s="1">
        <f>IF(Data!O643&gt;0,Data!O643,"")</f>
        <v/>
      </c>
      <c r="P643" s="1">
        <f>IF(Data!P643&gt;0,Data!P643,"")</f>
        <v/>
      </c>
      <c r="Q643" s="1">
        <f>IF(Data!Q643&gt;0,Data!Q643,"")</f>
        <v/>
      </c>
      <c r="R643" s="1">
        <f>IF(Data!R643&gt;0,Data!R643,"")</f>
        <v/>
      </c>
      <c r="S643" s="1">
        <f>IF(Data!S643&gt;0,Data!S643,"")</f>
        <v/>
      </c>
      <c r="V643" s="3">
        <f>IF(COUNT(D643,J643,K643,L643,M643,O643)&gt;0,AVERAGE(D643,J643,K643,L643,M643,O643),"")</f>
        <v/>
      </c>
      <c r="W643" s="3">
        <f>IF(COUNT(C643,F643,G643,N643,Q643)&gt;0,AVERAGE(C643,F643,G643,N643,Q643),"")</f>
        <v/>
      </c>
      <c r="X643" s="3">
        <f>IF(COUNT(B643,E643,H643,I643,P643,R643,S643)&gt;0,AVERAGE(B643,E643,H643,I643,P643,R643,S643),"")</f>
        <v/>
      </c>
      <c r="Y643" s="3" t="n"/>
      <c r="AJ643">
        <f>IFERROR(AVERAGEIF($A$4:$A$1004,AI643,$V$4:$V$1004),"")</f>
        <v/>
      </c>
      <c r="AK643">
        <f>IFERROR(AVERAGEIF($A$4:$A$1004,AI643,$W$4:$W$1004),"")</f>
        <v/>
      </c>
      <c r="AL643">
        <f>IFERROR(AVERAGEIF($A$4:$A$1004,AI643,$X$4:$X$1004),"")</f>
        <v/>
      </c>
    </row>
    <row r="644">
      <c r="A644" s="1">
        <f>IF(Data!A644&gt;0,Data!A644,"")</f>
        <v/>
      </c>
      <c r="B644" s="1">
        <f>IF(Data!B644&gt;0,Data!B644,"")</f>
        <v/>
      </c>
      <c r="C644" s="1">
        <f>IF(Data!C644&gt;0,Data!C644,"")</f>
        <v/>
      </c>
      <c r="D644" s="1">
        <f>IF(Data!D644&gt;0,Data!D644,"")</f>
        <v/>
      </c>
      <c r="E644" s="1">
        <f>IF(Data!E644&gt;0,Data!E644,"")</f>
        <v/>
      </c>
      <c r="F644" s="1">
        <f>IF(Data!F644&gt;0,Data!F644,"")</f>
        <v/>
      </c>
      <c r="G644" s="1">
        <f>IF(Data!G644&gt;0,Data!G644,"")</f>
        <v/>
      </c>
      <c r="H644" s="1">
        <f>IF(Data!H644&gt;0,Data!H644,"")</f>
        <v/>
      </c>
      <c r="I644" s="1">
        <f>IF(Data!I644&gt;0,Data!I644,"")</f>
        <v/>
      </c>
      <c r="J644" s="1">
        <f>IF(Data!J644&gt;0,Data!J644,"")</f>
        <v/>
      </c>
      <c r="K644" s="1">
        <f>IF(Data!K644&gt;0,Data!K644,"")</f>
        <v/>
      </c>
      <c r="L644" s="1">
        <f>IF(Data!L644&gt;0,Data!L644,"")</f>
        <v/>
      </c>
      <c r="M644" s="1">
        <f>IF(Data!M644&gt;0,Data!M644,"")</f>
        <v/>
      </c>
      <c r="N644" s="1">
        <f>IF(Data!N644&gt;0,Data!N644,"")</f>
        <v/>
      </c>
      <c r="O644" s="1">
        <f>IF(Data!O644&gt;0,Data!O644,"")</f>
        <v/>
      </c>
      <c r="P644" s="1">
        <f>IF(Data!P644&gt;0,Data!P644,"")</f>
        <v/>
      </c>
      <c r="Q644" s="1">
        <f>IF(Data!Q644&gt;0,Data!Q644,"")</f>
        <v/>
      </c>
      <c r="R644" s="1">
        <f>IF(Data!R644&gt;0,Data!R644,"")</f>
        <v/>
      </c>
      <c r="S644" s="1">
        <f>IF(Data!S644&gt;0,Data!S644,"")</f>
        <v/>
      </c>
      <c r="V644" s="3">
        <f>IF(COUNT(D644,J644,K644,L644,M644,O644)&gt;0,AVERAGE(D644,J644,K644,L644,M644,O644),"")</f>
        <v/>
      </c>
      <c r="W644" s="3">
        <f>IF(COUNT(C644,F644,G644,N644,Q644)&gt;0,AVERAGE(C644,F644,G644,N644,Q644),"")</f>
        <v/>
      </c>
      <c r="X644" s="3">
        <f>IF(COUNT(B644,E644,H644,I644,P644,R644,S644)&gt;0,AVERAGE(B644,E644,H644,I644,P644,R644,S644),"")</f>
        <v/>
      </c>
      <c r="Y644" s="3" t="n"/>
      <c r="AJ644">
        <f>IFERROR(AVERAGEIF($A$4:$A$1004,AI644,$V$4:$V$1004),"")</f>
        <v/>
      </c>
      <c r="AK644">
        <f>IFERROR(AVERAGEIF($A$4:$A$1004,AI644,$W$4:$W$1004),"")</f>
        <v/>
      </c>
      <c r="AL644">
        <f>IFERROR(AVERAGEIF($A$4:$A$1004,AI644,$X$4:$X$1004),"")</f>
        <v/>
      </c>
    </row>
    <row r="645">
      <c r="A645" s="1">
        <f>IF(Data!A645&gt;0,Data!A645,"")</f>
        <v/>
      </c>
      <c r="B645" s="1">
        <f>IF(Data!B645&gt;0,Data!B645,"")</f>
        <v/>
      </c>
      <c r="C645" s="1">
        <f>IF(Data!C645&gt;0,Data!C645,"")</f>
        <v/>
      </c>
      <c r="D645" s="1">
        <f>IF(Data!D645&gt;0,Data!D645,"")</f>
        <v/>
      </c>
      <c r="E645" s="1">
        <f>IF(Data!E645&gt;0,Data!E645,"")</f>
        <v/>
      </c>
      <c r="F645" s="1">
        <f>IF(Data!F645&gt;0,Data!F645,"")</f>
        <v/>
      </c>
      <c r="G645" s="1">
        <f>IF(Data!G645&gt;0,Data!G645,"")</f>
        <v/>
      </c>
      <c r="H645" s="1">
        <f>IF(Data!H645&gt;0,Data!H645,"")</f>
        <v/>
      </c>
      <c r="I645" s="1">
        <f>IF(Data!I645&gt;0,Data!I645,"")</f>
        <v/>
      </c>
      <c r="J645" s="1">
        <f>IF(Data!J645&gt;0,Data!J645,"")</f>
        <v/>
      </c>
      <c r="K645" s="1">
        <f>IF(Data!K645&gt;0,Data!K645,"")</f>
        <v/>
      </c>
      <c r="L645" s="1">
        <f>IF(Data!L645&gt;0,Data!L645,"")</f>
        <v/>
      </c>
      <c r="M645" s="1">
        <f>IF(Data!M645&gt;0,Data!M645,"")</f>
        <v/>
      </c>
      <c r="N645" s="1">
        <f>IF(Data!N645&gt;0,Data!N645,"")</f>
        <v/>
      </c>
      <c r="O645" s="1">
        <f>IF(Data!O645&gt;0,Data!O645,"")</f>
        <v/>
      </c>
      <c r="P645" s="1">
        <f>IF(Data!P645&gt;0,Data!P645,"")</f>
        <v/>
      </c>
      <c r="Q645" s="1">
        <f>IF(Data!Q645&gt;0,Data!Q645,"")</f>
        <v/>
      </c>
      <c r="R645" s="1">
        <f>IF(Data!R645&gt;0,Data!R645,"")</f>
        <v/>
      </c>
      <c r="S645" s="1">
        <f>IF(Data!S645&gt;0,Data!S645,"")</f>
        <v/>
      </c>
      <c r="V645" s="3">
        <f>IF(COUNT(D645,J645,K645,L645,M645,O645)&gt;0,AVERAGE(D645,J645,K645,L645,M645,O645),"")</f>
        <v/>
      </c>
      <c r="W645" s="3">
        <f>IF(COUNT(C645,F645,G645,N645,Q645)&gt;0,AVERAGE(C645,F645,G645,N645,Q645),"")</f>
        <v/>
      </c>
      <c r="X645" s="3">
        <f>IF(COUNT(B645,E645,H645,I645,P645,R645,S645)&gt;0,AVERAGE(B645,E645,H645,I645,P645,R645,S645),"")</f>
        <v/>
      </c>
      <c r="Y645" s="3" t="n"/>
      <c r="AJ645">
        <f>IFERROR(AVERAGEIF($A$4:$A$1004,AI645,$V$4:$V$1004),"")</f>
        <v/>
      </c>
      <c r="AK645">
        <f>IFERROR(AVERAGEIF($A$4:$A$1004,AI645,$W$4:$W$1004),"")</f>
        <v/>
      </c>
      <c r="AL645">
        <f>IFERROR(AVERAGEIF($A$4:$A$1004,AI645,$X$4:$X$1004),"")</f>
        <v/>
      </c>
    </row>
    <row r="646">
      <c r="A646" s="1">
        <f>IF(Data!A646&gt;0,Data!A646,"")</f>
        <v/>
      </c>
      <c r="B646" s="1">
        <f>IF(Data!B646&gt;0,Data!B646,"")</f>
        <v/>
      </c>
      <c r="C646" s="1">
        <f>IF(Data!C646&gt;0,Data!C646,"")</f>
        <v/>
      </c>
      <c r="D646" s="1">
        <f>IF(Data!D646&gt;0,Data!D646,"")</f>
        <v/>
      </c>
      <c r="E646" s="1">
        <f>IF(Data!E646&gt;0,Data!E646,"")</f>
        <v/>
      </c>
      <c r="F646" s="1">
        <f>IF(Data!F646&gt;0,Data!F646,"")</f>
        <v/>
      </c>
      <c r="G646" s="1">
        <f>IF(Data!G646&gt;0,Data!G646,"")</f>
        <v/>
      </c>
      <c r="H646" s="1">
        <f>IF(Data!H646&gt;0,Data!H646,"")</f>
        <v/>
      </c>
      <c r="I646" s="1">
        <f>IF(Data!I646&gt;0,Data!I646,"")</f>
        <v/>
      </c>
      <c r="J646" s="1">
        <f>IF(Data!J646&gt;0,Data!J646,"")</f>
        <v/>
      </c>
      <c r="K646" s="1">
        <f>IF(Data!K646&gt;0,Data!K646,"")</f>
        <v/>
      </c>
      <c r="L646" s="1">
        <f>IF(Data!L646&gt;0,Data!L646,"")</f>
        <v/>
      </c>
      <c r="M646" s="1">
        <f>IF(Data!M646&gt;0,Data!M646,"")</f>
        <v/>
      </c>
      <c r="N646" s="1">
        <f>IF(Data!N646&gt;0,Data!N646,"")</f>
        <v/>
      </c>
      <c r="O646" s="1">
        <f>IF(Data!O646&gt;0,Data!O646,"")</f>
        <v/>
      </c>
      <c r="P646" s="1">
        <f>IF(Data!P646&gt;0,Data!P646,"")</f>
        <v/>
      </c>
      <c r="Q646" s="1">
        <f>IF(Data!Q646&gt;0,Data!Q646,"")</f>
        <v/>
      </c>
      <c r="R646" s="1">
        <f>IF(Data!R646&gt;0,Data!R646,"")</f>
        <v/>
      </c>
      <c r="S646" s="1">
        <f>IF(Data!S646&gt;0,Data!S646,"")</f>
        <v/>
      </c>
      <c r="V646" s="3">
        <f>IF(COUNT(D646,J646,K646,L646,M646,O646)&gt;0,AVERAGE(D646,J646,K646,L646,M646,O646),"")</f>
        <v/>
      </c>
      <c r="W646" s="3">
        <f>IF(COUNT(C646,F646,G646,N646,Q646)&gt;0,AVERAGE(C646,F646,G646,N646,Q646),"")</f>
        <v/>
      </c>
      <c r="X646" s="3">
        <f>IF(COUNT(B646,E646,H646,I646,P646,R646,S646)&gt;0,AVERAGE(B646,E646,H646,I646,P646,R646,S646),"")</f>
        <v/>
      </c>
      <c r="Y646" s="3" t="n"/>
      <c r="AJ646">
        <f>IFERROR(AVERAGEIF($A$4:$A$1004,AI646,$V$4:$V$1004),"")</f>
        <v/>
      </c>
      <c r="AK646">
        <f>IFERROR(AVERAGEIF($A$4:$A$1004,AI646,$W$4:$W$1004),"")</f>
        <v/>
      </c>
      <c r="AL646">
        <f>IFERROR(AVERAGEIF($A$4:$A$1004,AI646,$X$4:$X$1004),"")</f>
        <v/>
      </c>
    </row>
    <row r="647">
      <c r="A647" s="1">
        <f>IF(Data!A647&gt;0,Data!A647,"")</f>
        <v/>
      </c>
      <c r="B647" s="1">
        <f>IF(Data!B647&gt;0,Data!B647,"")</f>
        <v/>
      </c>
      <c r="C647" s="1">
        <f>IF(Data!C647&gt;0,Data!C647,"")</f>
        <v/>
      </c>
      <c r="D647" s="1">
        <f>IF(Data!D647&gt;0,Data!D647,"")</f>
        <v/>
      </c>
      <c r="E647" s="1">
        <f>IF(Data!E647&gt;0,Data!E647,"")</f>
        <v/>
      </c>
      <c r="F647" s="1">
        <f>IF(Data!F647&gt;0,Data!F647,"")</f>
        <v/>
      </c>
      <c r="G647" s="1">
        <f>IF(Data!G647&gt;0,Data!G647,"")</f>
        <v/>
      </c>
      <c r="H647" s="1">
        <f>IF(Data!H647&gt;0,Data!H647,"")</f>
        <v/>
      </c>
      <c r="I647" s="1">
        <f>IF(Data!I647&gt;0,Data!I647,"")</f>
        <v/>
      </c>
      <c r="J647" s="1">
        <f>IF(Data!J647&gt;0,Data!J647,"")</f>
        <v/>
      </c>
      <c r="K647" s="1">
        <f>IF(Data!K647&gt;0,Data!K647,"")</f>
        <v/>
      </c>
      <c r="L647" s="1">
        <f>IF(Data!L647&gt;0,Data!L647,"")</f>
        <v/>
      </c>
      <c r="M647" s="1">
        <f>IF(Data!M647&gt;0,Data!M647,"")</f>
        <v/>
      </c>
      <c r="N647" s="1">
        <f>IF(Data!N647&gt;0,Data!N647,"")</f>
        <v/>
      </c>
      <c r="O647" s="1">
        <f>IF(Data!O647&gt;0,Data!O647,"")</f>
        <v/>
      </c>
      <c r="P647" s="1">
        <f>IF(Data!P647&gt;0,Data!P647,"")</f>
        <v/>
      </c>
      <c r="Q647" s="1">
        <f>IF(Data!Q647&gt;0,Data!Q647,"")</f>
        <v/>
      </c>
      <c r="R647" s="1">
        <f>IF(Data!R647&gt;0,Data!R647,"")</f>
        <v/>
      </c>
      <c r="S647" s="1">
        <f>IF(Data!S647&gt;0,Data!S647,"")</f>
        <v/>
      </c>
      <c r="V647" s="3">
        <f>IF(COUNT(D647,J647,K647,L647,M647,O647)&gt;0,AVERAGE(D647,J647,K647,L647,M647,O647),"")</f>
        <v/>
      </c>
      <c r="W647" s="3">
        <f>IF(COUNT(C647,F647,G647,N647,Q647)&gt;0,AVERAGE(C647,F647,G647,N647,Q647),"")</f>
        <v/>
      </c>
      <c r="X647" s="3">
        <f>IF(COUNT(B647,E647,H647,I647,P647,R647,S647)&gt;0,AVERAGE(B647,E647,H647,I647,P647,R647,S647),"")</f>
        <v/>
      </c>
      <c r="Y647" s="3" t="n"/>
      <c r="AJ647">
        <f>IFERROR(AVERAGEIF($A$4:$A$1004,AI647,$V$4:$V$1004),"")</f>
        <v/>
      </c>
      <c r="AK647">
        <f>IFERROR(AVERAGEIF($A$4:$A$1004,AI647,$W$4:$W$1004),"")</f>
        <v/>
      </c>
      <c r="AL647">
        <f>IFERROR(AVERAGEIF($A$4:$A$1004,AI647,$X$4:$X$1004),"")</f>
        <v/>
      </c>
    </row>
    <row r="648">
      <c r="A648" s="1">
        <f>IF(Data!A648&gt;0,Data!A648,"")</f>
        <v/>
      </c>
      <c r="B648" s="1">
        <f>IF(Data!B648&gt;0,Data!B648,"")</f>
        <v/>
      </c>
      <c r="C648" s="1">
        <f>IF(Data!C648&gt;0,Data!C648,"")</f>
        <v/>
      </c>
      <c r="D648" s="1">
        <f>IF(Data!D648&gt;0,Data!D648,"")</f>
        <v/>
      </c>
      <c r="E648" s="1">
        <f>IF(Data!E648&gt;0,Data!E648,"")</f>
        <v/>
      </c>
      <c r="F648" s="1">
        <f>IF(Data!F648&gt;0,Data!F648,"")</f>
        <v/>
      </c>
      <c r="G648" s="1">
        <f>IF(Data!G648&gt;0,Data!G648,"")</f>
        <v/>
      </c>
      <c r="H648" s="1">
        <f>IF(Data!H648&gt;0,Data!H648,"")</f>
        <v/>
      </c>
      <c r="I648" s="1">
        <f>IF(Data!I648&gt;0,Data!I648,"")</f>
        <v/>
      </c>
      <c r="J648" s="1">
        <f>IF(Data!J648&gt;0,Data!J648,"")</f>
        <v/>
      </c>
      <c r="K648" s="1">
        <f>IF(Data!K648&gt;0,Data!K648,"")</f>
        <v/>
      </c>
      <c r="L648" s="1">
        <f>IF(Data!L648&gt;0,Data!L648,"")</f>
        <v/>
      </c>
      <c r="M648" s="1">
        <f>IF(Data!M648&gt;0,Data!M648,"")</f>
        <v/>
      </c>
      <c r="N648" s="1">
        <f>IF(Data!N648&gt;0,Data!N648,"")</f>
        <v/>
      </c>
      <c r="O648" s="1">
        <f>IF(Data!O648&gt;0,Data!O648,"")</f>
        <v/>
      </c>
      <c r="P648" s="1">
        <f>IF(Data!P648&gt;0,Data!P648,"")</f>
        <v/>
      </c>
      <c r="Q648" s="1">
        <f>IF(Data!Q648&gt;0,Data!Q648,"")</f>
        <v/>
      </c>
      <c r="R648" s="1">
        <f>IF(Data!R648&gt;0,Data!R648,"")</f>
        <v/>
      </c>
      <c r="S648" s="1">
        <f>IF(Data!S648&gt;0,Data!S648,"")</f>
        <v/>
      </c>
      <c r="V648" s="3">
        <f>IF(COUNT(D648,J648,K648,L648,M648,O648)&gt;0,AVERAGE(D648,J648,K648,L648,M648,O648),"")</f>
        <v/>
      </c>
      <c r="W648" s="3">
        <f>IF(COUNT(C648,F648,G648,N648,Q648)&gt;0,AVERAGE(C648,F648,G648,N648,Q648),"")</f>
        <v/>
      </c>
      <c r="X648" s="3">
        <f>IF(COUNT(B648,E648,H648,I648,P648,R648,S648)&gt;0,AVERAGE(B648,E648,H648,I648,P648,R648,S648),"")</f>
        <v/>
      </c>
      <c r="Y648" s="3" t="n"/>
      <c r="AJ648">
        <f>IFERROR(AVERAGEIF($A$4:$A$1004,AI648,$V$4:$V$1004),"")</f>
        <v/>
      </c>
      <c r="AK648">
        <f>IFERROR(AVERAGEIF($A$4:$A$1004,AI648,$W$4:$W$1004),"")</f>
        <v/>
      </c>
      <c r="AL648">
        <f>IFERROR(AVERAGEIF($A$4:$A$1004,AI648,$X$4:$X$1004),"")</f>
        <v/>
      </c>
    </row>
    <row r="649">
      <c r="A649" s="1">
        <f>IF(Data!A649&gt;0,Data!A649,"")</f>
        <v/>
      </c>
      <c r="B649" s="1">
        <f>IF(Data!B649&gt;0,Data!B649,"")</f>
        <v/>
      </c>
      <c r="C649" s="1">
        <f>IF(Data!C649&gt;0,Data!C649,"")</f>
        <v/>
      </c>
      <c r="D649" s="1">
        <f>IF(Data!D649&gt;0,Data!D649,"")</f>
        <v/>
      </c>
      <c r="E649" s="1">
        <f>IF(Data!E649&gt;0,Data!E649,"")</f>
        <v/>
      </c>
      <c r="F649" s="1">
        <f>IF(Data!F649&gt;0,Data!F649,"")</f>
        <v/>
      </c>
      <c r="G649" s="1">
        <f>IF(Data!G649&gt;0,Data!G649,"")</f>
        <v/>
      </c>
      <c r="H649" s="1">
        <f>IF(Data!H649&gt;0,Data!H649,"")</f>
        <v/>
      </c>
      <c r="I649" s="1">
        <f>IF(Data!I649&gt;0,Data!I649,"")</f>
        <v/>
      </c>
      <c r="J649" s="1">
        <f>IF(Data!J649&gt;0,Data!J649,"")</f>
        <v/>
      </c>
      <c r="K649" s="1">
        <f>IF(Data!K649&gt;0,Data!K649,"")</f>
        <v/>
      </c>
      <c r="L649" s="1">
        <f>IF(Data!L649&gt;0,Data!L649,"")</f>
        <v/>
      </c>
      <c r="M649" s="1">
        <f>IF(Data!M649&gt;0,Data!M649,"")</f>
        <v/>
      </c>
      <c r="N649" s="1">
        <f>IF(Data!N649&gt;0,Data!N649,"")</f>
        <v/>
      </c>
      <c r="O649" s="1">
        <f>IF(Data!O649&gt;0,Data!O649,"")</f>
        <v/>
      </c>
      <c r="P649" s="1">
        <f>IF(Data!P649&gt;0,Data!P649,"")</f>
        <v/>
      </c>
      <c r="Q649" s="1">
        <f>IF(Data!Q649&gt;0,Data!Q649,"")</f>
        <v/>
      </c>
      <c r="R649" s="1">
        <f>IF(Data!R649&gt;0,Data!R649,"")</f>
        <v/>
      </c>
      <c r="S649" s="1">
        <f>IF(Data!S649&gt;0,Data!S649,"")</f>
        <v/>
      </c>
      <c r="V649" s="3">
        <f>IF(COUNT(D649,J649,K649,L649,M649,O649)&gt;0,AVERAGE(D649,J649,K649,L649,M649,O649),"")</f>
        <v/>
      </c>
      <c r="W649" s="3">
        <f>IF(COUNT(C649,F649,G649,N649,Q649)&gt;0,AVERAGE(C649,F649,G649,N649,Q649),"")</f>
        <v/>
      </c>
      <c r="X649" s="3">
        <f>IF(COUNT(B649,E649,H649,I649,P649,R649,S649)&gt;0,AVERAGE(B649,E649,H649,I649,P649,R649,S649),"")</f>
        <v/>
      </c>
      <c r="Y649" s="3" t="n"/>
      <c r="AJ649">
        <f>IFERROR(AVERAGEIF($A$4:$A$1004,AI649,$V$4:$V$1004),"")</f>
        <v/>
      </c>
      <c r="AK649">
        <f>IFERROR(AVERAGEIF($A$4:$A$1004,AI649,$W$4:$W$1004),"")</f>
        <v/>
      </c>
      <c r="AL649">
        <f>IFERROR(AVERAGEIF($A$4:$A$1004,AI649,$X$4:$X$1004),"")</f>
        <v/>
      </c>
    </row>
    <row r="650">
      <c r="A650" s="1">
        <f>IF(Data!A650&gt;0,Data!A650,"")</f>
        <v/>
      </c>
      <c r="B650" s="1">
        <f>IF(Data!B650&gt;0,Data!B650,"")</f>
        <v/>
      </c>
      <c r="C650" s="1">
        <f>IF(Data!C650&gt;0,Data!C650,"")</f>
        <v/>
      </c>
      <c r="D650" s="1">
        <f>IF(Data!D650&gt;0,Data!D650,"")</f>
        <v/>
      </c>
      <c r="E650" s="1">
        <f>IF(Data!E650&gt;0,Data!E650,"")</f>
        <v/>
      </c>
      <c r="F650" s="1">
        <f>IF(Data!F650&gt;0,Data!F650,"")</f>
        <v/>
      </c>
      <c r="G650" s="1">
        <f>IF(Data!G650&gt;0,Data!G650,"")</f>
        <v/>
      </c>
      <c r="H650" s="1">
        <f>IF(Data!H650&gt;0,Data!H650,"")</f>
        <v/>
      </c>
      <c r="I650" s="1">
        <f>IF(Data!I650&gt;0,Data!I650,"")</f>
        <v/>
      </c>
      <c r="J650" s="1">
        <f>IF(Data!J650&gt;0,Data!J650,"")</f>
        <v/>
      </c>
      <c r="K650" s="1">
        <f>IF(Data!K650&gt;0,Data!K650,"")</f>
        <v/>
      </c>
      <c r="L650" s="1">
        <f>IF(Data!L650&gt;0,Data!L650,"")</f>
        <v/>
      </c>
      <c r="M650" s="1">
        <f>IF(Data!M650&gt;0,Data!M650,"")</f>
        <v/>
      </c>
      <c r="N650" s="1">
        <f>IF(Data!N650&gt;0,Data!N650,"")</f>
        <v/>
      </c>
      <c r="O650" s="1">
        <f>IF(Data!O650&gt;0,Data!O650,"")</f>
        <v/>
      </c>
      <c r="P650" s="1">
        <f>IF(Data!P650&gt;0,Data!P650,"")</f>
        <v/>
      </c>
      <c r="Q650" s="1">
        <f>IF(Data!Q650&gt;0,Data!Q650,"")</f>
        <v/>
      </c>
      <c r="R650" s="1">
        <f>IF(Data!R650&gt;0,Data!R650,"")</f>
        <v/>
      </c>
      <c r="S650" s="1">
        <f>IF(Data!S650&gt;0,Data!S650,"")</f>
        <v/>
      </c>
      <c r="V650" s="3">
        <f>IF(COUNT(D650,J650,K650,L650,M650,O650)&gt;0,AVERAGE(D650,J650,K650,L650,M650,O650),"")</f>
        <v/>
      </c>
      <c r="W650" s="3">
        <f>IF(COUNT(C650,F650,G650,N650,Q650)&gt;0,AVERAGE(C650,F650,G650,N650,Q650),"")</f>
        <v/>
      </c>
      <c r="X650" s="3">
        <f>IF(COUNT(B650,E650,H650,I650,P650,R650,S650)&gt;0,AVERAGE(B650,E650,H650,I650,P650,R650,S650),"")</f>
        <v/>
      </c>
      <c r="Y650" s="3" t="n"/>
      <c r="AJ650">
        <f>IFERROR(AVERAGEIF($A$4:$A$1004,AI650,$V$4:$V$1004),"")</f>
        <v/>
      </c>
      <c r="AK650">
        <f>IFERROR(AVERAGEIF($A$4:$A$1004,AI650,$W$4:$W$1004),"")</f>
        <v/>
      </c>
      <c r="AL650">
        <f>IFERROR(AVERAGEIF($A$4:$A$1004,AI650,$X$4:$X$1004),"")</f>
        <v/>
      </c>
    </row>
    <row r="651">
      <c r="A651" s="1">
        <f>IF(Data!A651&gt;0,Data!A651,"")</f>
        <v/>
      </c>
      <c r="B651" s="1">
        <f>IF(Data!B651&gt;0,Data!B651,"")</f>
        <v/>
      </c>
      <c r="C651" s="1">
        <f>IF(Data!C651&gt;0,Data!C651,"")</f>
        <v/>
      </c>
      <c r="D651" s="1">
        <f>IF(Data!D651&gt;0,Data!D651,"")</f>
        <v/>
      </c>
      <c r="E651" s="1">
        <f>IF(Data!E651&gt;0,Data!E651,"")</f>
        <v/>
      </c>
      <c r="F651" s="1">
        <f>IF(Data!F651&gt;0,Data!F651,"")</f>
        <v/>
      </c>
      <c r="G651" s="1">
        <f>IF(Data!G651&gt;0,Data!G651,"")</f>
        <v/>
      </c>
      <c r="H651" s="1">
        <f>IF(Data!H651&gt;0,Data!H651,"")</f>
        <v/>
      </c>
      <c r="I651" s="1">
        <f>IF(Data!I651&gt;0,Data!I651,"")</f>
        <v/>
      </c>
      <c r="J651" s="1">
        <f>IF(Data!J651&gt;0,Data!J651,"")</f>
        <v/>
      </c>
      <c r="K651" s="1">
        <f>IF(Data!K651&gt;0,Data!K651,"")</f>
        <v/>
      </c>
      <c r="L651" s="1">
        <f>IF(Data!L651&gt;0,Data!L651,"")</f>
        <v/>
      </c>
      <c r="M651" s="1">
        <f>IF(Data!M651&gt;0,Data!M651,"")</f>
        <v/>
      </c>
      <c r="N651" s="1">
        <f>IF(Data!N651&gt;0,Data!N651,"")</f>
        <v/>
      </c>
      <c r="O651" s="1">
        <f>IF(Data!O651&gt;0,Data!O651,"")</f>
        <v/>
      </c>
      <c r="P651" s="1">
        <f>IF(Data!P651&gt;0,Data!P651,"")</f>
        <v/>
      </c>
      <c r="Q651" s="1">
        <f>IF(Data!Q651&gt;0,Data!Q651,"")</f>
        <v/>
      </c>
      <c r="R651" s="1">
        <f>IF(Data!R651&gt;0,Data!R651,"")</f>
        <v/>
      </c>
      <c r="S651" s="1">
        <f>IF(Data!S651&gt;0,Data!S651,"")</f>
        <v/>
      </c>
      <c r="V651" s="3">
        <f>IF(COUNT(D651,J651,K651,L651,M651,O651)&gt;0,AVERAGE(D651,J651,K651,L651,M651,O651),"")</f>
        <v/>
      </c>
      <c r="W651" s="3">
        <f>IF(COUNT(C651,F651,G651,N651,Q651)&gt;0,AVERAGE(C651,F651,G651,N651,Q651),"")</f>
        <v/>
      </c>
      <c r="X651" s="3">
        <f>IF(COUNT(B651,E651,H651,I651,P651,R651,S651)&gt;0,AVERAGE(B651,E651,H651,I651,P651,R651,S651),"")</f>
        <v/>
      </c>
      <c r="Y651" s="3" t="n"/>
      <c r="AJ651">
        <f>IFERROR(AVERAGEIF($A$4:$A$1004,AI651,$V$4:$V$1004),"")</f>
        <v/>
      </c>
      <c r="AK651">
        <f>IFERROR(AVERAGEIF($A$4:$A$1004,AI651,$W$4:$W$1004),"")</f>
        <v/>
      </c>
      <c r="AL651">
        <f>IFERROR(AVERAGEIF($A$4:$A$1004,AI651,$X$4:$X$1004),"")</f>
        <v/>
      </c>
    </row>
    <row r="652">
      <c r="A652" s="1">
        <f>IF(Data!A652&gt;0,Data!A652,"")</f>
        <v/>
      </c>
      <c r="B652" s="1">
        <f>IF(Data!B652&gt;0,Data!B652,"")</f>
        <v/>
      </c>
      <c r="C652" s="1">
        <f>IF(Data!C652&gt;0,Data!C652,"")</f>
        <v/>
      </c>
      <c r="D652" s="1">
        <f>IF(Data!D652&gt;0,Data!D652,"")</f>
        <v/>
      </c>
      <c r="E652" s="1">
        <f>IF(Data!E652&gt;0,Data!E652,"")</f>
        <v/>
      </c>
      <c r="F652" s="1">
        <f>IF(Data!F652&gt;0,Data!F652,"")</f>
        <v/>
      </c>
      <c r="G652" s="1">
        <f>IF(Data!G652&gt;0,Data!G652,"")</f>
        <v/>
      </c>
      <c r="H652" s="1">
        <f>IF(Data!H652&gt;0,Data!H652,"")</f>
        <v/>
      </c>
      <c r="I652" s="1">
        <f>IF(Data!I652&gt;0,Data!I652,"")</f>
        <v/>
      </c>
      <c r="J652" s="1">
        <f>IF(Data!J652&gt;0,Data!J652,"")</f>
        <v/>
      </c>
      <c r="K652" s="1">
        <f>IF(Data!K652&gt;0,Data!K652,"")</f>
        <v/>
      </c>
      <c r="L652" s="1">
        <f>IF(Data!L652&gt;0,Data!L652,"")</f>
        <v/>
      </c>
      <c r="M652" s="1">
        <f>IF(Data!M652&gt;0,Data!M652,"")</f>
        <v/>
      </c>
      <c r="N652" s="1">
        <f>IF(Data!N652&gt;0,Data!N652,"")</f>
        <v/>
      </c>
      <c r="O652" s="1">
        <f>IF(Data!O652&gt;0,Data!O652,"")</f>
        <v/>
      </c>
      <c r="P652" s="1">
        <f>IF(Data!P652&gt;0,Data!P652,"")</f>
        <v/>
      </c>
      <c r="Q652" s="1">
        <f>IF(Data!Q652&gt;0,Data!Q652,"")</f>
        <v/>
      </c>
      <c r="R652" s="1">
        <f>IF(Data!R652&gt;0,Data!R652,"")</f>
        <v/>
      </c>
      <c r="S652" s="1">
        <f>IF(Data!S652&gt;0,Data!S652,"")</f>
        <v/>
      </c>
      <c r="V652" s="3">
        <f>IF(COUNT(D652,J652,K652,L652,M652,O652)&gt;0,AVERAGE(D652,J652,K652,L652,M652,O652),"")</f>
        <v/>
      </c>
      <c r="W652" s="3">
        <f>IF(COUNT(C652,F652,G652,N652,Q652)&gt;0,AVERAGE(C652,F652,G652,N652,Q652),"")</f>
        <v/>
      </c>
      <c r="X652" s="3">
        <f>IF(COUNT(B652,E652,H652,I652,P652,R652,S652)&gt;0,AVERAGE(B652,E652,H652,I652,P652,R652,S652),"")</f>
        <v/>
      </c>
      <c r="Y652" s="3" t="n"/>
      <c r="AJ652">
        <f>IFERROR(AVERAGEIF($A$4:$A$1004,AI652,$V$4:$V$1004),"")</f>
        <v/>
      </c>
      <c r="AK652">
        <f>IFERROR(AVERAGEIF($A$4:$A$1004,AI652,$W$4:$W$1004),"")</f>
        <v/>
      </c>
      <c r="AL652">
        <f>IFERROR(AVERAGEIF($A$4:$A$1004,AI652,$X$4:$X$1004),"")</f>
        <v/>
      </c>
    </row>
    <row r="653">
      <c r="A653" s="1">
        <f>IF(Data!A653&gt;0,Data!A653,"")</f>
        <v/>
      </c>
      <c r="B653" s="1">
        <f>IF(Data!B653&gt;0,Data!B653,"")</f>
        <v/>
      </c>
      <c r="C653" s="1">
        <f>IF(Data!C653&gt;0,Data!C653,"")</f>
        <v/>
      </c>
      <c r="D653" s="1">
        <f>IF(Data!D653&gt;0,Data!D653,"")</f>
        <v/>
      </c>
      <c r="E653" s="1">
        <f>IF(Data!E653&gt;0,Data!E653,"")</f>
        <v/>
      </c>
      <c r="F653" s="1">
        <f>IF(Data!F653&gt;0,Data!F653,"")</f>
        <v/>
      </c>
      <c r="G653" s="1">
        <f>IF(Data!G653&gt;0,Data!G653,"")</f>
        <v/>
      </c>
      <c r="H653" s="1">
        <f>IF(Data!H653&gt;0,Data!H653,"")</f>
        <v/>
      </c>
      <c r="I653" s="1">
        <f>IF(Data!I653&gt;0,Data!I653,"")</f>
        <v/>
      </c>
      <c r="J653" s="1">
        <f>IF(Data!J653&gt;0,Data!J653,"")</f>
        <v/>
      </c>
      <c r="K653" s="1">
        <f>IF(Data!K653&gt;0,Data!K653,"")</f>
        <v/>
      </c>
      <c r="L653" s="1">
        <f>IF(Data!L653&gt;0,Data!L653,"")</f>
        <v/>
      </c>
      <c r="M653" s="1">
        <f>IF(Data!M653&gt;0,Data!M653,"")</f>
        <v/>
      </c>
      <c r="N653" s="1">
        <f>IF(Data!N653&gt;0,Data!N653,"")</f>
        <v/>
      </c>
      <c r="O653" s="1">
        <f>IF(Data!O653&gt;0,Data!O653,"")</f>
        <v/>
      </c>
      <c r="P653" s="1">
        <f>IF(Data!P653&gt;0,Data!P653,"")</f>
        <v/>
      </c>
      <c r="Q653" s="1">
        <f>IF(Data!Q653&gt;0,Data!Q653,"")</f>
        <v/>
      </c>
      <c r="R653" s="1">
        <f>IF(Data!R653&gt;0,Data!R653,"")</f>
        <v/>
      </c>
      <c r="S653" s="1">
        <f>IF(Data!S653&gt;0,Data!S653,"")</f>
        <v/>
      </c>
      <c r="V653" s="3">
        <f>IF(COUNT(D653,J653,K653,L653,M653,O653)&gt;0,AVERAGE(D653,J653,K653,L653,M653,O653),"")</f>
        <v/>
      </c>
      <c r="W653" s="3">
        <f>IF(COUNT(C653,F653,G653,N653,Q653)&gt;0,AVERAGE(C653,F653,G653,N653,Q653),"")</f>
        <v/>
      </c>
      <c r="X653" s="3">
        <f>IF(COUNT(B653,E653,H653,I653,P653,R653,S653)&gt;0,AVERAGE(B653,E653,H653,I653,P653,R653,S653),"")</f>
        <v/>
      </c>
      <c r="Y653" s="3" t="n"/>
      <c r="AJ653">
        <f>IFERROR(AVERAGEIF($A$4:$A$1004,AI653,$V$4:$V$1004),"")</f>
        <v/>
      </c>
      <c r="AK653">
        <f>IFERROR(AVERAGEIF($A$4:$A$1004,AI653,$W$4:$W$1004),"")</f>
        <v/>
      </c>
      <c r="AL653">
        <f>IFERROR(AVERAGEIF($A$4:$A$1004,AI653,$X$4:$X$1004),"")</f>
        <v/>
      </c>
    </row>
    <row r="654">
      <c r="A654" s="1">
        <f>IF(Data!A654&gt;0,Data!A654,"")</f>
        <v/>
      </c>
      <c r="B654" s="1">
        <f>IF(Data!B654&gt;0,Data!B654,"")</f>
        <v/>
      </c>
      <c r="C654" s="1">
        <f>IF(Data!C654&gt;0,Data!C654,"")</f>
        <v/>
      </c>
      <c r="D654" s="1">
        <f>IF(Data!D654&gt;0,Data!D654,"")</f>
        <v/>
      </c>
      <c r="E654" s="1">
        <f>IF(Data!E654&gt;0,Data!E654,"")</f>
        <v/>
      </c>
      <c r="F654" s="1">
        <f>IF(Data!F654&gt;0,Data!F654,"")</f>
        <v/>
      </c>
      <c r="G654" s="1">
        <f>IF(Data!G654&gt;0,Data!G654,"")</f>
        <v/>
      </c>
      <c r="H654" s="1">
        <f>IF(Data!H654&gt;0,Data!H654,"")</f>
        <v/>
      </c>
      <c r="I654" s="1">
        <f>IF(Data!I654&gt;0,Data!I654,"")</f>
        <v/>
      </c>
      <c r="J654" s="1">
        <f>IF(Data!J654&gt;0,Data!J654,"")</f>
        <v/>
      </c>
      <c r="K654" s="1">
        <f>IF(Data!K654&gt;0,Data!K654,"")</f>
        <v/>
      </c>
      <c r="L654" s="1">
        <f>IF(Data!L654&gt;0,Data!L654,"")</f>
        <v/>
      </c>
      <c r="M654" s="1">
        <f>IF(Data!M654&gt;0,Data!M654,"")</f>
        <v/>
      </c>
      <c r="N654" s="1">
        <f>IF(Data!N654&gt;0,Data!N654,"")</f>
        <v/>
      </c>
      <c r="O654" s="1">
        <f>IF(Data!O654&gt;0,Data!O654,"")</f>
        <v/>
      </c>
      <c r="P654" s="1">
        <f>IF(Data!P654&gt;0,Data!P654,"")</f>
        <v/>
      </c>
      <c r="Q654" s="1">
        <f>IF(Data!Q654&gt;0,Data!Q654,"")</f>
        <v/>
      </c>
      <c r="R654" s="1">
        <f>IF(Data!R654&gt;0,Data!R654,"")</f>
        <v/>
      </c>
      <c r="S654" s="1">
        <f>IF(Data!S654&gt;0,Data!S654,"")</f>
        <v/>
      </c>
      <c r="V654" s="3">
        <f>IF(COUNT(D654,J654,K654,L654,M654,O654)&gt;0,AVERAGE(D654,J654,K654,L654,M654,O654),"")</f>
        <v/>
      </c>
      <c r="W654" s="3">
        <f>IF(COUNT(C654,F654,G654,N654,Q654)&gt;0,AVERAGE(C654,F654,G654,N654,Q654),"")</f>
        <v/>
      </c>
      <c r="X654" s="3">
        <f>IF(COUNT(B654,E654,H654,I654,P654,R654,S654)&gt;0,AVERAGE(B654,E654,H654,I654,P654,R654,S654),"")</f>
        <v/>
      </c>
      <c r="Y654" s="3" t="n"/>
      <c r="AJ654">
        <f>IFERROR(AVERAGEIF($A$4:$A$1004,AI654,$V$4:$V$1004),"")</f>
        <v/>
      </c>
      <c r="AK654">
        <f>IFERROR(AVERAGEIF($A$4:$A$1004,AI654,$W$4:$W$1004),"")</f>
        <v/>
      </c>
      <c r="AL654">
        <f>IFERROR(AVERAGEIF($A$4:$A$1004,AI654,$X$4:$X$1004),"")</f>
        <v/>
      </c>
    </row>
    <row r="655">
      <c r="A655" s="1">
        <f>IF(Data!A655&gt;0,Data!A655,"")</f>
        <v/>
      </c>
      <c r="B655" s="1">
        <f>IF(Data!B655&gt;0,Data!B655,"")</f>
        <v/>
      </c>
      <c r="C655" s="1">
        <f>IF(Data!C655&gt;0,Data!C655,"")</f>
        <v/>
      </c>
      <c r="D655" s="1">
        <f>IF(Data!D655&gt;0,Data!D655,"")</f>
        <v/>
      </c>
      <c r="E655" s="1">
        <f>IF(Data!E655&gt;0,Data!E655,"")</f>
        <v/>
      </c>
      <c r="F655" s="1">
        <f>IF(Data!F655&gt;0,Data!F655,"")</f>
        <v/>
      </c>
      <c r="G655" s="1">
        <f>IF(Data!G655&gt;0,Data!G655,"")</f>
        <v/>
      </c>
      <c r="H655" s="1">
        <f>IF(Data!H655&gt;0,Data!H655,"")</f>
        <v/>
      </c>
      <c r="I655" s="1">
        <f>IF(Data!I655&gt;0,Data!I655,"")</f>
        <v/>
      </c>
      <c r="J655" s="1">
        <f>IF(Data!J655&gt;0,Data!J655,"")</f>
        <v/>
      </c>
      <c r="K655" s="1">
        <f>IF(Data!K655&gt;0,Data!K655,"")</f>
        <v/>
      </c>
      <c r="L655" s="1">
        <f>IF(Data!L655&gt;0,Data!L655,"")</f>
        <v/>
      </c>
      <c r="M655" s="1">
        <f>IF(Data!M655&gt;0,Data!M655,"")</f>
        <v/>
      </c>
      <c r="N655" s="1">
        <f>IF(Data!N655&gt;0,Data!N655,"")</f>
        <v/>
      </c>
      <c r="O655" s="1">
        <f>IF(Data!O655&gt;0,Data!O655,"")</f>
        <v/>
      </c>
      <c r="P655" s="1">
        <f>IF(Data!P655&gt;0,Data!P655,"")</f>
        <v/>
      </c>
      <c r="Q655" s="1">
        <f>IF(Data!Q655&gt;0,Data!Q655,"")</f>
        <v/>
      </c>
      <c r="R655" s="1">
        <f>IF(Data!R655&gt;0,Data!R655,"")</f>
        <v/>
      </c>
      <c r="S655" s="1">
        <f>IF(Data!S655&gt;0,Data!S655,"")</f>
        <v/>
      </c>
      <c r="V655" s="3">
        <f>IF(COUNT(D655,J655,K655,L655,M655,O655)&gt;0,AVERAGE(D655,J655,K655,L655,M655,O655),"")</f>
        <v/>
      </c>
      <c r="W655" s="3">
        <f>IF(COUNT(C655,F655,G655,N655,Q655)&gt;0,AVERAGE(C655,F655,G655,N655,Q655),"")</f>
        <v/>
      </c>
      <c r="X655" s="3">
        <f>IF(COUNT(B655,E655,H655,I655,P655,R655,S655)&gt;0,AVERAGE(B655,E655,H655,I655,P655,R655,S655),"")</f>
        <v/>
      </c>
      <c r="Y655" s="3" t="n"/>
      <c r="AJ655">
        <f>IFERROR(AVERAGEIF($A$4:$A$1004,AI655,$V$4:$V$1004),"")</f>
        <v/>
      </c>
      <c r="AK655">
        <f>IFERROR(AVERAGEIF($A$4:$A$1004,AI655,$W$4:$W$1004),"")</f>
        <v/>
      </c>
      <c r="AL655">
        <f>IFERROR(AVERAGEIF($A$4:$A$1004,AI655,$X$4:$X$1004),"")</f>
        <v/>
      </c>
    </row>
    <row r="656">
      <c r="A656" s="1">
        <f>IF(Data!A656&gt;0,Data!A656,"")</f>
        <v/>
      </c>
      <c r="B656" s="1">
        <f>IF(Data!B656&gt;0,Data!B656,"")</f>
        <v/>
      </c>
      <c r="C656" s="1">
        <f>IF(Data!C656&gt;0,Data!C656,"")</f>
        <v/>
      </c>
      <c r="D656" s="1">
        <f>IF(Data!D656&gt;0,Data!D656,"")</f>
        <v/>
      </c>
      <c r="E656" s="1">
        <f>IF(Data!E656&gt;0,Data!E656,"")</f>
        <v/>
      </c>
      <c r="F656" s="1">
        <f>IF(Data!F656&gt;0,Data!F656,"")</f>
        <v/>
      </c>
      <c r="G656" s="1">
        <f>IF(Data!G656&gt;0,Data!G656,"")</f>
        <v/>
      </c>
      <c r="H656" s="1">
        <f>IF(Data!H656&gt;0,Data!H656,"")</f>
        <v/>
      </c>
      <c r="I656" s="1">
        <f>IF(Data!I656&gt;0,Data!I656,"")</f>
        <v/>
      </c>
      <c r="J656" s="1">
        <f>IF(Data!J656&gt;0,Data!J656,"")</f>
        <v/>
      </c>
      <c r="K656" s="1">
        <f>IF(Data!K656&gt;0,Data!K656,"")</f>
        <v/>
      </c>
      <c r="L656" s="1">
        <f>IF(Data!L656&gt;0,Data!L656,"")</f>
        <v/>
      </c>
      <c r="M656" s="1">
        <f>IF(Data!M656&gt;0,Data!M656,"")</f>
        <v/>
      </c>
      <c r="N656" s="1">
        <f>IF(Data!N656&gt;0,Data!N656,"")</f>
        <v/>
      </c>
      <c r="O656" s="1">
        <f>IF(Data!O656&gt;0,Data!O656,"")</f>
        <v/>
      </c>
      <c r="P656" s="1">
        <f>IF(Data!P656&gt;0,Data!P656,"")</f>
        <v/>
      </c>
      <c r="Q656" s="1">
        <f>IF(Data!Q656&gt;0,Data!Q656,"")</f>
        <v/>
      </c>
      <c r="R656" s="1">
        <f>IF(Data!R656&gt;0,Data!R656,"")</f>
        <v/>
      </c>
      <c r="S656" s="1">
        <f>IF(Data!S656&gt;0,Data!S656,"")</f>
        <v/>
      </c>
      <c r="V656" s="3">
        <f>IF(COUNT(D656,J656,K656,L656,M656,O656)&gt;0,AVERAGE(D656,J656,K656,L656,M656,O656),"")</f>
        <v/>
      </c>
      <c r="W656" s="3">
        <f>IF(COUNT(C656,F656,G656,N656,Q656)&gt;0,AVERAGE(C656,F656,G656,N656,Q656),"")</f>
        <v/>
      </c>
      <c r="X656" s="3">
        <f>IF(COUNT(B656,E656,H656,I656,P656,R656,S656)&gt;0,AVERAGE(B656,E656,H656,I656,P656,R656,S656),"")</f>
        <v/>
      </c>
      <c r="Y656" s="3" t="n"/>
      <c r="AJ656">
        <f>IFERROR(AVERAGEIF($A$4:$A$1004,AI656,$V$4:$V$1004),"")</f>
        <v/>
      </c>
      <c r="AK656">
        <f>IFERROR(AVERAGEIF($A$4:$A$1004,AI656,$W$4:$W$1004),"")</f>
        <v/>
      </c>
      <c r="AL656">
        <f>IFERROR(AVERAGEIF($A$4:$A$1004,AI656,$X$4:$X$1004),"")</f>
        <v/>
      </c>
    </row>
    <row r="657">
      <c r="A657" s="1">
        <f>IF(Data!A657&gt;0,Data!A657,"")</f>
        <v/>
      </c>
      <c r="B657" s="1">
        <f>IF(Data!B657&gt;0,Data!B657,"")</f>
        <v/>
      </c>
      <c r="C657" s="1">
        <f>IF(Data!C657&gt;0,Data!C657,"")</f>
        <v/>
      </c>
      <c r="D657" s="1">
        <f>IF(Data!D657&gt;0,Data!D657,"")</f>
        <v/>
      </c>
      <c r="E657" s="1">
        <f>IF(Data!E657&gt;0,Data!E657,"")</f>
        <v/>
      </c>
      <c r="F657" s="1">
        <f>IF(Data!F657&gt;0,Data!F657,"")</f>
        <v/>
      </c>
      <c r="G657" s="1">
        <f>IF(Data!G657&gt;0,Data!G657,"")</f>
        <v/>
      </c>
      <c r="H657" s="1">
        <f>IF(Data!H657&gt;0,Data!H657,"")</f>
        <v/>
      </c>
      <c r="I657" s="1">
        <f>IF(Data!I657&gt;0,Data!I657,"")</f>
        <v/>
      </c>
      <c r="J657" s="1">
        <f>IF(Data!J657&gt;0,Data!J657,"")</f>
        <v/>
      </c>
      <c r="K657" s="1">
        <f>IF(Data!K657&gt;0,Data!K657,"")</f>
        <v/>
      </c>
      <c r="L657" s="1">
        <f>IF(Data!L657&gt;0,Data!L657,"")</f>
        <v/>
      </c>
      <c r="M657" s="1">
        <f>IF(Data!M657&gt;0,Data!M657,"")</f>
        <v/>
      </c>
      <c r="N657" s="1">
        <f>IF(Data!N657&gt;0,Data!N657,"")</f>
        <v/>
      </c>
      <c r="O657" s="1">
        <f>IF(Data!O657&gt;0,Data!O657,"")</f>
        <v/>
      </c>
      <c r="P657" s="1">
        <f>IF(Data!P657&gt;0,Data!P657,"")</f>
        <v/>
      </c>
      <c r="Q657" s="1">
        <f>IF(Data!Q657&gt;0,Data!Q657,"")</f>
        <v/>
      </c>
      <c r="R657" s="1">
        <f>IF(Data!R657&gt;0,Data!R657,"")</f>
        <v/>
      </c>
      <c r="S657" s="1">
        <f>IF(Data!S657&gt;0,Data!S657,"")</f>
        <v/>
      </c>
      <c r="V657" s="3">
        <f>IF(COUNT(D657,J657,K657,L657,M657,O657)&gt;0,AVERAGE(D657,J657,K657,L657,M657,O657),"")</f>
        <v/>
      </c>
      <c r="W657" s="3">
        <f>IF(COUNT(C657,F657,G657,N657,Q657)&gt;0,AVERAGE(C657,F657,G657,N657,Q657),"")</f>
        <v/>
      </c>
      <c r="X657" s="3">
        <f>IF(COUNT(B657,E657,H657,I657,P657,R657,S657)&gt;0,AVERAGE(B657,E657,H657,I657,P657,R657,S657),"")</f>
        <v/>
      </c>
      <c r="Y657" s="3" t="n"/>
      <c r="AJ657">
        <f>IFERROR(AVERAGEIF($A$4:$A$1004,AI657,$V$4:$V$1004),"")</f>
        <v/>
      </c>
      <c r="AK657">
        <f>IFERROR(AVERAGEIF($A$4:$A$1004,AI657,$W$4:$W$1004),"")</f>
        <v/>
      </c>
      <c r="AL657">
        <f>IFERROR(AVERAGEIF($A$4:$A$1004,AI657,$X$4:$X$1004),"")</f>
        <v/>
      </c>
    </row>
    <row r="658">
      <c r="A658" s="1">
        <f>IF(Data!A658&gt;0,Data!A658,"")</f>
        <v/>
      </c>
      <c r="B658" s="1">
        <f>IF(Data!B658&gt;0,Data!B658,"")</f>
        <v/>
      </c>
      <c r="C658" s="1">
        <f>IF(Data!C658&gt;0,Data!C658,"")</f>
        <v/>
      </c>
      <c r="D658" s="1">
        <f>IF(Data!D658&gt;0,Data!D658,"")</f>
        <v/>
      </c>
      <c r="E658" s="1">
        <f>IF(Data!E658&gt;0,Data!E658,"")</f>
        <v/>
      </c>
      <c r="F658" s="1">
        <f>IF(Data!F658&gt;0,Data!F658,"")</f>
        <v/>
      </c>
      <c r="G658" s="1">
        <f>IF(Data!G658&gt;0,Data!G658,"")</f>
        <v/>
      </c>
      <c r="H658" s="1">
        <f>IF(Data!H658&gt;0,Data!H658,"")</f>
        <v/>
      </c>
      <c r="I658" s="1">
        <f>IF(Data!I658&gt;0,Data!I658,"")</f>
        <v/>
      </c>
      <c r="J658" s="1">
        <f>IF(Data!J658&gt;0,Data!J658,"")</f>
        <v/>
      </c>
      <c r="K658" s="1">
        <f>IF(Data!K658&gt;0,Data!K658,"")</f>
        <v/>
      </c>
      <c r="L658" s="1">
        <f>IF(Data!L658&gt;0,Data!L658,"")</f>
        <v/>
      </c>
      <c r="M658" s="1">
        <f>IF(Data!M658&gt;0,Data!M658,"")</f>
        <v/>
      </c>
      <c r="N658" s="1">
        <f>IF(Data!N658&gt;0,Data!N658,"")</f>
        <v/>
      </c>
      <c r="O658" s="1">
        <f>IF(Data!O658&gt;0,Data!O658,"")</f>
        <v/>
      </c>
      <c r="P658" s="1">
        <f>IF(Data!P658&gt;0,Data!P658,"")</f>
        <v/>
      </c>
      <c r="Q658" s="1">
        <f>IF(Data!Q658&gt;0,Data!Q658,"")</f>
        <v/>
      </c>
      <c r="R658" s="1">
        <f>IF(Data!R658&gt;0,Data!R658,"")</f>
        <v/>
      </c>
      <c r="S658" s="1">
        <f>IF(Data!S658&gt;0,Data!S658,"")</f>
        <v/>
      </c>
      <c r="V658" s="3">
        <f>IF(COUNT(D658,J658,K658,L658,M658,O658)&gt;0,AVERAGE(D658,J658,K658,L658,M658,O658),"")</f>
        <v/>
      </c>
      <c r="W658" s="3">
        <f>IF(COUNT(C658,F658,G658,N658,Q658)&gt;0,AVERAGE(C658,F658,G658,N658,Q658),"")</f>
        <v/>
      </c>
      <c r="X658" s="3">
        <f>IF(COUNT(B658,E658,H658,I658,P658,R658,S658)&gt;0,AVERAGE(B658,E658,H658,I658,P658,R658,S658),"")</f>
        <v/>
      </c>
      <c r="Y658" s="3" t="n"/>
      <c r="AJ658">
        <f>IFERROR(AVERAGEIF($A$4:$A$1004,AI658,$V$4:$V$1004),"")</f>
        <v/>
      </c>
      <c r="AK658">
        <f>IFERROR(AVERAGEIF($A$4:$A$1004,AI658,$W$4:$W$1004),"")</f>
        <v/>
      </c>
      <c r="AL658">
        <f>IFERROR(AVERAGEIF($A$4:$A$1004,AI658,$X$4:$X$1004),"")</f>
        <v/>
      </c>
    </row>
    <row r="659">
      <c r="A659" s="1">
        <f>IF(Data!A659&gt;0,Data!A659,"")</f>
        <v/>
      </c>
      <c r="B659" s="1">
        <f>IF(Data!B659&gt;0,Data!B659,"")</f>
        <v/>
      </c>
      <c r="C659" s="1">
        <f>IF(Data!C659&gt;0,Data!C659,"")</f>
        <v/>
      </c>
      <c r="D659" s="1">
        <f>IF(Data!D659&gt;0,Data!D659,"")</f>
        <v/>
      </c>
      <c r="E659" s="1">
        <f>IF(Data!E659&gt;0,Data!E659,"")</f>
        <v/>
      </c>
      <c r="F659" s="1">
        <f>IF(Data!F659&gt;0,Data!F659,"")</f>
        <v/>
      </c>
      <c r="G659" s="1">
        <f>IF(Data!G659&gt;0,Data!G659,"")</f>
        <v/>
      </c>
      <c r="H659" s="1">
        <f>IF(Data!H659&gt;0,Data!H659,"")</f>
        <v/>
      </c>
      <c r="I659" s="1">
        <f>IF(Data!I659&gt;0,Data!I659,"")</f>
        <v/>
      </c>
      <c r="J659" s="1">
        <f>IF(Data!J659&gt;0,Data!J659,"")</f>
        <v/>
      </c>
      <c r="K659" s="1">
        <f>IF(Data!K659&gt;0,Data!K659,"")</f>
        <v/>
      </c>
      <c r="L659" s="1">
        <f>IF(Data!L659&gt;0,Data!L659,"")</f>
        <v/>
      </c>
      <c r="M659" s="1">
        <f>IF(Data!M659&gt;0,Data!M659,"")</f>
        <v/>
      </c>
      <c r="N659" s="1">
        <f>IF(Data!N659&gt;0,Data!N659,"")</f>
        <v/>
      </c>
      <c r="O659" s="1">
        <f>IF(Data!O659&gt;0,Data!O659,"")</f>
        <v/>
      </c>
      <c r="P659" s="1">
        <f>IF(Data!P659&gt;0,Data!P659,"")</f>
        <v/>
      </c>
      <c r="Q659" s="1">
        <f>IF(Data!Q659&gt;0,Data!Q659,"")</f>
        <v/>
      </c>
      <c r="R659" s="1">
        <f>IF(Data!R659&gt;0,Data!R659,"")</f>
        <v/>
      </c>
      <c r="S659" s="1">
        <f>IF(Data!S659&gt;0,Data!S659,"")</f>
        <v/>
      </c>
      <c r="V659" s="3">
        <f>IF(COUNT(D659,J659,K659,L659,M659,O659)&gt;0,AVERAGE(D659,J659,K659,L659,M659,O659),"")</f>
        <v/>
      </c>
      <c r="W659" s="3">
        <f>IF(COUNT(C659,F659,G659,N659,Q659)&gt;0,AVERAGE(C659,F659,G659,N659,Q659),"")</f>
        <v/>
      </c>
      <c r="X659" s="3">
        <f>IF(COUNT(B659,E659,H659,I659,P659,R659,S659)&gt;0,AVERAGE(B659,E659,H659,I659,P659,R659,S659),"")</f>
        <v/>
      </c>
      <c r="Y659" s="3" t="n"/>
      <c r="AJ659">
        <f>IFERROR(AVERAGEIF($A$4:$A$1004,AI659,$V$4:$V$1004),"")</f>
        <v/>
      </c>
      <c r="AK659">
        <f>IFERROR(AVERAGEIF($A$4:$A$1004,AI659,$W$4:$W$1004),"")</f>
        <v/>
      </c>
      <c r="AL659">
        <f>IFERROR(AVERAGEIF($A$4:$A$1004,AI659,$X$4:$X$1004),"")</f>
        <v/>
      </c>
    </row>
    <row r="660">
      <c r="A660" s="1">
        <f>IF(Data!A660&gt;0,Data!A660,"")</f>
        <v/>
      </c>
      <c r="B660" s="1">
        <f>IF(Data!B660&gt;0,Data!B660,"")</f>
        <v/>
      </c>
      <c r="C660" s="1">
        <f>IF(Data!C660&gt;0,Data!C660,"")</f>
        <v/>
      </c>
      <c r="D660" s="1">
        <f>IF(Data!D660&gt;0,Data!D660,"")</f>
        <v/>
      </c>
      <c r="E660" s="1">
        <f>IF(Data!E660&gt;0,Data!E660,"")</f>
        <v/>
      </c>
      <c r="F660" s="1">
        <f>IF(Data!F660&gt;0,Data!F660,"")</f>
        <v/>
      </c>
      <c r="G660" s="1">
        <f>IF(Data!G660&gt;0,Data!G660,"")</f>
        <v/>
      </c>
      <c r="H660" s="1">
        <f>IF(Data!H660&gt;0,Data!H660,"")</f>
        <v/>
      </c>
      <c r="I660" s="1">
        <f>IF(Data!I660&gt;0,Data!I660,"")</f>
        <v/>
      </c>
      <c r="J660" s="1">
        <f>IF(Data!J660&gt;0,Data!J660,"")</f>
        <v/>
      </c>
      <c r="K660" s="1">
        <f>IF(Data!K660&gt;0,Data!K660,"")</f>
        <v/>
      </c>
      <c r="L660" s="1">
        <f>IF(Data!L660&gt;0,Data!L660,"")</f>
        <v/>
      </c>
      <c r="M660" s="1">
        <f>IF(Data!M660&gt;0,Data!M660,"")</f>
        <v/>
      </c>
      <c r="N660" s="1">
        <f>IF(Data!N660&gt;0,Data!N660,"")</f>
        <v/>
      </c>
      <c r="O660" s="1">
        <f>IF(Data!O660&gt;0,Data!O660,"")</f>
        <v/>
      </c>
      <c r="P660" s="1">
        <f>IF(Data!P660&gt;0,Data!P660,"")</f>
        <v/>
      </c>
      <c r="Q660" s="1">
        <f>IF(Data!Q660&gt;0,Data!Q660,"")</f>
        <v/>
      </c>
      <c r="R660" s="1">
        <f>IF(Data!R660&gt;0,Data!R660,"")</f>
        <v/>
      </c>
      <c r="S660" s="1">
        <f>IF(Data!S660&gt;0,Data!S660,"")</f>
        <v/>
      </c>
      <c r="V660" s="3">
        <f>IF(COUNT(D660,J660,K660,L660,M660,O660)&gt;0,AVERAGE(D660,J660,K660,L660,M660,O660),"")</f>
        <v/>
      </c>
      <c r="W660" s="3">
        <f>IF(COUNT(C660,F660,G660,N660,Q660)&gt;0,AVERAGE(C660,F660,G660,N660,Q660),"")</f>
        <v/>
      </c>
      <c r="X660" s="3">
        <f>IF(COUNT(B660,E660,H660,I660,P660,R660,S660)&gt;0,AVERAGE(B660,E660,H660,I660,P660,R660,S660),"")</f>
        <v/>
      </c>
      <c r="Y660" s="3" t="n"/>
      <c r="AJ660">
        <f>IFERROR(AVERAGEIF($A$4:$A$1004,AI660,$V$4:$V$1004),"")</f>
        <v/>
      </c>
      <c r="AK660">
        <f>IFERROR(AVERAGEIF($A$4:$A$1004,AI660,$W$4:$W$1004),"")</f>
        <v/>
      </c>
      <c r="AL660">
        <f>IFERROR(AVERAGEIF($A$4:$A$1004,AI660,$X$4:$X$1004),"")</f>
        <v/>
      </c>
    </row>
    <row r="661">
      <c r="A661" s="1">
        <f>IF(Data!A661&gt;0,Data!A661,"")</f>
        <v/>
      </c>
      <c r="B661" s="1">
        <f>IF(Data!B661&gt;0,Data!B661,"")</f>
        <v/>
      </c>
      <c r="C661" s="1">
        <f>IF(Data!C661&gt;0,Data!C661,"")</f>
        <v/>
      </c>
      <c r="D661" s="1">
        <f>IF(Data!D661&gt;0,Data!D661,"")</f>
        <v/>
      </c>
      <c r="E661" s="1">
        <f>IF(Data!E661&gt;0,Data!E661,"")</f>
        <v/>
      </c>
      <c r="F661" s="1">
        <f>IF(Data!F661&gt;0,Data!F661,"")</f>
        <v/>
      </c>
      <c r="G661" s="1">
        <f>IF(Data!G661&gt;0,Data!G661,"")</f>
        <v/>
      </c>
      <c r="H661" s="1">
        <f>IF(Data!H661&gt;0,Data!H661,"")</f>
        <v/>
      </c>
      <c r="I661" s="1">
        <f>IF(Data!I661&gt;0,Data!I661,"")</f>
        <v/>
      </c>
      <c r="J661" s="1">
        <f>IF(Data!J661&gt;0,Data!J661,"")</f>
        <v/>
      </c>
      <c r="K661" s="1">
        <f>IF(Data!K661&gt;0,Data!K661,"")</f>
        <v/>
      </c>
      <c r="L661" s="1">
        <f>IF(Data!L661&gt;0,Data!L661,"")</f>
        <v/>
      </c>
      <c r="M661" s="1">
        <f>IF(Data!M661&gt;0,Data!M661,"")</f>
        <v/>
      </c>
      <c r="N661" s="1">
        <f>IF(Data!N661&gt;0,Data!N661,"")</f>
        <v/>
      </c>
      <c r="O661" s="1">
        <f>IF(Data!O661&gt;0,Data!O661,"")</f>
        <v/>
      </c>
      <c r="P661" s="1">
        <f>IF(Data!P661&gt;0,Data!P661,"")</f>
        <v/>
      </c>
      <c r="Q661" s="1">
        <f>IF(Data!Q661&gt;0,Data!Q661,"")</f>
        <v/>
      </c>
      <c r="R661" s="1">
        <f>IF(Data!R661&gt;0,Data!R661,"")</f>
        <v/>
      </c>
      <c r="S661" s="1">
        <f>IF(Data!S661&gt;0,Data!S661,"")</f>
        <v/>
      </c>
      <c r="V661" s="3">
        <f>IF(COUNT(D661,J661,K661,L661,M661,O661)&gt;0,AVERAGE(D661,J661,K661,L661,M661,O661),"")</f>
        <v/>
      </c>
      <c r="W661" s="3">
        <f>IF(COUNT(C661,F661,G661,N661,Q661)&gt;0,AVERAGE(C661,F661,G661,N661,Q661),"")</f>
        <v/>
      </c>
      <c r="X661" s="3">
        <f>IF(COUNT(B661,E661,H661,I661,P661,R661,S661)&gt;0,AVERAGE(B661,E661,H661,I661,P661,R661,S661),"")</f>
        <v/>
      </c>
      <c r="Y661" s="3" t="n"/>
      <c r="AJ661">
        <f>IFERROR(AVERAGEIF($A$4:$A$1004,AI661,$V$4:$V$1004),"")</f>
        <v/>
      </c>
      <c r="AK661">
        <f>IFERROR(AVERAGEIF($A$4:$A$1004,AI661,$W$4:$W$1004),"")</f>
        <v/>
      </c>
      <c r="AL661">
        <f>IFERROR(AVERAGEIF($A$4:$A$1004,AI661,$X$4:$X$1004),"")</f>
        <v/>
      </c>
    </row>
    <row r="662">
      <c r="A662" s="1">
        <f>IF(Data!A662&gt;0,Data!A662,"")</f>
        <v/>
      </c>
      <c r="B662" s="1">
        <f>IF(Data!B662&gt;0,Data!B662,"")</f>
        <v/>
      </c>
      <c r="C662" s="1">
        <f>IF(Data!C662&gt;0,Data!C662,"")</f>
        <v/>
      </c>
      <c r="D662" s="1">
        <f>IF(Data!D662&gt;0,Data!D662,"")</f>
        <v/>
      </c>
      <c r="E662" s="1">
        <f>IF(Data!E662&gt;0,Data!E662,"")</f>
        <v/>
      </c>
      <c r="F662" s="1">
        <f>IF(Data!F662&gt;0,Data!F662,"")</f>
        <v/>
      </c>
      <c r="G662" s="1">
        <f>IF(Data!G662&gt;0,Data!G662,"")</f>
        <v/>
      </c>
      <c r="H662" s="1">
        <f>IF(Data!H662&gt;0,Data!H662,"")</f>
        <v/>
      </c>
      <c r="I662" s="1">
        <f>IF(Data!I662&gt;0,Data!I662,"")</f>
        <v/>
      </c>
      <c r="J662" s="1">
        <f>IF(Data!J662&gt;0,Data!J662,"")</f>
        <v/>
      </c>
      <c r="K662" s="1">
        <f>IF(Data!K662&gt;0,Data!K662,"")</f>
        <v/>
      </c>
      <c r="L662" s="1">
        <f>IF(Data!L662&gt;0,Data!L662,"")</f>
        <v/>
      </c>
      <c r="M662" s="1">
        <f>IF(Data!M662&gt;0,Data!M662,"")</f>
        <v/>
      </c>
      <c r="N662" s="1">
        <f>IF(Data!N662&gt;0,Data!N662,"")</f>
        <v/>
      </c>
      <c r="O662" s="1">
        <f>IF(Data!O662&gt;0,Data!O662,"")</f>
        <v/>
      </c>
      <c r="P662" s="1">
        <f>IF(Data!P662&gt;0,Data!P662,"")</f>
        <v/>
      </c>
      <c r="Q662" s="1">
        <f>IF(Data!Q662&gt;0,Data!Q662,"")</f>
        <v/>
      </c>
      <c r="R662" s="1">
        <f>IF(Data!R662&gt;0,Data!R662,"")</f>
        <v/>
      </c>
      <c r="S662" s="1">
        <f>IF(Data!S662&gt;0,Data!S662,"")</f>
        <v/>
      </c>
      <c r="V662" s="3">
        <f>IF(COUNT(D662,J662,K662,L662,M662,O662)&gt;0,AVERAGE(D662,J662,K662,L662,M662,O662),"")</f>
        <v/>
      </c>
      <c r="W662" s="3">
        <f>IF(COUNT(C662,F662,G662,N662,Q662)&gt;0,AVERAGE(C662,F662,G662,N662,Q662),"")</f>
        <v/>
      </c>
      <c r="X662" s="3">
        <f>IF(COUNT(B662,E662,H662,I662,P662,R662,S662)&gt;0,AVERAGE(B662,E662,H662,I662,P662,R662,S662),"")</f>
        <v/>
      </c>
      <c r="Y662" s="3" t="n"/>
      <c r="AJ662">
        <f>IFERROR(AVERAGEIF($A$4:$A$1004,AI662,$V$4:$V$1004),"")</f>
        <v/>
      </c>
      <c r="AK662">
        <f>IFERROR(AVERAGEIF($A$4:$A$1004,AI662,$W$4:$W$1004),"")</f>
        <v/>
      </c>
      <c r="AL662">
        <f>IFERROR(AVERAGEIF($A$4:$A$1004,AI662,$X$4:$X$1004),"")</f>
        <v/>
      </c>
    </row>
    <row r="663">
      <c r="A663" s="1">
        <f>IF(Data!A663&gt;0,Data!A663,"")</f>
        <v/>
      </c>
      <c r="B663" s="1">
        <f>IF(Data!B663&gt;0,Data!B663,"")</f>
        <v/>
      </c>
      <c r="C663" s="1">
        <f>IF(Data!C663&gt;0,Data!C663,"")</f>
        <v/>
      </c>
      <c r="D663" s="1">
        <f>IF(Data!D663&gt;0,Data!D663,"")</f>
        <v/>
      </c>
      <c r="E663" s="1">
        <f>IF(Data!E663&gt;0,Data!E663,"")</f>
        <v/>
      </c>
      <c r="F663" s="1">
        <f>IF(Data!F663&gt;0,Data!F663,"")</f>
        <v/>
      </c>
      <c r="G663" s="1">
        <f>IF(Data!G663&gt;0,Data!G663,"")</f>
        <v/>
      </c>
      <c r="H663" s="1">
        <f>IF(Data!H663&gt;0,Data!H663,"")</f>
        <v/>
      </c>
      <c r="I663" s="1">
        <f>IF(Data!I663&gt;0,Data!I663,"")</f>
        <v/>
      </c>
      <c r="J663" s="1">
        <f>IF(Data!J663&gt;0,Data!J663,"")</f>
        <v/>
      </c>
      <c r="K663" s="1">
        <f>IF(Data!K663&gt;0,Data!K663,"")</f>
        <v/>
      </c>
      <c r="L663" s="1">
        <f>IF(Data!L663&gt;0,Data!L663,"")</f>
        <v/>
      </c>
      <c r="M663" s="1">
        <f>IF(Data!M663&gt;0,Data!M663,"")</f>
        <v/>
      </c>
      <c r="N663" s="1">
        <f>IF(Data!N663&gt;0,Data!N663,"")</f>
        <v/>
      </c>
      <c r="O663" s="1">
        <f>IF(Data!O663&gt;0,Data!O663,"")</f>
        <v/>
      </c>
      <c r="P663" s="1">
        <f>IF(Data!P663&gt;0,Data!P663,"")</f>
        <v/>
      </c>
      <c r="Q663" s="1">
        <f>IF(Data!Q663&gt;0,Data!Q663,"")</f>
        <v/>
      </c>
      <c r="R663" s="1">
        <f>IF(Data!R663&gt;0,Data!R663,"")</f>
        <v/>
      </c>
      <c r="S663" s="1">
        <f>IF(Data!S663&gt;0,Data!S663,"")</f>
        <v/>
      </c>
      <c r="V663" s="3">
        <f>IF(COUNT(D663,J663,K663,L663,M663,O663)&gt;0,AVERAGE(D663,J663,K663,L663,M663,O663),"")</f>
        <v/>
      </c>
      <c r="W663" s="3">
        <f>IF(COUNT(C663,F663,G663,N663,Q663)&gt;0,AVERAGE(C663,F663,G663,N663,Q663),"")</f>
        <v/>
      </c>
      <c r="X663" s="3">
        <f>IF(COUNT(B663,E663,H663,I663,P663,R663,S663)&gt;0,AVERAGE(B663,E663,H663,I663,P663,R663,S663),"")</f>
        <v/>
      </c>
      <c r="Y663" s="3" t="n"/>
      <c r="AJ663">
        <f>IFERROR(AVERAGEIF($A$4:$A$1004,AI663,$V$4:$V$1004),"")</f>
        <v/>
      </c>
      <c r="AK663">
        <f>IFERROR(AVERAGEIF($A$4:$A$1004,AI663,$W$4:$W$1004),"")</f>
        <v/>
      </c>
      <c r="AL663">
        <f>IFERROR(AVERAGEIF($A$4:$A$1004,AI663,$X$4:$X$1004),"")</f>
        <v/>
      </c>
    </row>
    <row r="664">
      <c r="A664" s="1">
        <f>IF(Data!A664&gt;0,Data!A664,"")</f>
        <v/>
      </c>
      <c r="B664" s="1">
        <f>IF(Data!B664&gt;0,Data!B664,"")</f>
        <v/>
      </c>
      <c r="C664" s="1">
        <f>IF(Data!C664&gt;0,Data!C664,"")</f>
        <v/>
      </c>
      <c r="D664" s="1">
        <f>IF(Data!D664&gt;0,Data!D664,"")</f>
        <v/>
      </c>
      <c r="E664" s="1">
        <f>IF(Data!E664&gt;0,Data!E664,"")</f>
        <v/>
      </c>
      <c r="F664" s="1">
        <f>IF(Data!F664&gt;0,Data!F664,"")</f>
        <v/>
      </c>
      <c r="G664" s="1">
        <f>IF(Data!G664&gt;0,Data!G664,"")</f>
        <v/>
      </c>
      <c r="H664" s="1">
        <f>IF(Data!H664&gt;0,Data!H664,"")</f>
        <v/>
      </c>
      <c r="I664" s="1">
        <f>IF(Data!I664&gt;0,Data!I664,"")</f>
        <v/>
      </c>
      <c r="J664" s="1">
        <f>IF(Data!J664&gt;0,Data!J664,"")</f>
        <v/>
      </c>
      <c r="K664" s="1">
        <f>IF(Data!K664&gt;0,Data!K664,"")</f>
        <v/>
      </c>
      <c r="L664" s="1">
        <f>IF(Data!L664&gt;0,Data!L664,"")</f>
        <v/>
      </c>
      <c r="M664" s="1">
        <f>IF(Data!M664&gt;0,Data!M664,"")</f>
        <v/>
      </c>
      <c r="N664" s="1">
        <f>IF(Data!N664&gt;0,Data!N664,"")</f>
        <v/>
      </c>
      <c r="O664" s="1">
        <f>IF(Data!O664&gt;0,Data!O664,"")</f>
        <v/>
      </c>
      <c r="P664" s="1">
        <f>IF(Data!P664&gt;0,Data!P664,"")</f>
        <v/>
      </c>
      <c r="Q664" s="1">
        <f>IF(Data!Q664&gt;0,Data!Q664,"")</f>
        <v/>
      </c>
      <c r="R664" s="1">
        <f>IF(Data!R664&gt;0,Data!R664,"")</f>
        <v/>
      </c>
      <c r="S664" s="1">
        <f>IF(Data!S664&gt;0,Data!S664,"")</f>
        <v/>
      </c>
      <c r="V664" s="3">
        <f>IF(COUNT(D664,J664,K664,L664,M664,O664)&gt;0,AVERAGE(D664,J664,K664,L664,M664,O664),"")</f>
        <v/>
      </c>
      <c r="W664" s="3">
        <f>IF(COUNT(C664,F664,G664,N664,Q664)&gt;0,AVERAGE(C664,F664,G664,N664,Q664),"")</f>
        <v/>
      </c>
      <c r="X664" s="3">
        <f>IF(COUNT(B664,E664,H664,I664,P664,R664,S664)&gt;0,AVERAGE(B664,E664,H664,I664,P664,R664,S664),"")</f>
        <v/>
      </c>
      <c r="Y664" s="3" t="n"/>
      <c r="AJ664">
        <f>IFERROR(AVERAGEIF($A$4:$A$1004,AI664,$V$4:$V$1004),"")</f>
        <v/>
      </c>
      <c r="AK664">
        <f>IFERROR(AVERAGEIF($A$4:$A$1004,AI664,$W$4:$W$1004),"")</f>
        <v/>
      </c>
      <c r="AL664">
        <f>IFERROR(AVERAGEIF($A$4:$A$1004,AI664,$X$4:$X$1004),"")</f>
        <v/>
      </c>
    </row>
    <row r="665">
      <c r="A665" s="1">
        <f>IF(Data!A665&gt;0,Data!A665,"")</f>
        <v/>
      </c>
      <c r="B665" s="1">
        <f>IF(Data!B665&gt;0,Data!B665,"")</f>
        <v/>
      </c>
      <c r="C665" s="1">
        <f>IF(Data!C665&gt;0,Data!C665,"")</f>
        <v/>
      </c>
      <c r="D665" s="1">
        <f>IF(Data!D665&gt;0,Data!D665,"")</f>
        <v/>
      </c>
      <c r="E665" s="1">
        <f>IF(Data!E665&gt;0,Data!E665,"")</f>
        <v/>
      </c>
      <c r="F665" s="1">
        <f>IF(Data!F665&gt;0,Data!F665,"")</f>
        <v/>
      </c>
      <c r="G665" s="1">
        <f>IF(Data!G665&gt;0,Data!G665,"")</f>
        <v/>
      </c>
      <c r="H665" s="1">
        <f>IF(Data!H665&gt;0,Data!H665,"")</f>
        <v/>
      </c>
      <c r="I665" s="1">
        <f>IF(Data!I665&gt;0,Data!I665,"")</f>
        <v/>
      </c>
      <c r="J665" s="1">
        <f>IF(Data!J665&gt;0,Data!J665,"")</f>
        <v/>
      </c>
      <c r="K665" s="1">
        <f>IF(Data!K665&gt;0,Data!K665,"")</f>
        <v/>
      </c>
      <c r="L665" s="1">
        <f>IF(Data!L665&gt;0,Data!L665,"")</f>
        <v/>
      </c>
      <c r="M665" s="1">
        <f>IF(Data!M665&gt;0,Data!M665,"")</f>
        <v/>
      </c>
      <c r="N665" s="1">
        <f>IF(Data!N665&gt;0,Data!N665,"")</f>
        <v/>
      </c>
      <c r="O665" s="1">
        <f>IF(Data!O665&gt;0,Data!O665,"")</f>
        <v/>
      </c>
      <c r="P665" s="1">
        <f>IF(Data!P665&gt;0,Data!P665,"")</f>
        <v/>
      </c>
      <c r="Q665" s="1">
        <f>IF(Data!Q665&gt;0,Data!Q665,"")</f>
        <v/>
      </c>
      <c r="R665" s="1">
        <f>IF(Data!R665&gt;0,Data!R665,"")</f>
        <v/>
      </c>
      <c r="S665" s="1">
        <f>IF(Data!S665&gt;0,Data!S665,"")</f>
        <v/>
      </c>
      <c r="V665" s="3">
        <f>IF(COUNT(D665,J665,K665,L665,M665,O665)&gt;0,AVERAGE(D665,J665,K665,L665,M665,O665),"")</f>
        <v/>
      </c>
      <c r="W665" s="3">
        <f>IF(COUNT(C665,F665,G665,N665,Q665)&gt;0,AVERAGE(C665,F665,G665,N665,Q665),"")</f>
        <v/>
      </c>
      <c r="X665" s="3">
        <f>IF(COUNT(B665,E665,H665,I665,P665,R665,S665)&gt;0,AVERAGE(B665,E665,H665,I665,P665,R665,S665),"")</f>
        <v/>
      </c>
      <c r="Y665" s="3" t="n"/>
      <c r="AJ665">
        <f>IFERROR(AVERAGEIF($A$4:$A$1004,AI665,$V$4:$V$1004),"")</f>
        <v/>
      </c>
      <c r="AK665">
        <f>IFERROR(AVERAGEIF($A$4:$A$1004,AI665,$W$4:$W$1004),"")</f>
        <v/>
      </c>
      <c r="AL665">
        <f>IFERROR(AVERAGEIF($A$4:$A$1004,AI665,$X$4:$X$1004),"")</f>
        <v/>
      </c>
    </row>
    <row r="666">
      <c r="A666" s="1">
        <f>IF(Data!A666&gt;0,Data!A666,"")</f>
        <v/>
      </c>
      <c r="B666" s="1">
        <f>IF(Data!B666&gt;0,Data!B666,"")</f>
        <v/>
      </c>
      <c r="C666" s="1">
        <f>IF(Data!C666&gt;0,Data!C666,"")</f>
        <v/>
      </c>
      <c r="D666" s="1">
        <f>IF(Data!D666&gt;0,Data!D666,"")</f>
        <v/>
      </c>
      <c r="E666" s="1">
        <f>IF(Data!E666&gt;0,Data!E666,"")</f>
        <v/>
      </c>
      <c r="F666" s="1">
        <f>IF(Data!F666&gt;0,Data!F666,"")</f>
        <v/>
      </c>
      <c r="G666" s="1">
        <f>IF(Data!G666&gt;0,Data!G666,"")</f>
        <v/>
      </c>
      <c r="H666" s="1">
        <f>IF(Data!H666&gt;0,Data!H666,"")</f>
        <v/>
      </c>
      <c r="I666" s="1">
        <f>IF(Data!I666&gt;0,Data!I666,"")</f>
        <v/>
      </c>
      <c r="J666" s="1">
        <f>IF(Data!J666&gt;0,Data!J666,"")</f>
        <v/>
      </c>
      <c r="K666" s="1">
        <f>IF(Data!K666&gt;0,Data!K666,"")</f>
        <v/>
      </c>
      <c r="L666" s="1">
        <f>IF(Data!L666&gt;0,Data!L666,"")</f>
        <v/>
      </c>
      <c r="M666" s="1">
        <f>IF(Data!M666&gt;0,Data!M666,"")</f>
        <v/>
      </c>
      <c r="N666" s="1">
        <f>IF(Data!N666&gt;0,Data!N666,"")</f>
        <v/>
      </c>
      <c r="O666" s="1">
        <f>IF(Data!O666&gt;0,Data!O666,"")</f>
        <v/>
      </c>
      <c r="P666" s="1">
        <f>IF(Data!P666&gt;0,Data!P666,"")</f>
        <v/>
      </c>
      <c r="Q666" s="1">
        <f>IF(Data!Q666&gt;0,Data!Q666,"")</f>
        <v/>
      </c>
      <c r="R666" s="1">
        <f>IF(Data!R666&gt;0,Data!R666,"")</f>
        <v/>
      </c>
      <c r="S666" s="1">
        <f>IF(Data!S666&gt;0,Data!S666,"")</f>
        <v/>
      </c>
      <c r="V666" s="3">
        <f>IF(COUNT(D666,J666,K666,L666,M666,O666)&gt;0,AVERAGE(D666,J666,K666,L666,M666,O666),"")</f>
        <v/>
      </c>
      <c r="W666" s="3">
        <f>IF(COUNT(C666,F666,G666,N666,Q666)&gt;0,AVERAGE(C666,F666,G666,N666,Q666),"")</f>
        <v/>
      </c>
      <c r="X666" s="3">
        <f>IF(COUNT(B666,E666,H666,I666,P666,R666,S666)&gt;0,AVERAGE(B666,E666,H666,I666,P666,R666,S666),"")</f>
        <v/>
      </c>
      <c r="Y666" s="3" t="n"/>
      <c r="AJ666">
        <f>IFERROR(AVERAGEIF($A$4:$A$1004,AI666,$V$4:$V$1004),"")</f>
        <v/>
      </c>
      <c r="AK666">
        <f>IFERROR(AVERAGEIF($A$4:$A$1004,AI666,$W$4:$W$1004),"")</f>
        <v/>
      </c>
      <c r="AL666">
        <f>IFERROR(AVERAGEIF($A$4:$A$1004,AI666,$X$4:$X$1004),"")</f>
        <v/>
      </c>
    </row>
    <row r="667">
      <c r="A667" s="1">
        <f>IF(Data!A667&gt;0,Data!A667,"")</f>
        <v/>
      </c>
      <c r="B667" s="1">
        <f>IF(Data!B667&gt;0,Data!B667,"")</f>
        <v/>
      </c>
      <c r="C667" s="1">
        <f>IF(Data!C667&gt;0,Data!C667,"")</f>
        <v/>
      </c>
      <c r="D667" s="1">
        <f>IF(Data!D667&gt;0,Data!D667,"")</f>
        <v/>
      </c>
      <c r="E667" s="1">
        <f>IF(Data!E667&gt;0,Data!E667,"")</f>
        <v/>
      </c>
      <c r="F667" s="1">
        <f>IF(Data!F667&gt;0,Data!F667,"")</f>
        <v/>
      </c>
      <c r="G667" s="1">
        <f>IF(Data!G667&gt;0,Data!G667,"")</f>
        <v/>
      </c>
      <c r="H667" s="1">
        <f>IF(Data!H667&gt;0,Data!H667,"")</f>
        <v/>
      </c>
      <c r="I667" s="1">
        <f>IF(Data!I667&gt;0,Data!I667,"")</f>
        <v/>
      </c>
      <c r="J667" s="1">
        <f>IF(Data!J667&gt;0,Data!J667,"")</f>
        <v/>
      </c>
      <c r="K667" s="1">
        <f>IF(Data!K667&gt;0,Data!K667,"")</f>
        <v/>
      </c>
      <c r="L667" s="1">
        <f>IF(Data!L667&gt;0,Data!L667,"")</f>
        <v/>
      </c>
      <c r="M667" s="1">
        <f>IF(Data!M667&gt;0,Data!M667,"")</f>
        <v/>
      </c>
      <c r="N667" s="1">
        <f>IF(Data!N667&gt;0,Data!N667,"")</f>
        <v/>
      </c>
      <c r="O667" s="1">
        <f>IF(Data!O667&gt;0,Data!O667,"")</f>
        <v/>
      </c>
      <c r="P667" s="1">
        <f>IF(Data!P667&gt;0,Data!P667,"")</f>
        <v/>
      </c>
      <c r="Q667" s="1">
        <f>IF(Data!Q667&gt;0,Data!Q667,"")</f>
        <v/>
      </c>
      <c r="R667" s="1">
        <f>IF(Data!R667&gt;0,Data!R667,"")</f>
        <v/>
      </c>
      <c r="S667" s="1">
        <f>IF(Data!S667&gt;0,Data!S667,"")</f>
        <v/>
      </c>
      <c r="V667" s="3">
        <f>IF(COUNT(D667,J667,K667,L667,M667,O667)&gt;0,AVERAGE(D667,J667,K667,L667,M667,O667),"")</f>
        <v/>
      </c>
      <c r="W667" s="3">
        <f>IF(COUNT(C667,F667,G667,N667,Q667)&gt;0,AVERAGE(C667,F667,G667,N667,Q667),"")</f>
        <v/>
      </c>
      <c r="X667" s="3">
        <f>IF(COUNT(B667,E667,H667,I667,P667,R667,S667)&gt;0,AVERAGE(B667,E667,H667,I667,P667,R667,S667),"")</f>
        <v/>
      </c>
      <c r="Y667" s="3" t="n"/>
      <c r="AJ667">
        <f>IFERROR(AVERAGEIF($A$4:$A$1004,AI667,$V$4:$V$1004),"")</f>
        <v/>
      </c>
      <c r="AK667">
        <f>IFERROR(AVERAGEIF($A$4:$A$1004,AI667,$W$4:$W$1004),"")</f>
        <v/>
      </c>
      <c r="AL667">
        <f>IFERROR(AVERAGEIF($A$4:$A$1004,AI667,$X$4:$X$1004),"")</f>
        <v/>
      </c>
    </row>
    <row r="668">
      <c r="A668" s="1">
        <f>IF(Data!A668&gt;0,Data!A668,"")</f>
        <v/>
      </c>
      <c r="B668" s="1">
        <f>IF(Data!B668&gt;0,Data!B668,"")</f>
        <v/>
      </c>
      <c r="C668" s="1">
        <f>IF(Data!C668&gt;0,Data!C668,"")</f>
        <v/>
      </c>
      <c r="D668" s="1">
        <f>IF(Data!D668&gt;0,Data!D668,"")</f>
        <v/>
      </c>
      <c r="E668" s="1">
        <f>IF(Data!E668&gt;0,Data!E668,"")</f>
        <v/>
      </c>
      <c r="F668" s="1">
        <f>IF(Data!F668&gt;0,Data!F668,"")</f>
        <v/>
      </c>
      <c r="G668" s="1">
        <f>IF(Data!G668&gt;0,Data!G668,"")</f>
        <v/>
      </c>
      <c r="H668" s="1">
        <f>IF(Data!H668&gt;0,Data!H668,"")</f>
        <v/>
      </c>
      <c r="I668" s="1">
        <f>IF(Data!I668&gt;0,Data!I668,"")</f>
        <v/>
      </c>
      <c r="J668" s="1">
        <f>IF(Data!J668&gt;0,Data!J668,"")</f>
        <v/>
      </c>
      <c r="K668" s="1">
        <f>IF(Data!K668&gt;0,Data!K668,"")</f>
        <v/>
      </c>
      <c r="L668" s="1">
        <f>IF(Data!L668&gt;0,Data!L668,"")</f>
        <v/>
      </c>
      <c r="M668" s="1">
        <f>IF(Data!M668&gt;0,Data!M668,"")</f>
        <v/>
      </c>
      <c r="N668" s="1">
        <f>IF(Data!N668&gt;0,Data!N668,"")</f>
        <v/>
      </c>
      <c r="O668" s="1">
        <f>IF(Data!O668&gt;0,Data!O668,"")</f>
        <v/>
      </c>
      <c r="P668" s="1">
        <f>IF(Data!P668&gt;0,Data!P668,"")</f>
        <v/>
      </c>
      <c r="Q668" s="1">
        <f>IF(Data!Q668&gt;0,Data!Q668,"")</f>
        <v/>
      </c>
      <c r="R668" s="1">
        <f>IF(Data!R668&gt;0,Data!R668,"")</f>
        <v/>
      </c>
      <c r="S668" s="1">
        <f>IF(Data!S668&gt;0,Data!S668,"")</f>
        <v/>
      </c>
      <c r="V668" s="3">
        <f>IF(COUNT(D668,J668,K668,L668,M668,O668)&gt;0,AVERAGE(D668,J668,K668,L668,M668,O668),"")</f>
        <v/>
      </c>
      <c r="W668" s="3">
        <f>IF(COUNT(C668,F668,G668,N668,Q668)&gt;0,AVERAGE(C668,F668,G668,N668,Q668),"")</f>
        <v/>
      </c>
      <c r="X668" s="3">
        <f>IF(COUNT(B668,E668,H668,I668,P668,R668,S668)&gt;0,AVERAGE(B668,E668,H668,I668,P668,R668,S668),"")</f>
        <v/>
      </c>
      <c r="Y668" s="3" t="n"/>
      <c r="AJ668">
        <f>IFERROR(AVERAGEIF($A$4:$A$1004,AI668,$V$4:$V$1004),"")</f>
        <v/>
      </c>
      <c r="AK668">
        <f>IFERROR(AVERAGEIF($A$4:$A$1004,AI668,$W$4:$W$1004),"")</f>
        <v/>
      </c>
      <c r="AL668">
        <f>IFERROR(AVERAGEIF($A$4:$A$1004,AI668,$X$4:$X$1004),"")</f>
        <v/>
      </c>
    </row>
    <row r="669">
      <c r="A669" s="1">
        <f>IF(Data!A669&gt;0,Data!A669,"")</f>
        <v/>
      </c>
      <c r="B669" s="1">
        <f>IF(Data!B669&gt;0,Data!B669,"")</f>
        <v/>
      </c>
      <c r="C669" s="1">
        <f>IF(Data!C669&gt;0,Data!C669,"")</f>
        <v/>
      </c>
      <c r="D669" s="1">
        <f>IF(Data!D669&gt;0,Data!D669,"")</f>
        <v/>
      </c>
      <c r="E669" s="1">
        <f>IF(Data!E669&gt;0,Data!E669,"")</f>
        <v/>
      </c>
      <c r="F669" s="1">
        <f>IF(Data!F669&gt;0,Data!F669,"")</f>
        <v/>
      </c>
      <c r="G669" s="1">
        <f>IF(Data!G669&gt;0,Data!G669,"")</f>
        <v/>
      </c>
      <c r="H669" s="1">
        <f>IF(Data!H669&gt;0,Data!H669,"")</f>
        <v/>
      </c>
      <c r="I669" s="1">
        <f>IF(Data!I669&gt;0,Data!I669,"")</f>
        <v/>
      </c>
      <c r="J669" s="1">
        <f>IF(Data!J669&gt;0,Data!J669,"")</f>
        <v/>
      </c>
      <c r="K669" s="1">
        <f>IF(Data!K669&gt;0,Data!K669,"")</f>
        <v/>
      </c>
      <c r="L669" s="1">
        <f>IF(Data!L669&gt;0,Data!L669,"")</f>
        <v/>
      </c>
      <c r="M669" s="1">
        <f>IF(Data!M669&gt;0,Data!M669,"")</f>
        <v/>
      </c>
      <c r="N669" s="1">
        <f>IF(Data!N669&gt;0,Data!N669,"")</f>
        <v/>
      </c>
      <c r="O669" s="1">
        <f>IF(Data!O669&gt;0,Data!O669,"")</f>
        <v/>
      </c>
      <c r="P669" s="1">
        <f>IF(Data!P669&gt;0,Data!P669,"")</f>
        <v/>
      </c>
      <c r="Q669" s="1">
        <f>IF(Data!Q669&gt;0,Data!Q669,"")</f>
        <v/>
      </c>
      <c r="R669" s="1">
        <f>IF(Data!R669&gt;0,Data!R669,"")</f>
        <v/>
      </c>
      <c r="S669" s="1">
        <f>IF(Data!S669&gt;0,Data!S669,"")</f>
        <v/>
      </c>
      <c r="V669" s="3">
        <f>IF(COUNT(D669,J669,K669,L669,M669,O669)&gt;0,AVERAGE(D669,J669,K669,L669,M669,O669),"")</f>
        <v/>
      </c>
      <c r="W669" s="3">
        <f>IF(COUNT(C669,F669,G669,N669,Q669)&gt;0,AVERAGE(C669,F669,G669,N669,Q669),"")</f>
        <v/>
      </c>
      <c r="X669" s="3">
        <f>IF(COUNT(B669,E669,H669,I669,P669,R669,S669)&gt;0,AVERAGE(B669,E669,H669,I669,P669,R669,S669),"")</f>
        <v/>
      </c>
      <c r="Y669" s="3" t="n"/>
      <c r="AJ669">
        <f>IFERROR(AVERAGEIF($A$4:$A$1004,AI669,$V$4:$V$1004),"")</f>
        <v/>
      </c>
      <c r="AK669">
        <f>IFERROR(AVERAGEIF($A$4:$A$1004,AI669,$W$4:$W$1004),"")</f>
        <v/>
      </c>
      <c r="AL669">
        <f>IFERROR(AVERAGEIF($A$4:$A$1004,AI669,$X$4:$X$1004),"")</f>
        <v/>
      </c>
    </row>
    <row r="670">
      <c r="A670" s="1">
        <f>IF(Data!A670&gt;0,Data!A670,"")</f>
        <v/>
      </c>
      <c r="B670" s="1">
        <f>IF(Data!B670&gt;0,Data!B670,"")</f>
        <v/>
      </c>
      <c r="C670" s="1">
        <f>IF(Data!C670&gt;0,Data!C670,"")</f>
        <v/>
      </c>
      <c r="D670" s="1">
        <f>IF(Data!D670&gt;0,Data!D670,"")</f>
        <v/>
      </c>
      <c r="E670" s="1">
        <f>IF(Data!E670&gt;0,Data!E670,"")</f>
        <v/>
      </c>
      <c r="F670" s="1">
        <f>IF(Data!F670&gt;0,Data!F670,"")</f>
        <v/>
      </c>
      <c r="G670" s="1">
        <f>IF(Data!G670&gt;0,Data!G670,"")</f>
        <v/>
      </c>
      <c r="H670" s="1">
        <f>IF(Data!H670&gt;0,Data!H670,"")</f>
        <v/>
      </c>
      <c r="I670" s="1">
        <f>IF(Data!I670&gt;0,Data!I670,"")</f>
        <v/>
      </c>
      <c r="J670" s="1">
        <f>IF(Data!J670&gt;0,Data!J670,"")</f>
        <v/>
      </c>
      <c r="K670" s="1">
        <f>IF(Data!K670&gt;0,Data!K670,"")</f>
        <v/>
      </c>
      <c r="L670" s="1">
        <f>IF(Data!L670&gt;0,Data!L670,"")</f>
        <v/>
      </c>
      <c r="M670" s="1">
        <f>IF(Data!M670&gt;0,Data!M670,"")</f>
        <v/>
      </c>
      <c r="N670" s="1">
        <f>IF(Data!N670&gt;0,Data!N670,"")</f>
        <v/>
      </c>
      <c r="O670" s="1">
        <f>IF(Data!O670&gt;0,Data!O670,"")</f>
        <v/>
      </c>
      <c r="P670" s="1">
        <f>IF(Data!P670&gt;0,Data!P670,"")</f>
        <v/>
      </c>
      <c r="Q670" s="1">
        <f>IF(Data!Q670&gt;0,Data!Q670,"")</f>
        <v/>
      </c>
      <c r="R670" s="1">
        <f>IF(Data!R670&gt;0,Data!R670,"")</f>
        <v/>
      </c>
      <c r="S670" s="1">
        <f>IF(Data!S670&gt;0,Data!S670,"")</f>
        <v/>
      </c>
      <c r="V670" s="3">
        <f>IF(COUNT(D670,J670,K670,L670,M670,O670)&gt;0,AVERAGE(D670,J670,K670,L670,M670,O670),"")</f>
        <v/>
      </c>
      <c r="W670" s="3">
        <f>IF(COUNT(C670,F670,G670,N670,Q670)&gt;0,AVERAGE(C670,F670,G670,N670,Q670),"")</f>
        <v/>
      </c>
      <c r="X670" s="3">
        <f>IF(COUNT(B670,E670,H670,I670,P670,R670,S670)&gt;0,AVERAGE(B670,E670,H670,I670,P670,R670,S670),"")</f>
        <v/>
      </c>
      <c r="Y670" s="3" t="n"/>
      <c r="AJ670">
        <f>IFERROR(AVERAGEIF($A$4:$A$1004,AI670,$V$4:$V$1004),"")</f>
        <v/>
      </c>
      <c r="AK670">
        <f>IFERROR(AVERAGEIF($A$4:$A$1004,AI670,$W$4:$W$1004),"")</f>
        <v/>
      </c>
      <c r="AL670">
        <f>IFERROR(AVERAGEIF($A$4:$A$1004,AI670,$X$4:$X$1004),"")</f>
        <v/>
      </c>
    </row>
    <row r="671">
      <c r="A671" s="1">
        <f>IF(Data!A671&gt;0,Data!A671,"")</f>
        <v/>
      </c>
      <c r="B671" s="1">
        <f>IF(Data!B671&gt;0,Data!B671,"")</f>
        <v/>
      </c>
      <c r="C671" s="1">
        <f>IF(Data!C671&gt;0,Data!C671,"")</f>
        <v/>
      </c>
      <c r="D671" s="1">
        <f>IF(Data!D671&gt;0,Data!D671,"")</f>
        <v/>
      </c>
      <c r="E671" s="1">
        <f>IF(Data!E671&gt;0,Data!E671,"")</f>
        <v/>
      </c>
      <c r="F671" s="1">
        <f>IF(Data!F671&gt;0,Data!F671,"")</f>
        <v/>
      </c>
      <c r="G671" s="1">
        <f>IF(Data!G671&gt;0,Data!G671,"")</f>
        <v/>
      </c>
      <c r="H671" s="1">
        <f>IF(Data!H671&gt;0,Data!H671,"")</f>
        <v/>
      </c>
      <c r="I671" s="1">
        <f>IF(Data!I671&gt;0,Data!I671,"")</f>
        <v/>
      </c>
      <c r="J671" s="1">
        <f>IF(Data!J671&gt;0,Data!J671,"")</f>
        <v/>
      </c>
      <c r="K671" s="1">
        <f>IF(Data!K671&gt;0,Data!K671,"")</f>
        <v/>
      </c>
      <c r="L671" s="1">
        <f>IF(Data!L671&gt;0,Data!L671,"")</f>
        <v/>
      </c>
      <c r="M671" s="1">
        <f>IF(Data!M671&gt;0,Data!M671,"")</f>
        <v/>
      </c>
      <c r="N671" s="1">
        <f>IF(Data!N671&gt;0,Data!N671,"")</f>
        <v/>
      </c>
      <c r="O671" s="1">
        <f>IF(Data!O671&gt;0,Data!O671,"")</f>
        <v/>
      </c>
      <c r="P671" s="1">
        <f>IF(Data!P671&gt;0,Data!P671,"")</f>
        <v/>
      </c>
      <c r="Q671" s="1">
        <f>IF(Data!Q671&gt;0,Data!Q671,"")</f>
        <v/>
      </c>
      <c r="R671" s="1">
        <f>IF(Data!R671&gt;0,Data!R671,"")</f>
        <v/>
      </c>
      <c r="S671" s="1">
        <f>IF(Data!S671&gt;0,Data!S671,"")</f>
        <v/>
      </c>
      <c r="V671" s="3">
        <f>IF(COUNT(D671,J671,K671,L671,M671,O671)&gt;0,AVERAGE(D671,J671,K671,L671,M671,O671),"")</f>
        <v/>
      </c>
      <c r="W671" s="3">
        <f>IF(COUNT(C671,F671,G671,N671,Q671)&gt;0,AVERAGE(C671,F671,G671,N671,Q671),"")</f>
        <v/>
      </c>
      <c r="X671" s="3">
        <f>IF(COUNT(B671,E671,H671,I671,P671,R671,S671)&gt;0,AVERAGE(B671,E671,H671,I671,P671,R671,S671),"")</f>
        <v/>
      </c>
      <c r="Y671" s="3" t="n"/>
      <c r="AJ671">
        <f>IFERROR(AVERAGEIF($A$4:$A$1004,AI671,$V$4:$V$1004),"")</f>
        <v/>
      </c>
      <c r="AK671">
        <f>IFERROR(AVERAGEIF($A$4:$A$1004,AI671,$W$4:$W$1004),"")</f>
        <v/>
      </c>
      <c r="AL671">
        <f>IFERROR(AVERAGEIF($A$4:$A$1004,AI671,$X$4:$X$1004),"")</f>
        <v/>
      </c>
    </row>
    <row r="672">
      <c r="A672" s="1">
        <f>IF(Data!A672&gt;0,Data!A672,"")</f>
        <v/>
      </c>
      <c r="B672" s="1">
        <f>IF(Data!B672&gt;0,Data!B672,"")</f>
        <v/>
      </c>
      <c r="C672" s="1">
        <f>IF(Data!C672&gt;0,Data!C672,"")</f>
        <v/>
      </c>
      <c r="D672" s="1">
        <f>IF(Data!D672&gt;0,Data!D672,"")</f>
        <v/>
      </c>
      <c r="E672" s="1">
        <f>IF(Data!E672&gt;0,Data!E672,"")</f>
        <v/>
      </c>
      <c r="F672" s="1">
        <f>IF(Data!F672&gt;0,Data!F672,"")</f>
        <v/>
      </c>
      <c r="G672" s="1">
        <f>IF(Data!G672&gt;0,Data!G672,"")</f>
        <v/>
      </c>
      <c r="H672" s="1">
        <f>IF(Data!H672&gt;0,Data!H672,"")</f>
        <v/>
      </c>
      <c r="I672" s="1">
        <f>IF(Data!I672&gt;0,Data!I672,"")</f>
        <v/>
      </c>
      <c r="J672" s="1">
        <f>IF(Data!J672&gt;0,Data!J672,"")</f>
        <v/>
      </c>
      <c r="K672" s="1">
        <f>IF(Data!K672&gt;0,Data!K672,"")</f>
        <v/>
      </c>
      <c r="L672" s="1">
        <f>IF(Data!L672&gt;0,Data!L672,"")</f>
        <v/>
      </c>
      <c r="M672" s="1">
        <f>IF(Data!M672&gt;0,Data!M672,"")</f>
        <v/>
      </c>
      <c r="N672" s="1">
        <f>IF(Data!N672&gt;0,Data!N672,"")</f>
        <v/>
      </c>
      <c r="O672" s="1">
        <f>IF(Data!O672&gt;0,Data!O672,"")</f>
        <v/>
      </c>
      <c r="P672" s="1">
        <f>IF(Data!P672&gt;0,Data!P672,"")</f>
        <v/>
      </c>
      <c r="Q672" s="1">
        <f>IF(Data!Q672&gt;0,Data!Q672,"")</f>
        <v/>
      </c>
      <c r="R672" s="1">
        <f>IF(Data!R672&gt;0,Data!R672,"")</f>
        <v/>
      </c>
      <c r="S672" s="1">
        <f>IF(Data!S672&gt;0,Data!S672,"")</f>
        <v/>
      </c>
      <c r="V672" s="3">
        <f>IF(COUNT(D672,J672,K672,L672,M672,O672)&gt;0,AVERAGE(D672,J672,K672,L672,M672,O672),"")</f>
        <v/>
      </c>
      <c r="W672" s="3">
        <f>IF(COUNT(C672,F672,G672,N672,Q672)&gt;0,AVERAGE(C672,F672,G672,N672,Q672),"")</f>
        <v/>
      </c>
      <c r="X672" s="3">
        <f>IF(COUNT(B672,E672,H672,I672,P672,R672,S672)&gt;0,AVERAGE(B672,E672,H672,I672,P672,R672,S672),"")</f>
        <v/>
      </c>
      <c r="Y672" s="3" t="n"/>
      <c r="AJ672">
        <f>IFERROR(AVERAGEIF($A$4:$A$1004,AI672,$V$4:$V$1004),"")</f>
        <v/>
      </c>
      <c r="AK672">
        <f>IFERROR(AVERAGEIF($A$4:$A$1004,AI672,$W$4:$W$1004),"")</f>
        <v/>
      </c>
      <c r="AL672">
        <f>IFERROR(AVERAGEIF($A$4:$A$1004,AI672,$X$4:$X$1004),"")</f>
        <v/>
      </c>
    </row>
    <row r="673">
      <c r="A673" s="1">
        <f>IF(Data!A673&gt;0,Data!A673,"")</f>
        <v/>
      </c>
      <c r="B673" s="1">
        <f>IF(Data!B673&gt;0,Data!B673,"")</f>
        <v/>
      </c>
      <c r="C673" s="1">
        <f>IF(Data!C673&gt;0,Data!C673,"")</f>
        <v/>
      </c>
      <c r="D673" s="1">
        <f>IF(Data!D673&gt;0,Data!D673,"")</f>
        <v/>
      </c>
      <c r="E673" s="1">
        <f>IF(Data!E673&gt;0,Data!E673,"")</f>
        <v/>
      </c>
      <c r="F673" s="1">
        <f>IF(Data!F673&gt;0,Data!F673,"")</f>
        <v/>
      </c>
      <c r="G673" s="1">
        <f>IF(Data!G673&gt;0,Data!G673,"")</f>
        <v/>
      </c>
      <c r="H673" s="1">
        <f>IF(Data!H673&gt;0,Data!H673,"")</f>
        <v/>
      </c>
      <c r="I673" s="1">
        <f>IF(Data!I673&gt;0,Data!I673,"")</f>
        <v/>
      </c>
      <c r="J673" s="1">
        <f>IF(Data!J673&gt;0,Data!J673,"")</f>
        <v/>
      </c>
      <c r="K673" s="1">
        <f>IF(Data!K673&gt;0,Data!K673,"")</f>
        <v/>
      </c>
      <c r="L673" s="1">
        <f>IF(Data!L673&gt;0,Data!L673,"")</f>
        <v/>
      </c>
      <c r="M673" s="1">
        <f>IF(Data!M673&gt;0,Data!M673,"")</f>
        <v/>
      </c>
      <c r="N673" s="1">
        <f>IF(Data!N673&gt;0,Data!N673,"")</f>
        <v/>
      </c>
      <c r="O673" s="1">
        <f>IF(Data!O673&gt;0,Data!O673,"")</f>
        <v/>
      </c>
      <c r="P673" s="1">
        <f>IF(Data!P673&gt;0,Data!P673,"")</f>
        <v/>
      </c>
      <c r="Q673" s="1">
        <f>IF(Data!Q673&gt;0,Data!Q673,"")</f>
        <v/>
      </c>
      <c r="R673" s="1">
        <f>IF(Data!R673&gt;0,Data!R673,"")</f>
        <v/>
      </c>
      <c r="S673" s="1">
        <f>IF(Data!S673&gt;0,Data!S673,"")</f>
        <v/>
      </c>
      <c r="V673" s="3">
        <f>IF(COUNT(D673,J673,K673,L673,M673,O673)&gt;0,AVERAGE(D673,J673,K673,L673,M673,O673),"")</f>
        <v/>
      </c>
      <c r="W673" s="3">
        <f>IF(COUNT(C673,F673,G673,N673,Q673)&gt;0,AVERAGE(C673,F673,G673,N673,Q673),"")</f>
        <v/>
      </c>
      <c r="X673" s="3">
        <f>IF(COUNT(B673,E673,H673,I673,P673,R673,S673)&gt;0,AVERAGE(B673,E673,H673,I673,P673,R673,S673),"")</f>
        <v/>
      </c>
      <c r="Y673" s="3" t="n"/>
      <c r="AJ673">
        <f>IFERROR(AVERAGEIF($A$4:$A$1004,AI673,$V$4:$V$1004),"")</f>
        <v/>
      </c>
      <c r="AK673">
        <f>IFERROR(AVERAGEIF($A$4:$A$1004,AI673,$W$4:$W$1004),"")</f>
        <v/>
      </c>
      <c r="AL673">
        <f>IFERROR(AVERAGEIF($A$4:$A$1004,AI673,$X$4:$X$1004),"")</f>
        <v/>
      </c>
    </row>
    <row r="674">
      <c r="A674" s="1">
        <f>IF(Data!A674&gt;0,Data!A674,"")</f>
        <v/>
      </c>
      <c r="B674" s="1">
        <f>IF(Data!B674&gt;0,Data!B674,"")</f>
        <v/>
      </c>
      <c r="C674" s="1">
        <f>IF(Data!C674&gt;0,Data!C674,"")</f>
        <v/>
      </c>
      <c r="D674" s="1">
        <f>IF(Data!D674&gt;0,Data!D674,"")</f>
        <v/>
      </c>
      <c r="E674" s="1">
        <f>IF(Data!E674&gt;0,Data!E674,"")</f>
        <v/>
      </c>
      <c r="F674" s="1">
        <f>IF(Data!F674&gt;0,Data!F674,"")</f>
        <v/>
      </c>
      <c r="G674" s="1">
        <f>IF(Data!G674&gt;0,Data!G674,"")</f>
        <v/>
      </c>
      <c r="H674" s="1">
        <f>IF(Data!H674&gt;0,Data!H674,"")</f>
        <v/>
      </c>
      <c r="I674" s="1">
        <f>IF(Data!I674&gt;0,Data!I674,"")</f>
        <v/>
      </c>
      <c r="J674" s="1">
        <f>IF(Data!J674&gt;0,Data!J674,"")</f>
        <v/>
      </c>
      <c r="K674" s="1">
        <f>IF(Data!K674&gt;0,Data!K674,"")</f>
        <v/>
      </c>
      <c r="L674" s="1">
        <f>IF(Data!L674&gt;0,Data!L674,"")</f>
        <v/>
      </c>
      <c r="M674" s="1">
        <f>IF(Data!M674&gt;0,Data!M674,"")</f>
        <v/>
      </c>
      <c r="N674" s="1">
        <f>IF(Data!N674&gt;0,Data!N674,"")</f>
        <v/>
      </c>
      <c r="O674" s="1">
        <f>IF(Data!O674&gt;0,Data!O674,"")</f>
        <v/>
      </c>
      <c r="P674" s="1">
        <f>IF(Data!P674&gt;0,Data!P674,"")</f>
        <v/>
      </c>
      <c r="Q674" s="1">
        <f>IF(Data!Q674&gt;0,Data!Q674,"")</f>
        <v/>
      </c>
      <c r="R674" s="1">
        <f>IF(Data!R674&gt;0,Data!R674,"")</f>
        <v/>
      </c>
      <c r="S674" s="1">
        <f>IF(Data!S674&gt;0,Data!S674,"")</f>
        <v/>
      </c>
      <c r="V674" s="3">
        <f>IF(COUNT(D674,J674,K674,L674,M674,O674)&gt;0,AVERAGE(D674,J674,K674,L674,M674,O674),"")</f>
        <v/>
      </c>
      <c r="W674" s="3">
        <f>IF(COUNT(C674,F674,G674,N674,Q674)&gt;0,AVERAGE(C674,F674,G674,N674,Q674),"")</f>
        <v/>
      </c>
      <c r="X674" s="3">
        <f>IF(COUNT(B674,E674,H674,I674,P674,R674,S674)&gt;0,AVERAGE(B674,E674,H674,I674,P674,R674,S674),"")</f>
        <v/>
      </c>
      <c r="Y674" s="3" t="n"/>
      <c r="AJ674">
        <f>IFERROR(AVERAGEIF($A$4:$A$1004,AI674,$V$4:$V$1004),"")</f>
        <v/>
      </c>
      <c r="AK674">
        <f>IFERROR(AVERAGEIF($A$4:$A$1004,AI674,$W$4:$W$1004),"")</f>
        <v/>
      </c>
      <c r="AL674">
        <f>IFERROR(AVERAGEIF($A$4:$A$1004,AI674,$X$4:$X$1004),"")</f>
        <v/>
      </c>
    </row>
    <row r="675">
      <c r="A675" s="1">
        <f>IF(Data!A675&gt;0,Data!A675,"")</f>
        <v/>
      </c>
      <c r="B675" s="1">
        <f>IF(Data!B675&gt;0,Data!B675,"")</f>
        <v/>
      </c>
      <c r="C675" s="1">
        <f>IF(Data!C675&gt;0,Data!C675,"")</f>
        <v/>
      </c>
      <c r="D675" s="1">
        <f>IF(Data!D675&gt;0,Data!D675,"")</f>
        <v/>
      </c>
      <c r="E675" s="1">
        <f>IF(Data!E675&gt;0,Data!E675,"")</f>
        <v/>
      </c>
      <c r="F675" s="1">
        <f>IF(Data!F675&gt;0,Data!F675,"")</f>
        <v/>
      </c>
      <c r="G675" s="1">
        <f>IF(Data!G675&gt;0,Data!G675,"")</f>
        <v/>
      </c>
      <c r="H675" s="1">
        <f>IF(Data!H675&gt;0,Data!H675,"")</f>
        <v/>
      </c>
      <c r="I675" s="1">
        <f>IF(Data!I675&gt;0,Data!I675,"")</f>
        <v/>
      </c>
      <c r="J675" s="1">
        <f>IF(Data!J675&gt;0,Data!J675,"")</f>
        <v/>
      </c>
      <c r="K675" s="1">
        <f>IF(Data!K675&gt;0,Data!K675,"")</f>
        <v/>
      </c>
      <c r="L675" s="1">
        <f>IF(Data!L675&gt;0,Data!L675,"")</f>
        <v/>
      </c>
      <c r="M675" s="1">
        <f>IF(Data!M675&gt;0,Data!M675,"")</f>
        <v/>
      </c>
      <c r="N675" s="1">
        <f>IF(Data!N675&gt;0,Data!N675,"")</f>
        <v/>
      </c>
      <c r="O675" s="1">
        <f>IF(Data!O675&gt;0,Data!O675,"")</f>
        <v/>
      </c>
      <c r="P675" s="1">
        <f>IF(Data!P675&gt;0,Data!P675,"")</f>
        <v/>
      </c>
      <c r="Q675" s="1">
        <f>IF(Data!Q675&gt;0,Data!Q675,"")</f>
        <v/>
      </c>
      <c r="R675" s="1">
        <f>IF(Data!R675&gt;0,Data!R675,"")</f>
        <v/>
      </c>
      <c r="S675" s="1">
        <f>IF(Data!S675&gt;0,Data!S675,"")</f>
        <v/>
      </c>
      <c r="V675" s="3">
        <f>IF(COUNT(D675,J675,K675,L675,M675,O675)&gt;0,AVERAGE(D675,J675,K675,L675,M675,O675),"")</f>
        <v/>
      </c>
      <c r="W675" s="3">
        <f>IF(COUNT(C675,F675,G675,N675,Q675)&gt;0,AVERAGE(C675,F675,G675,N675,Q675),"")</f>
        <v/>
      </c>
      <c r="X675" s="3">
        <f>IF(COUNT(B675,E675,H675,I675,P675,R675,S675)&gt;0,AVERAGE(B675,E675,H675,I675,P675,R675,S675),"")</f>
        <v/>
      </c>
      <c r="Y675" s="3" t="n"/>
      <c r="AJ675">
        <f>IFERROR(AVERAGEIF($A$4:$A$1004,AI675,$V$4:$V$1004),"")</f>
        <v/>
      </c>
      <c r="AK675">
        <f>IFERROR(AVERAGEIF($A$4:$A$1004,AI675,$W$4:$W$1004),"")</f>
        <v/>
      </c>
      <c r="AL675">
        <f>IFERROR(AVERAGEIF($A$4:$A$1004,AI675,$X$4:$X$1004),"")</f>
        <v/>
      </c>
    </row>
    <row r="676">
      <c r="A676" s="1">
        <f>IF(Data!A676&gt;0,Data!A676,"")</f>
        <v/>
      </c>
      <c r="B676" s="1">
        <f>IF(Data!B676&gt;0,Data!B676,"")</f>
        <v/>
      </c>
      <c r="C676" s="1">
        <f>IF(Data!C676&gt;0,Data!C676,"")</f>
        <v/>
      </c>
      <c r="D676" s="1">
        <f>IF(Data!D676&gt;0,Data!D676,"")</f>
        <v/>
      </c>
      <c r="E676" s="1">
        <f>IF(Data!E676&gt;0,Data!E676,"")</f>
        <v/>
      </c>
      <c r="F676" s="1">
        <f>IF(Data!F676&gt;0,Data!F676,"")</f>
        <v/>
      </c>
      <c r="G676" s="1">
        <f>IF(Data!G676&gt;0,Data!G676,"")</f>
        <v/>
      </c>
      <c r="H676" s="1">
        <f>IF(Data!H676&gt;0,Data!H676,"")</f>
        <v/>
      </c>
      <c r="I676" s="1">
        <f>IF(Data!I676&gt;0,Data!I676,"")</f>
        <v/>
      </c>
      <c r="J676" s="1">
        <f>IF(Data!J676&gt;0,Data!J676,"")</f>
        <v/>
      </c>
      <c r="K676" s="1">
        <f>IF(Data!K676&gt;0,Data!K676,"")</f>
        <v/>
      </c>
      <c r="L676" s="1">
        <f>IF(Data!L676&gt;0,Data!L676,"")</f>
        <v/>
      </c>
      <c r="M676" s="1">
        <f>IF(Data!M676&gt;0,Data!M676,"")</f>
        <v/>
      </c>
      <c r="N676" s="1">
        <f>IF(Data!N676&gt;0,Data!N676,"")</f>
        <v/>
      </c>
      <c r="O676" s="1">
        <f>IF(Data!O676&gt;0,Data!O676,"")</f>
        <v/>
      </c>
      <c r="P676" s="1">
        <f>IF(Data!P676&gt;0,Data!P676,"")</f>
        <v/>
      </c>
      <c r="Q676" s="1">
        <f>IF(Data!Q676&gt;0,Data!Q676,"")</f>
        <v/>
      </c>
      <c r="R676" s="1">
        <f>IF(Data!R676&gt;0,Data!R676,"")</f>
        <v/>
      </c>
      <c r="S676" s="1">
        <f>IF(Data!S676&gt;0,Data!S676,"")</f>
        <v/>
      </c>
      <c r="V676" s="3">
        <f>IF(COUNT(D676,J676,K676,L676,M676,O676)&gt;0,AVERAGE(D676,J676,K676,L676,M676,O676),"")</f>
        <v/>
      </c>
      <c r="W676" s="3">
        <f>IF(COUNT(C676,F676,G676,N676,Q676)&gt;0,AVERAGE(C676,F676,G676,N676,Q676),"")</f>
        <v/>
      </c>
      <c r="X676" s="3">
        <f>IF(COUNT(B676,E676,H676,I676,P676,R676,S676)&gt;0,AVERAGE(B676,E676,H676,I676,P676,R676,S676),"")</f>
        <v/>
      </c>
      <c r="Y676" s="3" t="n"/>
      <c r="AJ676">
        <f>IFERROR(AVERAGEIF($A$4:$A$1004,AI676,$V$4:$V$1004),"")</f>
        <v/>
      </c>
      <c r="AK676">
        <f>IFERROR(AVERAGEIF($A$4:$A$1004,AI676,$W$4:$W$1004),"")</f>
        <v/>
      </c>
      <c r="AL676">
        <f>IFERROR(AVERAGEIF($A$4:$A$1004,AI676,$X$4:$X$1004),"")</f>
        <v/>
      </c>
    </row>
    <row r="677">
      <c r="A677" s="1">
        <f>IF(Data!A677&gt;0,Data!A677,"")</f>
        <v/>
      </c>
      <c r="B677" s="1">
        <f>IF(Data!B677&gt;0,Data!B677,"")</f>
        <v/>
      </c>
      <c r="C677" s="1">
        <f>IF(Data!C677&gt;0,Data!C677,"")</f>
        <v/>
      </c>
      <c r="D677" s="1">
        <f>IF(Data!D677&gt;0,Data!D677,"")</f>
        <v/>
      </c>
      <c r="E677" s="1">
        <f>IF(Data!E677&gt;0,Data!E677,"")</f>
        <v/>
      </c>
      <c r="F677" s="1">
        <f>IF(Data!F677&gt;0,Data!F677,"")</f>
        <v/>
      </c>
      <c r="G677" s="1">
        <f>IF(Data!G677&gt;0,Data!G677,"")</f>
        <v/>
      </c>
      <c r="H677" s="1">
        <f>IF(Data!H677&gt;0,Data!H677,"")</f>
        <v/>
      </c>
      <c r="I677" s="1">
        <f>IF(Data!I677&gt;0,Data!I677,"")</f>
        <v/>
      </c>
      <c r="J677" s="1">
        <f>IF(Data!J677&gt;0,Data!J677,"")</f>
        <v/>
      </c>
      <c r="K677" s="1">
        <f>IF(Data!K677&gt;0,Data!K677,"")</f>
        <v/>
      </c>
      <c r="L677" s="1">
        <f>IF(Data!L677&gt;0,Data!L677,"")</f>
        <v/>
      </c>
      <c r="M677" s="1">
        <f>IF(Data!M677&gt;0,Data!M677,"")</f>
        <v/>
      </c>
      <c r="N677" s="1">
        <f>IF(Data!N677&gt;0,Data!N677,"")</f>
        <v/>
      </c>
      <c r="O677" s="1">
        <f>IF(Data!O677&gt;0,Data!O677,"")</f>
        <v/>
      </c>
      <c r="P677" s="1">
        <f>IF(Data!P677&gt;0,Data!P677,"")</f>
        <v/>
      </c>
      <c r="Q677" s="1">
        <f>IF(Data!Q677&gt;0,Data!Q677,"")</f>
        <v/>
      </c>
      <c r="R677" s="1">
        <f>IF(Data!R677&gt;0,Data!R677,"")</f>
        <v/>
      </c>
      <c r="S677" s="1">
        <f>IF(Data!S677&gt;0,Data!S677,"")</f>
        <v/>
      </c>
      <c r="V677" s="3">
        <f>IF(COUNT(D677,J677,K677,L677,M677,O677)&gt;0,AVERAGE(D677,J677,K677,L677,M677,O677),"")</f>
        <v/>
      </c>
      <c r="W677" s="3">
        <f>IF(COUNT(C677,F677,G677,N677,Q677)&gt;0,AVERAGE(C677,F677,G677,N677,Q677),"")</f>
        <v/>
      </c>
      <c r="X677" s="3">
        <f>IF(COUNT(B677,E677,H677,I677,P677,R677,S677)&gt;0,AVERAGE(B677,E677,H677,I677,P677,R677,S677),"")</f>
        <v/>
      </c>
      <c r="Y677" s="3" t="n"/>
      <c r="AJ677">
        <f>IFERROR(AVERAGEIF($A$4:$A$1004,AI677,$V$4:$V$1004),"")</f>
        <v/>
      </c>
      <c r="AK677">
        <f>IFERROR(AVERAGEIF($A$4:$A$1004,AI677,$W$4:$W$1004),"")</f>
        <v/>
      </c>
      <c r="AL677">
        <f>IFERROR(AVERAGEIF($A$4:$A$1004,AI677,$X$4:$X$1004),"")</f>
        <v/>
      </c>
    </row>
    <row r="678">
      <c r="A678" s="1">
        <f>IF(Data!A678&gt;0,Data!A678,"")</f>
        <v/>
      </c>
      <c r="B678" s="1">
        <f>IF(Data!B678&gt;0,Data!B678,"")</f>
        <v/>
      </c>
      <c r="C678" s="1">
        <f>IF(Data!C678&gt;0,Data!C678,"")</f>
        <v/>
      </c>
      <c r="D678" s="1">
        <f>IF(Data!D678&gt;0,Data!D678,"")</f>
        <v/>
      </c>
      <c r="E678" s="1">
        <f>IF(Data!E678&gt;0,Data!E678,"")</f>
        <v/>
      </c>
      <c r="F678" s="1">
        <f>IF(Data!F678&gt;0,Data!F678,"")</f>
        <v/>
      </c>
      <c r="G678" s="1">
        <f>IF(Data!G678&gt;0,Data!G678,"")</f>
        <v/>
      </c>
      <c r="H678" s="1">
        <f>IF(Data!H678&gt;0,Data!H678,"")</f>
        <v/>
      </c>
      <c r="I678" s="1">
        <f>IF(Data!I678&gt;0,Data!I678,"")</f>
        <v/>
      </c>
      <c r="J678" s="1">
        <f>IF(Data!J678&gt;0,Data!J678,"")</f>
        <v/>
      </c>
      <c r="K678" s="1">
        <f>IF(Data!K678&gt;0,Data!K678,"")</f>
        <v/>
      </c>
      <c r="L678" s="1">
        <f>IF(Data!L678&gt;0,Data!L678,"")</f>
        <v/>
      </c>
      <c r="M678" s="1">
        <f>IF(Data!M678&gt;0,Data!M678,"")</f>
        <v/>
      </c>
      <c r="N678" s="1">
        <f>IF(Data!N678&gt;0,Data!N678,"")</f>
        <v/>
      </c>
      <c r="O678" s="1">
        <f>IF(Data!O678&gt;0,Data!O678,"")</f>
        <v/>
      </c>
      <c r="P678" s="1">
        <f>IF(Data!P678&gt;0,Data!P678,"")</f>
        <v/>
      </c>
      <c r="Q678" s="1">
        <f>IF(Data!Q678&gt;0,Data!Q678,"")</f>
        <v/>
      </c>
      <c r="R678" s="1">
        <f>IF(Data!R678&gt;0,Data!R678,"")</f>
        <v/>
      </c>
      <c r="S678" s="1">
        <f>IF(Data!S678&gt;0,Data!S678,"")</f>
        <v/>
      </c>
      <c r="V678" s="3">
        <f>IF(COUNT(D678,J678,K678,L678,M678,O678)&gt;0,AVERAGE(D678,J678,K678,L678,M678,O678),"")</f>
        <v/>
      </c>
      <c r="W678" s="3">
        <f>IF(COUNT(C678,F678,G678,N678,Q678)&gt;0,AVERAGE(C678,F678,G678,N678,Q678),"")</f>
        <v/>
      </c>
      <c r="X678" s="3">
        <f>IF(COUNT(B678,E678,H678,I678,P678,R678,S678)&gt;0,AVERAGE(B678,E678,H678,I678,P678,R678,S678),"")</f>
        <v/>
      </c>
      <c r="Y678" s="3" t="n"/>
      <c r="AJ678">
        <f>IFERROR(AVERAGEIF($A$4:$A$1004,AI678,$V$4:$V$1004),"")</f>
        <v/>
      </c>
      <c r="AK678">
        <f>IFERROR(AVERAGEIF($A$4:$A$1004,AI678,$W$4:$W$1004),"")</f>
        <v/>
      </c>
      <c r="AL678">
        <f>IFERROR(AVERAGEIF($A$4:$A$1004,AI678,$X$4:$X$1004),"")</f>
        <v/>
      </c>
    </row>
    <row r="679">
      <c r="A679" s="1">
        <f>IF(Data!A679&gt;0,Data!A679,"")</f>
        <v/>
      </c>
      <c r="B679" s="1">
        <f>IF(Data!B679&gt;0,Data!B679,"")</f>
        <v/>
      </c>
      <c r="C679" s="1">
        <f>IF(Data!C679&gt;0,Data!C679,"")</f>
        <v/>
      </c>
      <c r="D679" s="1">
        <f>IF(Data!D679&gt;0,Data!D679,"")</f>
        <v/>
      </c>
      <c r="E679" s="1">
        <f>IF(Data!E679&gt;0,Data!E679,"")</f>
        <v/>
      </c>
      <c r="F679" s="1">
        <f>IF(Data!F679&gt;0,Data!F679,"")</f>
        <v/>
      </c>
      <c r="G679" s="1">
        <f>IF(Data!G679&gt;0,Data!G679,"")</f>
        <v/>
      </c>
      <c r="H679" s="1">
        <f>IF(Data!H679&gt;0,Data!H679,"")</f>
        <v/>
      </c>
      <c r="I679" s="1">
        <f>IF(Data!I679&gt;0,Data!I679,"")</f>
        <v/>
      </c>
      <c r="J679" s="1">
        <f>IF(Data!J679&gt;0,Data!J679,"")</f>
        <v/>
      </c>
      <c r="K679" s="1">
        <f>IF(Data!K679&gt;0,Data!K679,"")</f>
        <v/>
      </c>
      <c r="L679" s="1">
        <f>IF(Data!L679&gt;0,Data!L679,"")</f>
        <v/>
      </c>
      <c r="M679" s="1">
        <f>IF(Data!M679&gt;0,Data!M679,"")</f>
        <v/>
      </c>
      <c r="N679" s="1">
        <f>IF(Data!N679&gt;0,Data!N679,"")</f>
        <v/>
      </c>
      <c r="O679" s="1">
        <f>IF(Data!O679&gt;0,Data!O679,"")</f>
        <v/>
      </c>
      <c r="P679" s="1">
        <f>IF(Data!P679&gt;0,Data!P679,"")</f>
        <v/>
      </c>
      <c r="Q679" s="1">
        <f>IF(Data!Q679&gt;0,Data!Q679,"")</f>
        <v/>
      </c>
      <c r="R679" s="1">
        <f>IF(Data!R679&gt;0,Data!R679,"")</f>
        <v/>
      </c>
      <c r="S679" s="1">
        <f>IF(Data!S679&gt;0,Data!S679,"")</f>
        <v/>
      </c>
      <c r="V679" s="3">
        <f>IF(COUNT(D679,J679,K679,L679,M679,O679)&gt;0,AVERAGE(D679,J679,K679,L679,M679,O679),"")</f>
        <v/>
      </c>
      <c r="W679" s="3">
        <f>IF(COUNT(C679,F679,G679,N679,Q679)&gt;0,AVERAGE(C679,F679,G679,N679,Q679),"")</f>
        <v/>
      </c>
      <c r="X679" s="3">
        <f>IF(COUNT(B679,E679,H679,I679,P679,R679,S679)&gt;0,AVERAGE(B679,E679,H679,I679,P679,R679,S679),"")</f>
        <v/>
      </c>
      <c r="Y679" s="3" t="n"/>
      <c r="AJ679">
        <f>IFERROR(AVERAGEIF($A$4:$A$1004,AI679,$V$4:$V$1004),"")</f>
        <v/>
      </c>
      <c r="AK679">
        <f>IFERROR(AVERAGEIF($A$4:$A$1004,AI679,$W$4:$W$1004),"")</f>
        <v/>
      </c>
      <c r="AL679">
        <f>IFERROR(AVERAGEIF($A$4:$A$1004,AI679,$X$4:$X$1004),"")</f>
        <v/>
      </c>
    </row>
    <row r="680">
      <c r="A680" s="1">
        <f>IF(Data!A680&gt;0,Data!A680,"")</f>
        <v/>
      </c>
      <c r="B680" s="1">
        <f>IF(Data!B680&gt;0,Data!B680,"")</f>
        <v/>
      </c>
      <c r="C680" s="1">
        <f>IF(Data!C680&gt;0,Data!C680,"")</f>
        <v/>
      </c>
      <c r="D680" s="1">
        <f>IF(Data!D680&gt;0,Data!D680,"")</f>
        <v/>
      </c>
      <c r="E680" s="1">
        <f>IF(Data!E680&gt;0,Data!E680,"")</f>
        <v/>
      </c>
      <c r="F680" s="1">
        <f>IF(Data!F680&gt;0,Data!F680,"")</f>
        <v/>
      </c>
      <c r="G680" s="1">
        <f>IF(Data!G680&gt;0,Data!G680,"")</f>
        <v/>
      </c>
      <c r="H680" s="1">
        <f>IF(Data!H680&gt;0,Data!H680,"")</f>
        <v/>
      </c>
      <c r="I680" s="1">
        <f>IF(Data!I680&gt;0,Data!I680,"")</f>
        <v/>
      </c>
      <c r="J680" s="1">
        <f>IF(Data!J680&gt;0,Data!J680,"")</f>
        <v/>
      </c>
      <c r="K680" s="1">
        <f>IF(Data!K680&gt;0,Data!K680,"")</f>
        <v/>
      </c>
      <c r="L680" s="1">
        <f>IF(Data!L680&gt;0,Data!L680,"")</f>
        <v/>
      </c>
      <c r="M680" s="1">
        <f>IF(Data!M680&gt;0,Data!M680,"")</f>
        <v/>
      </c>
      <c r="N680" s="1">
        <f>IF(Data!N680&gt;0,Data!N680,"")</f>
        <v/>
      </c>
      <c r="O680" s="1">
        <f>IF(Data!O680&gt;0,Data!O680,"")</f>
        <v/>
      </c>
      <c r="P680" s="1">
        <f>IF(Data!P680&gt;0,Data!P680,"")</f>
        <v/>
      </c>
      <c r="Q680" s="1">
        <f>IF(Data!Q680&gt;0,Data!Q680,"")</f>
        <v/>
      </c>
      <c r="R680" s="1">
        <f>IF(Data!R680&gt;0,Data!R680,"")</f>
        <v/>
      </c>
      <c r="S680" s="1">
        <f>IF(Data!S680&gt;0,Data!S680,"")</f>
        <v/>
      </c>
      <c r="V680" s="3">
        <f>IF(COUNT(D680,J680,K680,L680,M680,O680)&gt;0,AVERAGE(D680,J680,K680,L680,M680,O680),"")</f>
        <v/>
      </c>
      <c r="W680" s="3">
        <f>IF(COUNT(C680,F680,G680,N680,Q680)&gt;0,AVERAGE(C680,F680,G680,N680,Q680),"")</f>
        <v/>
      </c>
      <c r="X680" s="3">
        <f>IF(COUNT(B680,E680,H680,I680,P680,R680,S680)&gt;0,AVERAGE(B680,E680,H680,I680,P680,R680,S680),"")</f>
        <v/>
      </c>
      <c r="Y680" s="3" t="n"/>
      <c r="AJ680">
        <f>IFERROR(AVERAGEIF($A$4:$A$1004,AI680,$V$4:$V$1004),"")</f>
        <v/>
      </c>
      <c r="AK680">
        <f>IFERROR(AVERAGEIF($A$4:$A$1004,AI680,$W$4:$W$1004),"")</f>
        <v/>
      </c>
      <c r="AL680">
        <f>IFERROR(AVERAGEIF($A$4:$A$1004,AI680,$X$4:$X$1004),"")</f>
        <v/>
      </c>
    </row>
    <row r="681">
      <c r="A681" s="1">
        <f>IF(Data!A681&gt;0,Data!A681,"")</f>
        <v/>
      </c>
      <c r="B681" s="1">
        <f>IF(Data!B681&gt;0,Data!B681,"")</f>
        <v/>
      </c>
      <c r="C681" s="1">
        <f>IF(Data!C681&gt;0,Data!C681,"")</f>
        <v/>
      </c>
      <c r="D681" s="1">
        <f>IF(Data!D681&gt;0,Data!D681,"")</f>
        <v/>
      </c>
      <c r="E681" s="1">
        <f>IF(Data!E681&gt;0,Data!E681,"")</f>
        <v/>
      </c>
      <c r="F681" s="1">
        <f>IF(Data!F681&gt;0,Data!F681,"")</f>
        <v/>
      </c>
      <c r="G681" s="1">
        <f>IF(Data!G681&gt;0,Data!G681,"")</f>
        <v/>
      </c>
      <c r="H681" s="1">
        <f>IF(Data!H681&gt;0,Data!H681,"")</f>
        <v/>
      </c>
      <c r="I681" s="1">
        <f>IF(Data!I681&gt;0,Data!I681,"")</f>
        <v/>
      </c>
      <c r="J681" s="1">
        <f>IF(Data!J681&gt;0,Data!J681,"")</f>
        <v/>
      </c>
      <c r="K681" s="1">
        <f>IF(Data!K681&gt;0,Data!K681,"")</f>
        <v/>
      </c>
      <c r="L681" s="1">
        <f>IF(Data!L681&gt;0,Data!L681,"")</f>
        <v/>
      </c>
      <c r="M681" s="1">
        <f>IF(Data!M681&gt;0,Data!M681,"")</f>
        <v/>
      </c>
      <c r="N681" s="1">
        <f>IF(Data!N681&gt;0,Data!N681,"")</f>
        <v/>
      </c>
      <c r="O681" s="1">
        <f>IF(Data!O681&gt;0,Data!O681,"")</f>
        <v/>
      </c>
      <c r="P681" s="1">
        <f>IF(Data!P681&gt;0,Data!P681,"")</f>
        <v/>
      </c>
      <c r="Q681" s="1">
        <f>IF(Data!Q681&gt;0,Data!Q681,"")</f>
        <v/>
      </c>
      <c r="R681" s="1">
        <f>IF(Data!R681&gt;0,Data!R681,"")</f>
        <v/>
      </c>
      <c r="S681" s="1">
        <f>IF(Data!S681&gt;0,Data!S681,"")</f>
        <v/>
      </c>
      <c r="V681" s="3">
        <f>IF(COUNT(D681,J681,K681,L681,M681,O681)&gt;0,AVERAGE(D681,J681,K681,L681,M681,O681),"")</f>
        <v/>
      </c>
      <c r="W681" s="3">
        <f>IF(COUNT(C681,F681,G681,N681,Q681)&gt;0,AVERAGE(C681,F681,G681,N681,Q681),"")</f>
        <v/>
      </c>
      <c r="X681" s="3">
        <f>IF(COUNT(B681,E681,H681,I681,P681,R681,S681)&gt;0,AVERAGE(B681,E681,H681,I681,P681,R681,S681),"")</f>
        <v/>
      </c>
      <c r="Y681" s="3" t="n"/>
      <c r="AJ681">
        <f>IFERROR(AVERAGEIF($A$4:$A$1004,AI681,$V$4:$V$1004),"")</f>
        <v/>
      </c>
      <c r="AK681">
        <f>IFERROR(AVERAGEIF($A$4:$A$1004,AI681,$W$4:$W$1004),"")</f>
        <v/>
      </c>
      <c r="AL681">
        <f>IFERROR(AVERAGEIF($A$4:$A$1004,AI681,$X$4:$X$1004),"")</f>
        <v/>
      </c>
    </row>
    <row r="682">
      <c r="A682" s="1">
        <f>IF(Data!A682&gt;0,Data!A682,"")</f>
        <v/>
      </c>
      <c r="B682" s="1">
        <f>IF(Data!B682&gt;0,Data!B682,"")</f>
        <v/>
      </c>
      <c r="C682" s="1">
        <f>IF(Data!C682&gt;0,Data!C682,"")</f>
        <v/>
      </c>
      <c r="D682" s="1">
        <f>IF(Data!D682&gt;0,Data!D682,"")</f>
        <v/>
      </c>
      <c r="E682" s="1">
        <f>IF(Data!E682&gt;0,Data!E682,"")</f>
        <v/>
      </c>
      <c r="F682" s="1">
        <f>IF(Data!F682&gt;0,Data!F682,"")</f>
        <v/>
      </c>
      <c r="G682" s="1">
        <f>IF(Data!G682&gt;0,Data!G682,"")</f>
        <v/>
      </c>
      <c r="H682" s="1">
        <f>IF(Data!H682&gt;0,Data!H682,"")</f>
        <v/>
      </c>
      <c r="I682" s="1">
        <f>IF(Data!I682&gt;0,Data!I682,"")</f>
        <v/>
      </c>
      <c r="J682" s="1">
        <f>IF(Data!J682&gt;0,Data!J682,"")</f>
        <v/>
      </c>
      <c r="K682" s="1">
        <f>IF(Data!K682&gt;0,Data!K682,"")</f>
        <v/>
      </c>
      <c r="L682" s="1">
        <f>IF(Data!L682&gt;0,Data!L682,"")</f>
        <v/>
      </c>
      <c r="M682" s="1">
        <f>IF(Data!M682&gt;0,Data!M682,"")</f>
        <v/>
      </c>
      <c r="N682" s="1">
        <f>IF(Data!N682&gt;0,Data!N682,"")</f>
        <v/>
      </c>
      <c r="O682" s="1">
        <f>IF(Data!O682&gt;0,Data!O682,"")</f>
        <v/>
      </c>
      <c r="P682" s="1">
        <f>IF(Data!P682&gt;0,Data!P682,"")</f>
        <v/>
      </c>
      <c r="Q682" s="1">
        <f>IF(Data!Q682&gt;0,Data!Q682,"")</f>
        <v/>
      </c>
      <c r="R682" s="1">
        <f>IF(Data!R682&gt;0,Data!R682,"")</f>
        <v/>
      </c>
      <c r="S682" s="1">
        <f>IF(Data!S682&gt;0,Data!S682,"")</f>
        <v/>
      </c>
      <c r="V682" s="3">
        <f>IF(COUNT(D682,J682,K682,L682,M682,O682)&gt;0,AVERAGE(D682,J682,K682,L682,M682,O682),"")</f>
        <v/>
      </c>
      <c r="W682" s="3">
        <f>IF(COUNT(C682,F682,G682,N682,Q682)&gt;0,AVERAGE(C682,F682,G682,N682,Q682),"")</f>
        <v/>
      </c>
      <c r="X682" s="3">
        <f>IF(COUNT(B682,E682,H682,I682,P682,R682,S682)&gt;0,AVERAGE(B682,E682,H682,I682,P682,R682,S682),"")</f>
        <v/>
      </c>
      <c r="Y682" s="3" t="n"/>
      <c r="AJ682">
        <f>IFERROR(AVERAGEIF($A$4:$A$1004,AI682,$V$4:$V$1004),"")</f>
        <v/>
      </c>
      <c r="AK682">
        <f>IFERROR(AVERAGEIF($A$4:$A$1004,AI682,$W$4:$W$1004),"")</f>
        <v/>
      </c>
      <c r="AL682">
        <f>IFERROR(AVERAGEIF($A$4:$A$1004,AI682,$X$4:$X$1004),"")</f>
        <v/>
      </c>
    </row>
    <row r="683">
      <c r="A683" s="1">
        <f>IF(Data!A683&gt;0,Data!A683,"")</f>
        <v/>
      </c>
      <c r="B683" s="1">
        <f>IF(Data!B683&gt;0,Data!B683,"")</f>
        <v/>
      </c>
      <c r="C683" s="1">
        <f>IF(Data!C683&gt;0,Data!C683,"")</f>
        <v/>
      </c>
      <c r="D683" s="1">
        <f>IF(Data!D683&gt;0,Data!D683,"")</f>
        <v/>
      </c>
      <c r="E683" s="1">
        <f>IF(Data!E683&gt;0,Data!E683,"")</f>
        <v/>
      </c>
      <c r="F683" s="1">
        <f>IF(Data!F683&gt;0,Data!F683,"")</f>
        <v/>
      </c>
      <c r="G683" s="1">
        <f>IF(Data!G683&gt;0,Data!G683,"")</f>
        <v/>
      </c>
      <c r="H683" s="1">
        <f>IF(Data!H683&gt;0,Data!H683,"")</f>
        <v/>
      </c>
      <c r="I683" s="1">
        <f>IF(Data!I683&gt;0,Data!I683,"")</f>
        <v/>
      </c>
      <c r="J683" s="1">
        <f>IF(Data!J683&gt;0,Data!J683,"")</f>
        <v/>
      </c>
      <c r="K683" s="1">
        <f>IF(Data!K683&gt;0,Data!K683,"")</f>
        <v/>
      </c>
      <c r="L683" s="1">
        <f>IF(Data!L683&gt;0,Data!L683,"")</f>
        <v/>
      </c>
      <c r="M683" s="1">
        <f>IF(Data!M683&gt;0,Data!M683,"")</f>
        <v/>
      </c>
      <c r="N683" s="1">
        <f>IF(Data!N683&gt;0,Data!N683,"")</f>
        <v/>
      </c>
      <c r="O683" s="1">
        <f>IF(Data!O683&gt;0,Data!O683,"")</f>
        <v/>
      </c>
      <c r="P683" s="1">
        <f>IF(Data!P683&gt;0,Data!P683,"")</f>
        <v/>
      </c>
      <c r="Q683" s="1">
        <f>IF(Data!Q683&gt;0,Data!Q683,"")</f>
        <v/>
      </c>
      <c r="R683" s="1">
        <f>IF(Data!R683&gt;0,Data!R683,"")</f>
        <v/>
      </c>
      <c r="S683" s="1">
        <f>IF(Data!S683&gt;0,Data!S683,"")</f>
        <v/>
      </c>
      <c r="V683" s="3">
        <f>IF(COUNT(D683,J683,K683,L683,M683,O683)&gt;0,AVERAGE(D683,J683,K683,L683,M683,O683),"")</f>
        <v/>
      </c>
      <c r="W683" s="3">
        <f>IF(COUNT(C683,F683,G683,N683,Q683)&gt;0,AVERAGE(C683,F683,G683,N683,Q683),"")</f>
        <v/>
      </c>
      <c r="X683" s="3">
        <f>IF(COUNT(B683,E683,H683,I683,P683,R683,S683)&gt;0,AVERAGE(B683,E683,H683,I683,P683,R683,S683),"")</f>
        <v/>
      </c>
      <c r="Y683" s="3" t="n"/>
      <c r="AJ683">
        <f>IFERROR(AVERAGEIF($A$4:$A$1004,AI683,$V$4:$V$1004),"")</f>
        <v/>
      </c>
      <c r="AK683">
        <f>IFERROR(AVERAGEIF($A$4:$A$1004,AI683,$W$4:$W$1004),"")</f>
        <v/>
      </c>
      <c r="AL683">
        <f>IFERROR(AVERAGEIF($A$4:$A$1004,AI683,$X$4:$X$1004),"")</f>
        <v/>
      </c>
    </row>
    <row r="684">
      <c r="A684" s="1">
        <f>IF(Data!A684&gt;0,Data!A684,"")</f>
        <v/>
      </c>
      <c r="B684" s="1">
        <f>IF(Data!B684&gt;0,Data!B684,"")</f>
        <v/>
      </c>
      <c r="C684" s="1">
        <f>IF(Data!C684&gt;0,Data!C684,"")</f>
        <v/>
      </c>
      <c r="D684" s="1">
        <f>IF(Data!D684&gt;0,Data!D684,"")</f>
        <v/>
      </c>
      <c r="E684" s="1">
        <f>IF(Data!E684&gt;0,Data!E684,"")</f>
        <v/>
      </c>
      <c r="F684" s="1">
        <f>IF(Data!F684&gt;0,Data!F684,"")</f>
        <v/>
      </c>
      <c r="G684" s="1">
        <f>IF(Data!G684&gt;0,Data!G684,"")</f>
        <v/>
      </c>
      <c r="H684" s="1">
        <f>IF(Data!H684&gt;0,Data!H684,"")</f>
        <v/>
      </c>
      <c r="I684" s="1">
        <f>IF(Data!I684&gt;0,Data!I684,"")</f>
        <v/>
      </c>
      <c r="J684" s="1">
        <f>IF(Data!J684&gt;0,Data!J684,"")</f>
        <v/>
      </c>
      <c r="K684" s="1">
        <f>IF(Data!K684&gt;0,Data!K684,"")</f>
        <v/>
      </c>
      <c r="L684" s="1">
        <f>IF(Data!L684&gt;0,Data!L684,"")</f>
        <v/>
      </c>
      <c r="M684" s="1">
        <f>IF(Data!M684&gt;0,Data!M684,"")</f>
        <v/>
      </c>
      <c r="N684" s="1">
        <f>IF(Data!N684&gt;0,Data!N684,"")</f>
        <v/>
      </c>
      <c r="O684" s="1">
        <f>IF(Data!O684&gt;0,Data!O684,"")</f>
        <v/>
      </c>
      <c r="P684" s="1">
        <f>IF(Data!P684&gt;0,Data!P684,"")</f>
        <v/>
      </c>
      <c r="Q684" s="1">
        <f>IF(Data!Q684&gt;0,Data!Q684,"")</f>
        <v/>
      </c>
      <c r="R684" s="1">
        <f>IF(Data!R684&gt;0,Data!R684,"")</f>
        <v/>
      </c>
      <c r="S684" s="1">
        <f>IF(Data!S684&gt;0,Data!S684,"")</f>
        <v/>
      </c>
      <c r="V684" s="3">
        <f>IF(COUNT(D684,J684,K684,L684,M684,O684)&gt;0,AVERAGE(D684,J684,K684,L684,M684,O684),"")</f>
        <v/>
      </c>
      <c r="W684" s="3">
        <f>IF(COUNT(C684,F684,G684,N684,Q684)&gt;0,AVERAGE(C684,F684,G684,N684,Q684),"")</f>
        <v/>
      </c>
      <c r="X684" s="3">
        <f>IF(COUNT(B684,E684,H684,I684,P684,R684,S684)&gt;0,AVERAGE(B684,E684,H684,I684,P684,R684,S684),"")</f>
        <v/>
      </c>
      <c r="Y684" s="3" t="n"/>
      <c r="AJ684">
        <f>IFERROR(AVERAGEIF($A$4:$A$1004,AI684,$V$4:$V$1004),"")</f>
        <v/>
      </c>
      <c r="AK684">
        <f>IFERROR(AVERAGEIF($A$4:$A$1004,AI684,$W$4:$W$1004),"")</f>
        <v/>
      </c>
      <c r="AL684">
        <f>IFERROR(AVERAGEIF($A$4:$A$1004,AI684,$X$4:$X$1004),"")</f>
        <v/>
      </c>
    </row>
    <row r="685">
      <c r="A685" s="1">
        <f>IF(Data!A685&gt;0,Data!A685,"")</f>
        <v/>
      </c>
      <c r="B685" s="1">
        <f>IF(Data!B685&gt;0,Data!B685,"")</f>
        <v/>
      </c>
      <c r="C685" s="1">
        <f>IF(Data!C685&gt;0,Data!C685,"")</f>
        <v/>
      </c>
      <c r="D685" s="1">
        <f>IF(Data!D685&gt;0,Data!D685,"")</f>
        <v/>
      </c>
      <c r="E685" s="1">
        <f>IF(Data!E685&gt;0,Data!E685,"")</f>
        <v/>
      </c>
      <c r="F685" s="1">
        <f>IF(Data!F685&gt;0,Data!F685,"")</f>
        <v/>
      </c>
      <c r="G685" s="1">
        <f>IF(Data!G685&gt;0,Data!G685,"")</f>
        <v/>
      </c>
      <c r="H685" s="1">
        <f>IF(Data!H685&gt;0,Data!H685,"")</f>
        <v/>
      </c>
      <c r="I685" s="1">
        <f>IF(Data!I685&gt;0,Data!I685,"")</f>
        <v/>
      </c>
      <c r="J685" s="1">
        <f>IF(Data!J685&gt;0,Data!J685,"")</f>
        <v/>
      </c>
      <c r="K685" s="1">
        <f>IF(Data!K685&gt;0,Data!K685,"")</f>
        <v/>
      </c>
      <c r="L685" s="1">
        <f>IF(Data!L685&gt;0,Data!L685,"")</f>
        <v/>
      </c>
      <c r="M685" s="1">
        <f>IF(Data!M685&gt;0,Data!M685,"")</f>
        <v/>
      </c>
      <c r="N685" s="1">
        <f>IF(Data!N685&gt;0,Data!N685,"")</f>
        <v/>
      </c>
      <c r="O685" s="1">
        <f>IF(Data!O685&gt;0,Data!O685,"")</f>
        <v/>
      </c>
      <c r="P685" s="1">
        <f>IF(Data!P685&gt;0,Data!P685,"")</f>
        <v/>
      </c>
      <c r="Q685" s="1">
        <f>IF(Data!Q685&gt;0,Data!Q685,"")</f>
        <v/>
      </c>
      <c r="R685" s="1">
        <f>IF(Data!R685&gt;0,Data!R685,"")</f>
        <v/>
      </c>
      <c r="S685" s="1">
        <f>IF(Data!S685&gt;0,Data!S685,"")</f>
        <v/>
      </c>
      <c r="V685" s="3">
        <f>IF(COUNT(D685,J685,K685,L685,M685,O685)&gt;0,AVERAGE(D685,J685,K685,L685,M685,O685),"")</f>
        <v/>
      </c>
      <c r="W685" s="3">
        <f>IF(COUNT(C685,F685,G685,N685,Q685)&gt;0,AVERAGE(C685,F685,G685,N685,Q685),"")</f>
        <v/>
      </c>
      <c r="X685" s="3">
        <f>IF(COUNT(B685,E685,H685,I685,P685,R685,S685)&gt;0,AVERAGE(B685,E685,H685,I685,P685,R685,S685),"")</f>
        <v/>
      </c>
      <c r="Y685" s="3" t="n"/>
      <c r="AJ685">
        <f>IFERROR(AVERAGEIF($A$4:$A$1004,AI685,$V$4:$V$1004),"")</f>
        <v/>
      </c>
      <c r="AK685">
        <f>IFERROR(AVERAGEIF($A$4:$A$1004,AI685,$W$4:$W$1004),"")</f>
        <v/>
      </c>
      <c r="AL685">
        <f>IFERROR(AVERAGEIF($A$4:$A$1004,AI685,$X$4:$X$1004),"")</f>
        <v/>
      </c>
    </row>
    <row r="686">
      <c r="A686" s="1">
        <f>IF(Data!A686&gt;0,Data!A686,"")</f>
        <v/>
      </c>
      <c r="B686" s="1">
        <f>IF(Data!B686&gt;0,Data!B686,"")</f>
        <v/>
      </c>
      <c r="C686" s="1">
        <f>IF(Data!C686&gt;0,Data!C686,"")</f>
        <v/>
      </c>
      <c r="D686" s="1">
        <f>IF(Data!D686&gt;0,Data!D686,"")</f>
        <v/>
      </c>
      <c r="E686" s="1">
        <f>IF(Data!E686&gt;0,Data!E686,"")</f>
        <v/>
      </c>
      <c r="F686" s="1">
        <f>IF(Data!F686&gt;0,Data!F686,"")</f>
        <v/>
      </c>
      <c r="G686" s="1">
        <f>IF(Data!G686&gt;0,Data!G686,"")</f>
        <v/>
      </c>
      <c r="H686" s="1">
        <f>IF(Data!H686&gt;0,Data!H686,"")</f>
        <v/>
      </c>
      <c r="I686" s="1">
        <f>IF(Data!I686&gt;0,Data!I686,"")</f>
        <v/>
      </c>
      <c r="J686" s="1">
        <f>IF(Data!J686&gt;0,Data!J686,"")</f>
        <v/>
      </c>
      <c r="K686" s="1">
        <f>IF(Data!K686&gt;0,Data!K686,"")</f>
        <v/>
      </c>
      <c r="L686" s="1">
        <f>IF(Data!L686&gt;0,Data!L686,"")</f>
        <v/>
      </c>
      <c r="M686" s="1">
        <f>IF(Data!M686&gt;0,Data!M686,"")</f>
        <v/>
      </c>
      <c r="N686" s="1">
        <f>IF(Data!N686&gt;0,Data!N686,"")</f>
        <v/>
      </c>
      <c r="O686" s="1">
        <f>IF(Data!O686&gt;0,Data!O686,"")</f>
        <v/>
      </c>
      <c r="P686" s="1">
        <f>IF(Data!P686&gt;0,Data!P686,"")</f>
        <v/>
      </c>
      <c r="Q686" s="1">
        <f>IF(Data!Q686&gt;0,Data!Q686,"")</f>
        <v/>
      </c>
      <c r="R686" s="1">
        <f>IF(Data!R686&gt;0,Data!R686,"")</f>
        <v/>
      </c>
      <c r="S686" s="1">
        <f>IF(Data!S686&gt;0,Data!S686,"")</f>
        <v/>
      </c>
      <c r="V686" s="3">
        <f>IF(COUNT(D686,J686,K686,L686,M686,O686)&gt;0,AVERAGE(D686,J686,K686,L686,M686,O686),"")</f>
        <v/>
      </c>
      <c r="W686" s="3">
        <f>IF(COUNT(C686,F686,G686,N686,Q686)&gt;0,AVERAGE(C686,F686,G686,N686,Q686),"")</f>
        <v/>
      </c>
      <c r="X686" s="3">
        <f>IF(COUNT(B686,E686,H686,I686,P686,R686,S686)&gt;0,AVERAGE(B686,E686,H686,I686,P686,R686,S686),"")</f>
        <v/>
      </c>
      <c r="Y686" s="3" t="n"/>
      <c r="AJ686">
        <f>IFERROR(AVERAGEIF($A$4:$A$1004,AI686,$V$4:$V$1004),"")</f>
        <v/>
      </c>
      <c r="AK686">
        <f>IFERROR(AVERAGEIF($A$4:$A$1004,AI686,$W$4:$W$1004),"")</f>
        <v/>
      </c>
      <c r="AL686">
        <f>IFERROR(AVERAGEIF($A$4:$A$1004,AI686,$X$4:$X$1004),"")</f>
        <v/>
      </c>
    </row>
    <row r="687">
      <c r="A687" s="1">
        <f>IF(Data!A687&gt;0,Data!A687,"")</f>
        <v/>
      </c>
      <c r="B687" s="1">
        <f>IF(Data!B687&gt;0,Data!B687,"")</f>
        <v/>
      </c>
      <c r="C687" s="1">
        <f>IF(Data!C687&gt;0,Data!C687,"")</f>
        <v/>
      </c>
      <c r="D687" s="1">
        <f>IF(Data!D687&gt;0,Data!D687,"")</f>
        <v/>
      </c>
      <c r="E687" s="1">
        <f>IF(Data!E687&gt;0,Data!E687,"")</f>
        <v/>
      </c>
      <c r="F687" s="1">
        <f>IF(Data!F687&gt;0,Data!F687,"")</f>
        <v/>
      </c>
      <c r="G687" s="1">
        <f>IF(Data!G687&gt;0,Data!G687,"")</f>
        <v/>
      </c>
      <c r="H687" s="1">
        <f>IF(Data!H687&gt;0,Data!H687,"")</f>
        <v/>
      </c>
      <c r="I687" s="1">
        <f>IF(Data!I687&gt;0,Data!I687,"")</f>
        <v/>
      </c>
      <c r="J687" s="1">
        <f>IF(Data!J687&gt;0,Data!J687,"")</f>
        <v/>
      </c>
      <c r="K687" s="1">
        <f>IF(Data!K687&gt;0,Data!K687,"")</f>
        <v/>
      </c>
      <c r="L687" s="1">
        <f>IF(Data!L687&gt;0,Data!L687,"")</f>
        <v/>
      </c>
      <c r="M687" s="1">
        <f>IF(Data!M687&gt;0,Data!M687,"")</f>
        <v/>
      </c>
      <c r="N687" s="1">
        <f>IF(Data!N687&gt;0,Data!N687,"")</f>
        <v/>
      </c>
      <c r="O687" s="1">
        <f>IF(Data!O687&gt;0,Data!O687,"")</f>
        <v/>
      </c>
      <c r="P687" s="1">
        <f>IF(Data!P687&gt;0,Data!P687,"")</f>
        <v/>
      </c>
      <c r="Q687" s="1">
        <f>IF(Data!Q687&gt;0,Data!Q687,"")</f>
        <v/>
      </c>
      <c r="R687" s="1">
        <f>IF(Data!R687&gt;0,Data!R687,"")</f>
        <v/>
      </c>
      <c r="S687" s="1">
        <f>IF(Data!S687&gt;0,Data!S687,"")</f>
        <v/>
      </c>
      <c r="V687" s="3">
        <f>IF(COUNT(D687,J687,K687,L687,M687,O687)&gt;0,AVERAGE(D687,J687,K687,L687,M687,O687),"")</f>
        <v/>
      </c>
      <c r="W687" s="3">
        <f>IF(COUNT(C687,F687,G687,N687,Q687)&gt;0,AVERAGE(C687,F687,G687,N687,Q687),"")</f>
        <v/>
      </c>
      <c r="X687" s="3">
        <f>IF(COUNT(B687,E687,H687,I687,P687,R687,S687)&gt;0,AVERAGE(B687,E687,H687,I687,P687,R687,S687),"")</f>
        <v/>
      </c>
      <c r="Y687" s="3" t="n"/>
      <c r="AJ687">
        <f>IFERROR(AVERAGEIF($A$4:$A$1004,AI687,$V$4:$V$1004),"")</f>
        <v/>
      </c>
      <c r="AK687">
        <f>IFERROR(AVERAGEIF($A$4:$A$1004,AI687,$W$4:$W$1004),"")</f>
        <v/>
      </c>
      <c r="AL687">
        <f>IFERROR(AVERAGEIF($A$4:$A$1004,AI687,$X$4:$X$1004),"")</f>
        <v/>
      </c>
    </row>
    <row r="688">
      <c r="A688" s="1">
        <f>IF(Data!A688&gt;0,Data!A688,"")</f>
        <v/>
      </c>
      <c r="B688" s="1">
        <f>IF(Data!B688&gt;0,Data!B688,"")</f>
        <v/>
      </c>
      <c r="C688" s="1">
        <f>IF(Data!C688&gt;0,Data!C688,"")</f>
        <v/>
      </c>
      <c r="D688" s="1">
        <f>IF(Data!D688&gt;0,Data!D688,"")</f>
        <v/>
      </c>
      <c r="E688" s="1">
        <f>IF(Data!E688&gt;0,Data!E688,"")</f>
        <v/>
      </c>
      <c r="F688" s="1">
        <f>IF(Data!F688&gt;0,Data!F688,"")</f>
        <v/>
      </c>
      <c r="G688" s="1">
        <f>IF(Data!G688&gt;0,Data!G688,"")</f>
        <v/>
      </c>
      <c r="H688" s="1">
        <f>IF(Data!H688&gt;0,Data!H688,"")</f>
        <v/>
      </c>
      <c r="I688" s="1">
        <f>IF(Data!I688&gt;0,Data!I688,"")</f>
        <v/>
      </c>
      <c r="J688" s="1">
        <f>IF(Data!J688&gt;0,Data!J688,"")</f>
        <v/>
      </c>
      <c r="K688" s="1">
        <f>IF(Data!K688&gt;0,Data!K688,"")</f>
        <v/>
      </c>
      <c r="L688" s="1">
        <f>IF(Data!L688&gt;0,Data!L688,"")</f>
        <v/>
      </c>
      <c r="M688" s="1">
        <f>IF(Data!M688&gt;0,Data!M688,"")</f>
        <v/>
      </c>
      <c r="N688" s="1">
        <f>IF(Data!N688&gt;0,Data!N688,"")</f>
        <v/>
      </c>
      <c r="O688" s="1">
        <f>IF(Data!O688&gt;0,Data!O688,"")</f>
        <v/>
      </c>
      <c r="P688" s="1">
        <f>IF(Data!P688&gt;0,Data!P688,"")</f>
        <v/>
      </c>
      <c r="Q688" s="1">
        <f>IF(Data!Q688&gt;0,Data!Q688,"")</f>
        <v/>
      </c>
      <c r="R688" s="1">
        <f>IF(Data!R688&gt;0,Data!R688,"")</f>
        <v/>
      </c>
      <c r="S688" s="1">
        <f>IF(Data!S688&gt;0,Data!S688,"")</f>
        <v/>
      </c>
      <c r="V688" s="3">
        <f>IF(COUNT(D688,J688,K688,L688,M688,O688)&gt;0,AVERAGE(D688,J688,K688,L688,M688,O688),"")</f>
        <v/>
      </c>
      <c r="W688" s="3">
        <f>IF(COUNT(C688,F688,G688,N688,Q688)&gt;0,AVERAGE(C688,F688,G688,N688,Q688),"")</f>
        <v/>
      </c>
      <c r="X688" s="3">
        <f>IF(COUNT(B688,E688,H688,I688,P688,R688,S688)&gt;0,AVERAGE(B688,E688,H688,I688,P688,R688,S688),"")</f>
        <v/>
      </c>
      <c r="Y688" s="3" t="n"/>
      <c r="AJ688">
        <f>IFERROR(AVERAGEIF($A$4:$A$1004,AI688,$V$4:$V$1004),"")</f>
        <v/>
      </c>
      <c r="AK688">
        <f>IFERROR(AVERAGEIF($A$4:$A$1004,AI688,$W$4:$W$1004),"")</f>
        <v/>
      </c>
      <c r="AL688">
        <f>IFERROR(AVERAGEIF($A$4:$A$1004,AI688,$X$4:$X$1004),"")</f>
        <v/>
      </c>
    </row>
    <row r="689">
      <c r="A689" s="1">
        <f>IF(Data!A689&gt;0,Data!A689,"")</f>
        <v/>
      </c>
      <c r="B689" s="1">
        <f>IF(Data!B689&gt;0,Data!B689,"")</f>
        <v/>
      </c>
      <c r="C689" s="1">
        <f>IF(Data!C689&gt;0,Data!C689,"")</f>
        <v/>
      </c>
      <c r="D689" s="1">
        <f>IF(Data!D689&gt;0,Data!D689,"")</f>
        <v/>
      </c>
      <c r="E689" s="1">
        <f>IF(Data!E689&gt;0,Data!E689,"")</f>
        <v/>
      </c>
      <c r="F689" s="1">
        <f>IF(Data!F689&gt;0,Data!F689,"")</f>
        <v/>
      </c>
      <c r="G689" s="1">
        <f>IF(Data!G689&gt;0,Data!G689,"")</f>
        <v/>
      </c>
      <c r="H689" s="1">
        <f>IF(Data!H689&gt;0,Data!H689,"")</f>
        <v/>
      </c>
      <c r="I689" s="1">
        <f>IF(Data!I689&gt;0,Data!I689,"")</f>
        <v/>
      </c>
      <c r="J689" s="1">
        <f>IF(Data!J689&gt;0,Data!J689,"")</f>
        <v/>
      </c>
      <c r="K689" s="1">
        <f>IF(Data!K689&gt;0,Data!K689,"")</f>
        <v/>
      </c>
      <c r="L689" s="1">
        <f>IF(Data!L689&gt;0,Data!L689,"")</f>
        <v/>
      </c>
      <c r="M689" s="1">
        <f>IF(Data!M689&gt;0,Data!M689,"")</f>
        <v/>
      </c>
      <c r="N689" s="1">
        <f>IF(Data!N689&gt;0,Data!N689,"")</f>
        <v/>
      </c>
      <c r="O689" s="1">
        <f>IF(Data!O689&gt;0,Data!O689,"")</f>
        <v/>
      </c>
      <c r="P689" s="1">
        <f>IF(Data!P689&gt;0,Data!P689,"")</f>
        <v/>
      </c>
      <c r="Q689" s="1">
        <f>IF(Data!Q689&gt;0,Data!Q689,"")</f>
        <v/>
      </c>
      <c r="R689" s="1">
        <f>IF(Data!R689&gt;0,Data!R689,"")</f>
        <v/>
      </c>
      <c r="S689" s="1">
        <f>IF(Data!S689&gt;0,Data!S689,"")</f>
        <v/>
      </c>
      <c r="V689" s="3">
        <f>IF(COUNT(D689,J689,K689,L689,M689,O689)&gt;0,AVERAGE(D689,J689,K689,L689,M689,O689),"")</f>
        <v/>
      </c>
      <c r="W689" s="3">
        <f>IF(COUNT(C689,F689,G689,N689,Q689)&gt;0,AVERAGE(C689,F689,G689,N689,Q689),"")</f>
        <v/>
      </c>
      <c r="X689" s="3">
        <f>IF(COUNT(B689,E689,H689,I689,P689,R689,S689)&gt;0,AVERAGE(B689,E689,H689,I689,P689,R689,S689),"")</f>
        <v/>
      </c>
      <c r="Y689" s="3" t="n"/>
      <c r="AJ689">
        <f>IFERROR(AVERAGEIF($A$4:$A$1004,AI689,$V$4:$V$1004),"")</f>
        <v/>
      </c>
      <c r="AK689">
        <f>IFERROR(AVERAGEIF($A$4:$A$1004,AI689,$W$4:$W$1004),"")</f>
        <v/>
      </c>
      <c r="AL689">
        <f>IFERROR(AVERAGEIF($A$4:$A$1004,AI689,$X$4:$X$1004),"")</f>
        <v/>
      </c>
    </row>
    <row r="690">
      <c r="A690" s="1">
        <f>IF(Data!A690&gt;0,Data!A690,"")</f>
        <v/>
      </c>
      <c r="B690" s="1">
        <f>IF(Data!B690&gt;0,Data!B690,"")</f>
        <v/>
      </c>
      <c r="C690" s="1">
        <f>IF(Data!C690&gt;0,Data!C690,"")</f>
        <v/>
      </c>
      <c r="D690" s="1">
        <f>IF(Data!D690&gt;0,Data!D690,"")</f>
        <v/>
      </c>
      <c r="E690" s="1">
        <f>IF(Data!E690&gt;0,Data!E690,"")</f>
        <v/>
      </c>
      <c r="F690" s="1">
        <f>IF(Data!F690&gt;0,Data!F690,"")</f>
        <v/>
      </c>
      <c r="G690" s="1">
        <f>IF(Data!G690&gt;0,Data!G690,"")</f>
        <v/>
      </c>
      <c r="H690" s="1">
        <f>IF(Data!H690&gt;0,Data!H690,"")</f>
        <v/>
      </c>
      <c r="I690" s="1">
        <f>IF(Data!I690&gt;0,Data!I690,"")</f>
        <v/>
      </c>
      <c r="J690" s="1">
        <f>IF(Data!J690&gt;0,Data!J690,"")</f>
        <v/>
      </c>
      <c r="K690" s="1">
        <f>IF(Data!K690&gt;0,Data!K690,"")</f>
        <v/>
      </c>
      <c r="L690" s="1">
        <f>IF(Data!L690&gt;0,Data!L690,"")</f>
        <v/>
      </c>
      <c r="M690" s="1">
        <f>IF(Data!M690&gt;0,Data!M690,"")</f>
        <v/>
      </c>
      <c r="N690" s="1">
        <f>IF(Data!N690&gt;0,Data!N690,"")</f>
        <v/>
      </c>
      <c r="O690" s="1">
        <f>IF(Data!O690&gt;0,Data!O690,"")</f>
        <v/>
      </c>
      <c r="P690" s="1">
        <f>IF(Data!P690&gt;0,Data!P690,"")</f>
        <v/>
      </c>
      <c r="Q690" s="1">
        <f>IF(Data!Q690&gt;0,Data!Q690,"")</f>
        <v/>
      </c>
      <c r="R690" s="1">
        <f>IF(Data!R690&gt;0,Data!R690,"")</f>
        <v/>
      </c>
      <c r="S690" s="1">
        <f>IF(Data!S690&gt;0,Data!S690,"")</f>
        <v/>
      </c>
      <c r="V690" s="3">
        <f>IF(COUNT(D690,J690,K690,L690,M690,O690)&gt;0,AVERAGE(D690,J690,K690,L690,M690,O690),"")</f>
        <v/>
      </c>
      <c r="W690" s="3">
        <f>IF(COUNT(C690,F690,G690,N690,Q690)&gt;0,AVERAGE(C690,F690,G690,N690,Q690),"")</f>
        <v/>
      </c>
      <c r="X690" s="3">
        <f>IF(COUNT(B690,E690,H690,I690,P690,R690,S690)&gt;0,AVERAGE(B690,E690,H690,I690,P690,R690,S690),"")</f>
        <v/>
      </c>
      <c r="Y690" s="3" t="n"/>
      <c r="AJ690">
        <f>IFERROR(AVERAGEIF($A$4:$A$1004,AI690,$V$4:$V$1004),"")</f>
        <v/>
      </c>
      <c r="AK690">
        <f>IFERROR(AVERAGEIF($A$4:$A$1004,AI690,$W$4:$W$1004),"")</f>
        <v/>
      </c>
      <c r="AL690">
        <f>IFERROR(AVERAGEIF($A$4:$A$1004,AI690,$X$4:$X$1004),"")</f>
        <v/>
      </c>
    </row>
    <row r="691">
      <c r="A691" s="1">
        <f>IF(Data!A691&gt;0,Data!A691,"")</f>
        <v/>
      </c>
      <c r="B691" s="1">
        <f>IF(Data!B691&gt;0,Data!B691,"")</f>
        <v/>
      </c>
      <c r="C691" s="1">
        <f>IF(Data!C691&gt;0,Data!C691,"")</f>
        <v/>
      </c>
      <c r="D691" s="1">
        <f>IF(Data!D691&gt;0,Data!D691,"")</f>
        <v/>
      </c>
      <c r="E691" s="1">
        <f>IF(Data!E691&gt;0,Data!E691,"")</f>
        <v/>
      </c>
      <c r="F691" s="1">
        <f>IF(Data!F691&gt;0,Data!F691,"")</f>
        <v/>
      </c>
      <c r="G691" s="1">
        <f>IF(Data!G691&gt;0,Data!G691,"")</f>
        <v/>
      </c>
      <c r="H691" s="1">
        <f>IF(Data!H691&gt;0,Data!H691,"")</f>
        <v/>
      </c>
      <c r="I691" s="1">
        <f>IF(Data!I691&gt;0,Data!I691,"")</f>
        <v/>
      </c>
      <c r="J691" s="1">
        <f>IF(Data!J691&gt;0,Data!J691,"")</f>
        <v/>
      </c>
      <c r="K691" s="1">
        <f>IF(Data!K691&gt;0,Data!K691,"")</f>
        <v/>
      </c>
      <c r="L691" s="1">
        <f>IF(Data!L691&gt;0,Data!L691,"")</f>
        <v/>
      </c>
      <c r="M691" s="1">
        <f>IF(Data!M691&gt;0,Data!M691,"")</f>
        <v/>
      </c>
      <c r="N691" s="1">
        <f>IF(Data!N691&gt;0,Data!N691,"")</f>
        <v/>
      </c>
      <c r="O691" s="1">
        <f>IF(Data!O691&gt;0,Data!O691,"")</f>
        <v/>
      </c>
      <c r="P691" s="1">
        <f>IF(Data!P691&gt;0,Data!P691,"")</f>
        <v/>
      </c>
      <c r="Q691" s="1">
        <f>IF(Data!Q691&gt;0,Data!Q691,"")</f>
        <v/>
      </c>
      <c r="R691" s="1">
        <f>IF(Data!R691&gt;0,Data!R691,"")</f>
        <v/>
      </c>
      <c r="S691" s="1">
        <f>IF(Data!S691&gt;0,Data!S691,"")</f>
        <v/>
      </c>
      <c r="V691" s="3">
        <f>IF(COUNT(D691,J691,K691,L691,M691,O691)&gt;0,AVERAGE(D691,J691,K691,L691,M691,O691),"")</f>
        <v/>
      </c>
      <c r="W691" s="3">
        <f>IF(COUNT(C691,F691,G691,N691,Q691)&gt;0,AVERAGE(C691,F691,G691,N691,Q691),"")</f>
        <v/>
      </c>
      <c r="X691" s="3">
        <f>IF(COUNT(B691,E691,H691,I691,P691,R691,S691)&gt;0,AVERAGE(B691,E691,H691,I691,P691,R691,S691),"")</f>
        <v/>
      </c>
      <c r="Y691" s="3" t="n"/>
      <c r="AJ691">
        <f>IFERROR(AVERAGEIF($A$4:$A$1004,AI691,$V$4:$V$1004),"")</f>
        <v/>
      </c>
      <c r="AK691">
        <f>IFERROR(AVERAGEIF($A$4:$A$1004,AI691,$W$4:$W$1004),"")</f>
        <v/>
      </c>
      <c r="AL691">
        <f>IFERROR(AVERAGEIF($A$4:$A$1004,AI691,$X$4:$X$1004),"")</f>
        <v/>
      </c>
    </row>
    <row r="692">
      <c r="A692" s="1">
        <f>IF(Data!A692&gt;0,Data!A692,"")</f>
        <v/>
      </c>
      <c r="B692" s="1">
        <f>IF(Data!B692&gt;0,Data!B692,"")</f>
        <v/>
      </c>
      <c r="C692" s="1">
        <f>IF(Data!C692&gt;0,Data!C692,"")</f>
        <v/>
      </c>
      <c r="D692" s="1">
        <f>IF(Data!D692&gt;0,Data!D692,"")</f>
        <v/>
      </c>
      <c r="E692" s="1">
        <f>IF(Data!E692&gt;0,Data!E692,"")</f>
        <v/>
      </c>
      <c r="F692" s="1">
        <f>IF(Data!F692&gt;0,Data!F692,"")</f>
        <v/>
      </c>
      <c r="G692" s="1">
        <f>IF(Data!G692&gt;0,Data!G692,"")</f>
        <v/>
      </c>
      <c r="H692" s="1">
        <f>IF(Data!H692&gt;0,Data!H692,"")</f>
        <v/>
      </c>
      <c r="I692" s="1">
        <f>IF(Data!I692&gt;0,Data!I692,"")</f>
        <v/>
      </c>
      <c r="J692" s="1">
        <f>IF(Data!J692&gt;0,Data!J692,"")</f>
        <v/>
      </c>
      <c r="K692" s="1">
        <f>IF(Data!K692&gt;0,Data!K692,"")</f>
        <v/>
      </c>
      <c r="L692" s="1">
        <f>IF(Data!L692&gt;0,Data!L692,"")</f>
        <v/>
      </c>
      <c r="M692" s="1">
        <f>IF(Data!M692&gt;0,Data!M692,"")</f>
        <v/>
      </c>
      <c r="N692" s="1">
        <f>IF(Data!N692&gt;0,Data!N692,"")</f>
        <v/>
      </c>
      <c r="O692" s="1">
        <f>IF(Data!O692&gt;0,Data!O692,"")</f>
        <v/>
      </c>
      <c r="P692" s="1">
        <f>IF(Data!P692&gt;0,Data!P692,"")</f>
        <v/>
      </c>
      <c r="Q692" s="1">
        <f>IF(Data!Q692&gt;0,Data!Q692,"")</f>
        <v/>
      </c>
      <c r="R692" s="1">
        <f>IF(Data!R692&gt;0,Data!R692,"")</f>
        <v/>
      </c>
      <c r="S692" s="1">
        <f>IF(Data!S692&gt;0,Data!S692,"")</f>
        <v/>
      </c>
      <c r="V692" s="3">
        <f>IF(COUNT(D692,J692,K692,L692,M692,O692)&gt;0,AVERAGE(D692,J692,K692,L692,M692,O692),"")</f>
        <v/>
      </c>
      <c r="W692" s="3">
        <f>IF(COUNT(C692,F692,G692,N692,Q692)&gt;0,AVERAGE(C692,F692,G692,N692,Q692),"")</f>
        <v/>
      </c>
      <c r="X692" s="3">
        <f>IF(COUNT(B692,E692,H692,I692,P692,R692,S692)&gt;0,AVERAGE(B692,E692,H692,I692,P692,R692,S692),"")</f>
        <v/>
      </c>
      <c r="Y692" s="3" t="n"/>
      <c r="AJ692">
        <f>IFERROR(AVERAGEIF($A$4:$A$1004,AI692,$V$4:$V$1004),"")</f>
        <v/>
      </c>
      <c r="AK692">
        <f>IFERROR(AVERAGEIF($A$4:$A$1004,AI692,$W$4:$W$1004),"")</f>
        <v/>
      </c>
      <c r="AL692">
        <f>IFERROR(AVERAGEIF($A$4:$A$1004,AI692,$X$4:$X$1004),"")</f>
        <v/>
      </c>
    </row>
    <row r="693">
      <c r="A693" s="1">
        <f>IF(Data!A693&gt;0,Data!A693,"")</f>
        <v/>
      </c>
      <c r="B693" s="1">
        <f>IF(Data!B693&gt;0,Data!B693,"")</f>
        <v/>
      </c>
      <c r="C693" s="1">
        <f>IF(Data!C693&gt;0,Data!C693,"")</f>
        <v/>
      </c>
      <c r="D693" s="1">
        <f>IF(Data!D693&gt;0,Data!D693,"")</f>
        <v/>
      </c>
      <c r="E693" s="1">
        <f>IF(Data!E693&gt;0,Data!E693,"")</f>
        <v/>
      </c>
      <c r="F693" s="1">
        <f>IF(Data!F693&gt;0,Data!F693,"")</f>
        <v/>
      </c>
      <c r="G693" s="1">
        <f>IF(Data!G693&gt;0,Data!G693,"")</f>
        <v/>
      </c>
      <c r="H693" s="1">
        <f>IF(Data!H693&gt;0,Data!H693,"")</f>
        <v/>
      </c>
      <c r="I693" s="1">
        <f>IF(Data!I693&gt;0,Data!I693,"")</f>
        <v/>
      </c>
      <c r="J693" s="1">
        <f>IF(Data!J693&gt;0,Data!J693,"")</f>
        <v/>
      </c>
      <c r="K693" s="1">
        <f>IF(Data!K693&gt;0,Data!K693,"")</f>
        <v/>
      </c>
      <c r="L693" s="1">
        <f>IF(Data!L693&gt;0,Data!L693,"")</f>
        <v/>
      </c>
      <c r="M693" s="1">
        <f>IF(Data!M693&gt;0,Data!M693,"")</f>
        <v/>
      </c>
      <c r="N693" s="1">
        <f>IF(Data!N693&gt;0,Data!N693,"")</f>
        <v/>
      </c>
      <c r="O693" s="1">
        <f>IF(Data!O693&gt;0,Data!O693,"")</f>
        <v/>
      </c>
      <c r="P693" s="1">
        <f>IF(Data!P693&gt;0,Data!P693,"")</f>
        <v/>
      </c>
      <c r="Q693" s="1">
        <f>IF(Data!Q693&gt;0,Data!Q693,"")</f>
        <v/>
      </c>
      <c r="R693" s="1">
        <f>IF(Data!R693&gt;0,Data!R693,"")</f>
        <v/>
      </c>
      <c r="S693" s="1">
        <f>IF(Data!S693&gt;0,Data!S693,"")</f>
        <v/>
      </c>
      <c r="V693" s="3">
        <f>IF(COUNT(D693,J693,K693,L693,M693,O693)&gt;0,AVERAGE(D693,J693,K693,L693,M693,O693),"")</f>
        <v/>
      </c>
      <c r="W693" s="3">
        <f>IF(COUNT(C693,F693,G693,N693,Q693)&gt;0,AVERAGE(C693,F693,G693,N693,Q693),"")</f>
        <v/>
      </c>
      <c r="X693" s="3">
        <f>IF(COUNT(B693,E693,H693,I693,P693,R693,S693)&gt;0,AVERAGE(B693,E693,H693,I693,P693,R693,S693),"")</f>
        <v/>
      </c>
      <c r="Y693" s="3" t="n"/>
      <c r="AJ693">
        <f>IFERROR(AVERAGEIF($A$4:$A$1004,AI693,$V$4:$V$1004),"")</f>
        <v/>
      </c>
      <c r="AK693">
        <f>IFERROR(AVERAGEIF($A$4:$A$1004,AI693,$W$4:$W$1004),"")</f>
        <v/>
      </c>
      <c r="AL693">
        <f>IFERROR(AVERAGEIF($A$4:$A$1004,AI693,$X$4:$X$1004),"")</f>
        <v/>
      </c>
    </row>
    <row r="694">
      <c r="A694" s="1">
        <f>IF(Data!A694&gt;0,Data!A694,"")</f>
        <v/>
      </c>
      <c r="B694" s="1">
        <f>IF(Data!B694&gt;0,Data!B694,"")</f>
        <v/>
      </c>
      <c r="C694" s="1">
        <f>IF(Data!C694&gt;0,Data!C694,"")</f>
        <v/>
      </c>
      <c r="D694" s="1">
        <f>IF(Data!D694&gt;0,Data!D694,"")</f>
        <v/>
      </c>
      <c r="E694" s="1">
        <f>IF(Data!E694&gt;0,Data!E694,"")</f>
        <v/>
      </c>
      <c r="F694" s="1">
        <f>IF(Data!F694&gt;0,Data!F694,"")</f>
        <v/>
      </c>
      <c r="G694" s="1">
        <f>IF(Data!G694&gt;0,Data!G694,"")</f>
        <v/>
      </c>
      <c r="H694" s="1">
        <f>IF(Data!H694&gt;0,Data!H694,"")</f>
        <v/>
      </c>
      <c r="I694" s="1">
        <f>IF(Data!I694&gt;0,Data!I694,"")</f>
        <v/>
      </c>
      <c r="J694" s="1">
        <f>IF(Data!J694&gt;0,Data!J694,"")</f>
        <v/>
      </c>
      <c r="K694" s="1">
        <f>IF(Data!K694&gt;0,Data!K694,"")</f>
        <v/>
      </c>
      <c r="L694" s="1">
        <f>IF(Data!L694&gt;0,Data!L694,"")</f>
        <v/>
      </c>
      <c r="M694" s="1">
        <f>IF(Data!M694&gt;0,Data!M694,"")</f>
        <v/>
      </c>
      <c r="N694" s="1">
        <f>IF(Data!N694&gt;0,Data!N694,"")</f>
        <v/>
      </c>
      <c r="O694" s="1">
        <f>IF(Data!O694&gt;0,Data!O694,"")</f>
        <v/>
      </c>
      <c r="P694" s="1">
        <f>IF(Data!P694&gt;0,Data!P694,"")</f>
        <v/>
      </c>
      <c r="Q694" s="1">
        <f>IF(Data!Q694&gt;0,Data!Q694,"")</f>
        <v/>
      </c>
      <c r="R694" s="1">
        <f>IF(Data!R694&gt;0,Data!R694,"")</f>
        <v/>
      </c>
      <c r="S694" s="1">
        <f>IF(Data!S694&gt;0,Data!S694,"")</f>
        <v/>
      </c>
      <c r="V694" s="3">
        <f>IF(COUNT(D694,J694,K694,L694,M694,O694)&gt;0,AVERAGE(D694,J694,K694,L694,M694,O694),"")</f>
        <v/>
      </c>
      <c r="W694" s="3">
        <f>IF(COUNT(C694,F694,G694,N694,Q694)&gt;0,AVERAGE(C694,F694,G694,N694,Q694),"")</f>
        <v/>
      </c>
      <c r="X694" s="3">
        <f>IF(COUNT(B694,E694,H694,I694,P694,R694,S694)&gt;0,AVERAGE(B694,E694,H694,I694,P694,R694,S694),"")</f>
        <v/>
      </c>
      <c r="Y694" s="3" t="n"/>
      <c r="AJ694">
        <f>IFERROR(AVERAGEIF($A$4:$A$1004,AI694,$V$4:$V$1004),"")</f>
        <v/>
      </c>
      <c r="AK694">
        <f>IFERROR(AVERAGEIF($A$4:$A$1004,AI694,$W$4:$W$1004),"")</f>
        <v/>
      </c>
      <c r="AL694">
        <f>IFERROR(AVERAGEIF($A$4:$A$1004,AI694,$X$4:$X$1004),"")</f>
        <v/>
      </c>
    </row>
    <row r="695">
      <c r="A695" s="1">
        <f>IF(Data!A695&gt;0,Data!A695,"")</f>
        <v/>
      </c>
      <c r="B695" s="1">
        <f>IF(Data!B695&gt;0,Data!B695,"")</f>
        <v/>
      </c>
      <c r="C695" s="1">
        <f>IF(Data!C695&gt;0,Data!C695,"")</f>
        <v/>
      </c>
      <c r="D695" s="1">
        <f>IF(Data!D695&gt;0,Data!D695,"")</f>
        <v/>
      </c>
      <c r="E695" s="1">
        <f>IF(Data!E695&gt;0,Data!E695,"")</f>
        <v/>
      </c>
      <c r="F695" s="1">
        <f>IF(Data!F695&gt;0,Data!F695,"")</f>
        <v/>
      </c>
      <c r="G695" s="1">
        <f>IF(Data!G695&gt;0,Data!G695,"")</f>
        <v/>
      </c>
      <c r="H695" s="1">
        <f>IF(Data!H695&gt;0,Data!H695,"")</f>
        <v/>
      </c>
      <c r="I695" s="1">
        <f>IF(Data!I695&gt;0,Data!I695,"")</f>
        <v/>
      </c>
      <c r="J695" s="1">
        <f>IF(Data!J695&gt;0,Data!J695,"")</f>
        <v/>
      </c>
      <c r="K695" s="1">
        <f>IF(Data!K695&gt;0,Data!K695,"")</f>
        <v/>
      </c>
      <c r="L695" s="1">
        <f>IF(Data!L695&gt;0,Data!L695,"")</f>
        <v/>
      </c>
      <c r="M695" s="1">
        <f>IF(Data!M695&gt;0,Data!M695,"")</f>
        <v/>
      </c>
      <c r="N695" s="1">
        <f>IF(Data!N695&gt;0,Data!N695,"")</f>
        <v/>
      </c>
      <c r="O695" s="1">
        <f>IF(Data!O695&gt;0,Data!O695,"")</f>
        <v/>
      </c>
      <c r="P695" s="1">
        <f>IF(Data!P695&gt;0,Data!P695,"")</f>
        <v/>
      </c>
      <c r="Q695" s="1">
        <f>IF(Data!Q695&gt;0,Data!Q695,"")</f>
        <v/>
      </c>
      <c r="R695" s="1">
        <f>IF(Data!R695&gt;0,Data!R695,"")</f>
        <v/>
      </c>
      <c r="S695" s="1">
        <f>IF(Data!S695&gt;0,Data!S695,"")</f>
        <v/>
      </c>
      <c r="V695" s="3">
        <f>IF(COUNT(D695,J695,K695,L695,M695,O695)&gt;0,AVERAGE(D695,J695,K695,L695,M695,O695),"")</f>
        <v/>
      </c>
      <c r="W695" s="3">
        <f>IF(COUNT(C695,F695,G695,N695,Q695)&gt;0,AVERAGE(C695,F695,G695,N695,Q695),"")</f>
        <v/>
      </c>
      <c r="X695" s="3">
        <f>IF(COUNT(B695,E695,H695,I695,P695,R695,S695)&gt;0,AVERAGE(B695,E695,H695,I695,P695,R695,S695),"")</f>
        <v/>
      </c>
      <c r="Y695" s="3" t="n"/>
      <c r="AJ695">
        <f>IFERROR(AVERAGEIF($A$4:$A$1004,AI695,$V$4:$V$1004),"")</f>
        <v/>
      </c>
      <c r="AK695">
        <f>IFERROR(AVERAGEIF($A$4:$A$1004,AI695,$W$4:$W$1004),"")</f>
        <v/>
      </c>
      <c r="AL695">
        <f>IFERROR(AVERAGEIF($A$4:$A$1004,AI695,$X$4:$X$1004),"")</f>
        <v/>
      </c>
    </row>
    <row r="696">
      <c r="A696" s="1">
        <f>IF(Data!A696&gt;0,Data!A696,"")</f>
        <v/>
      </c>
      <c r="B696" s="1">
        <f>IF(Data!B696&gt;0,Data!B696,"")</f>
        <v/>
      </c>
      <c r="C696" s="1">
        <f>IF(Data!C696&gt;0,Data!C696,"")</f>
        <v/>
      </c>
      <c r="D696" s="1">
        <f>IF(Data!D696&gt;0,Data!D696,"")</f>
        <v/>
      </c>
      <c r="E696" s="1">
        <f>IF(Data!E696&gt;0,Data!E696,"")</f>
        <v/>
      </c>
      <c r="F696" s="1">
        <f>IF(Data!F696&gt;0,Data!F696,"")</f>
        <v/>
      </c>
      <c r="G696" s="1">
        <f>IF(Data!G696&gt;0,Data!G696,"")</f>
        <v/>
      </c>
      <c r="H696" s="1">
        <f>IF(Data!H696&gt;0,Data!H696,"")</f>
        <v/>
      </c>
      <c r="I696" s="1">
        <f>IF(Data!I696&gt;0,Data!I696,"")</f>
        <v/>
      </c>
      <c r="J696" s="1">
        <f>IF(Data!J696&gt;0,Data!J696,"")</f>
        <v/>
      </c>
      <c r="K696" s="1">
        <f>IF(Data!K696&gt;0,Data!K696,"")</f>
        <v/>
      </c>
      <c r="L696" s="1">
        <f>IF(Data!L696&gt;0,Data!L696,"")</f>
        <v/>
      </c>
      <c r="M696" s="1">
        <f>IF(Data!M696&gt;0,Data!M696,"")</f>
        <v/>
      </c>
      <c r="N696" s="1">
        <f>IF(Data!N696&gt;0,Data!N696,"")</f>
        <v/>
      </c>
      <c r="O696" s="1">
        <f>IF(Data!O696&gt;0,Data!O696,"")</f>
        <v/>
      </c>
      <c r="P696" s="1">
        <f>IF(Data!P696&gt;0,Data!P696,"")</f>
        <v/>
      </c>
      <c r="Q696" s="1">
        <f>IF(Data!Q696&gt;0,Data!Q696,"")</f>
        <v/>
      </c>
      <c r="R696" s="1">
        <f>IF(Data!R696&gt;0,Data!R696,"")</f>
        <v/>
      </c>
      <c r="S696" s="1">
        <f>IF(Data!S696&gt;0,Data!S696,"")</f>
        <v/>
      </c>
      <c r="V696" s="3">
        <f>IF(COUNT(D696,J696,K696,L696,M696,O696)&gt;0,AVERAGE(D696,J696,K696,L696,M696,O696),"")</f>
        <v/>
      </c>
      <c r="W696" s="3">
        <f>IF(COUNT(C696,F696,G696,N696,Q696)&gt;0,AVERAGE(C696,F696,G696,N696,Q696),"")</f>
        <v/>
      </c>
      <c r="X696" s="3">
        <f>IF(COUNT(B696,E696,H696,I696,P696,R696,S696)&gt;0,AVERAGE(B696,E696,H696,I696,P696,R696,S696),"")</f>
        <v/>
      </c>
      <c r="Y696" s="3" t="n"/>
      <c r="AJ696">
        <f>IFERROR(AVERAGEIF($A$4:$A$1004,AI696,$V$4:$V$1004),"")</f>
        <v/>
      </c>
      <c r="AK696">
        <f>IFERROR(AVERAGEIF($A$4:$A$1004,AI696,$W$4:$W$1004),"")</f>
        <v/>
      </c>
      <c r="AL696">
        <f>IFERROR(AVERAGEIF($A$4:$A$1004,AI696,$X$4:$X$1004),"")</f>
        <v/>
      </c>
    </row>
    <row r="697">
      <c r="A697" s="1">
        <f>IF(Data!A697&gt;0,Data!A697,"")</f>
        <v/>
      </c>
      <c r="B697" s="1">
        <f>IF(Data!B697&gt;0,Data!B697,"")</f>
        <v/>
      </c>
      <c r="C697" s="1">
        <f>IF(Data!C697&gt;0,Data!C697,"")</f>
        <v/>
      </c>
      <c r="D697" s="1">
        <f>IF(Data!D697&gt;0,Data!D697,"")</f>
        <v/>
      </c>
      <c r="E697" s="1">
        <f>IF(Data!E697&gt;0,Data!E697,"")</f>
        <v/>
      </c>
      <c r="F697" s="1">
        <f>IF(Data!F697&gt;0,Data!F697,"")</f>
        <v/>
      </c>
      <c r="G697" s="1">
        <f>IF(Data!G697&gt;0,Data!G697,"")</f>
        <v/>
      </c>
      <c r="H697" s="1">
        <f>IF(Data!H697&gt;0,Data!H697,"")</f>
        <v/>
      </c>
      <c r="I697" s="1">
        <f>IF(Data!I697&gt;0,Data!I697,"")</f>
        <v/>
      </c>
      <c r="J697" s="1">
        <f>IF(Data!J697&gt;0,Data!J697,"")</f>
        <v/>
      </c>
      <c r="K697" s="1">
        <f>IF(Data!K697&gt;0,Data!K697,"")</f>
        <v/>
      </c>
      <c r="L697" s="1">
        <f>IF(Data!L697&gt;0,Data!L697,"")</f>
        <v/>
      </c>
      <c r="M697" s="1">
        <f>IF(Data!M697&gt;0,Data!M697,"")</f>
        <v/>
      </c>
      <c r="N697" s="1">
        <f>IF(Data!N697&gt;0,Data!N697,"")</f>
        <v/>
      </c>
      <c r="O697" s="1">
        <f>IF(Data!O697&gt;0,Data!O697,"")</f>
        <v/>
      </c>
      <c r="P697" s="1">
        <f>IF(Data!P697&gt;0,Data!P697,"")</f>
        <v/>
      </c>
      <c r="Q697" s="1">
        <f>IF(Data!Q697&gt;0,Data!Q697,"")</f>
        <v/>
      </c>
      <c r="R697" s="1">
        <f>IF(Data!R697&gt;0,Data!R697,"")</f>
        <v/>
      </c>
      <c r="S697" s="1">
        <f>IF(Data!S697&gt;0,Data!S697,"")</f>
        <v/>
      </c>
      <c r="V697" s="3">
        <f>IF(COUNT(D697,J697,K697,L697,M697,O697)&gt;0,AVERAGE(D697,J697,K697,L697,M697,O697),"")</f>
        <v/>
      </c>
      <c r="W697" s="3">
        <f>IF(COUNT(C697,F697,G697,N697,Q697)&gt;0,AVERAGE(C697,F697,G697,N697,Q697),"")</f>
        <v/>
      </c>
      <c r="X697" s="3">
        <f>IF(COUNT(B697,E697,H697,I697,P697,R697,S697)&gt;0,AVERAGE(B697,E697,H697,I697,P697,R697,S697),"")</f>
        <v/>
      </c>
      <c r="Y697" s="3" t="n"/>
      <c r="AJ697">
        <f>IFERROR(AVERAGEIF($A$4:$A$1004,AI697,$V$4:$V$1004),"")</f>
        <v/>
      </c>
      <c r="AK697">
        <f>IFERROR(AVERAGEIF($A$4:$A$1004,AI697,$W$4:$W$1004),"")</f>
        <v/>
      </c>
      <c r="AL697">
        <f>IFERROR(AVERAGEIF($A$4:$A$1004,AI697,$X$4:$X$1004),"")</f>
        <v/>
      </c>
    </row>
    <row r="698">
      <c r="A698" s="1">
        <f>IF(Data!A698&gt;0,Data!A698,"")</f>
        <v/>
      </c>
      <c r="B698" s="1">
        <f>IF(Data!B698&gt;0,Data!B698,"")</f>
        <v/>
      </c>
      <c r="C698" s="1">
        <f>IF(Data!C698&gt;0,Data!C698,"")</f>
        <v/>
      </c>
      <c r="D698" s="1">
        <f>IF(Data!D698&gt;0,Data!D698,"")</f>
        <v/>
      </c>
      <c r="E698" s="1">
        <f>IF(Data!E698&gt;0,Data!E698,"")</f>
        <v/>
      </c>
      <c r="F698" s="1">
        <f>IF(Data!F698&gt;0,Data!F698,"")</f>
        <v/>
      </c>
      <c r="G698" s="1">
        <f>IF(Data!G698&gt;0,Data!G698,"")</f>
        <v/>
      </c>
      <c r="H698" s="1">
        <f>IF(Data!H698&gt;0,Data!H698,"")</f>
        <v/>
      </c>
      <c r="I698" s="1">
        <f>IF(Data!I698&gt;0,Data!I698,"")</f>
        <v/>
      </c>
      <c r="J698" s="1">
        <f>IF(Data!J698&gt;0,Data!J698,"")</f>
        <v/>
      </c>
      <c r="K698" s="1">
        <f>IF(Data!K698&gt;0,Data!K698,"")</f>
        <v/>
      </c>
      <c r="L698" s="1">
        <f>IF(Data!L698&gt;0,Data!L698,"")</f>
        <v/>
      </c>
      <c r="M698" s="1">
        <f>IF(Data!M698&gt;0,Data!M698,"")</f>
        <v/>
      </c>
      <c r="N698" s="1">
        <f>IF(Data!N698&gt;0,Data!N698,"")</f>
        <v/>
      </c>
      <c r="O698" s="1">
        <f>IF(Data!O698&gt;0,Data!O698,"")</f>
        <v/>
      </c>
      <c r="P698" s="1">
        <f>IF(Data!P698&gt;0,Data!P698,"")</f>
        <v/>
      </c>
      <c r="Q698" s="1">
        <f>IF(Data!Q698&gt;0,Data!Q698,"")</f>
        <v/>
      </c>
      <c r="R698" s="1">
        <f>IF(Data!R698&gt;0,Data!R698,"")</f>
        <v/>
      </c>
      <c r="S698" s="1">
        <f>IF(Data!S698&gt;0,Data!S698,"")</f>
        <v/>
      </c>
      <c r="V698" s="3">
        <f>IF(COUNT(D698,J698,K698,L698,M698,O698)&gt;0,AVERAGE(D698,J698,K698,L698,M698,O698),"")</f>
        <v/>
      </c>
      <c r="W698" s="3">
        <f>IF(COUNT(C698,F698,G698,N698,Q698)&gt;0,AVERAGE(C698,F698,G698,N698,Q698),"")</f>
        <v/>
      </c>
      <c r="X698" s="3">
        <f>IF(COUNT(B698,E698,H698,I698,P698,R698,S698)&gt;0,AVERAGE(B698,E698,H698,I698,P698,R698,S698),"")</f>
        <v/>
      </c>
      <c r="Y698" s="3" t="n"/>
      <c r="AJ698">
        <f>IFERROR(AVERAGEIF($A$4:$A$1004,AI698,$V$4:$V$1004),"")</f>
        <v/>
      </c>
      <c r="AK698">
        <f>IFERROR(AVERAGEIF($A$4:$A$1004,AI698,$W$4:$W$1004),"")</f>
        <v/>
      </c>
      <c r="AL698">
        <f>IFERROR(AVERAGEIF($A$4:$A$1004,AI698,$X$4:$X$1004),"")</f>
        <v/>
      </c>
    </row>
    <row r="699">
      <c r="A699" s="1">
        <f>IF(Data!A699&gt;0,Data!A699,"")</f>
        <v/>
      </c>
      <c r="B699" s="1">
        <f>IF(Data!B699&gt;0,Data!B699,"")</f>
        <v/>
      </c>
      <c r="C699" s="1">
        <f>IF(Data!C699&gt;0,Data!C699,"")</f>
        <v/>
      </c>
      <c r="D699" s="1">
        <f>IF(Data!D699&gt;0,Data!D699,"")</f>
        <v/>
      </c>
      <c r="E699" s="1">
        <f>IF(Data!E699&gt;0,Data!E699,"")</f>
        <v/>
      </c>
      <c r="F699" s="1">
        <f>IF(Data!F699&gt;0,Data!F699,"")</f>
        <v/>
      </c>
      <c r="G699" s="1">
        <f>IF(Data!G699&gt;0,Data!G699,"")</f>
        <v/>
      </c>
      <c r="H699" s="1">
        <f>IF(Data!H699&gt;0,Data!H699,"")</f>
        <v/>
      </c>
      <c r="I699" s="1">
        <f>IF(Data!I699&gt;0,Data!I699,"")</f>
        <v/>
      </c>
      <c r="J699" s="1">
        <f>IF(Data!J699&gt;0,Data!J699,"")</f>
        <v/>
      </c>
      <c r="K699" s="1">
        <f>IF(Data!K699&gt;0,Data!K699,"")</f>
        <v/>
      </c>
      <c r="L699" s="1">
        <f>IF(Data!L699&gt;0,Data!L699,"")</f>
        <v/>
      </c>
      <c r="M699" s="1">
        <f>IF(Data!M699&gt;0,Data!M699,"")</f>
        <v/>
      </c>
      <c r="N699" s="1">
        <f>IF(Data!N699&gt;0,Data!N699,"")</f>
        <v/>
      </c>
      <c r="O699" s="1">
        <f>IF(Data!O699&gt;0,Data!O699,"")</f>
        <v/>
      </c>
      <c r="P699" s="1">
        <f>IF(Data!P699&gt;0,Data!P699,"")</f>
        <v/>
      </c>
      <c r="Q699" s="1">
        <f>IF(Data!Q699&gt;0,Data!Q699,"")</f>
        <v/>
      </c>
      <c r="R699" s="1">
        <f>IF(Data!R699&gt;0,Data!R699,"")</f>
        <v/>
      </c>
      <c r="S699" s="1">
        <f>IF(Data!S699&gt;0,Data!S699,"")</f>
        <v/>
      </c>
      <c r="V699" s="3">
        <f>IF(COUNT(D699,J699,K699,L699,M699,O699)&gt;0,AVERAGE(D699,J699,K699,L699,M699,O699),"")</f>
        <v/>
      </c>
      <c r="W699" s="3">
        <f>IF(COUNT(C699,F699,G699,N699,Q699)&gt;0,AVERAGE(C699,F699,G699,N699,Q699),"")</f>
        <v/>
      </c>
      <c r="X699" s="3">
        <f>IF(COUNT(B699,E699,H699,I699,P699,R699,S699)&gt;0,AVERAGE(B699,E699,H699,I699,P699,R699,S699),"")</f>
        <v/>
      </c>
      <c r="Y699" s="3" t="n"/>
      <c r="AJ699">
        <f>IFERROR(AVERAGEIF($A$4:$A$1004,AI699,$V$4:$V$1004),"")</f>
        <v/>
      </c>
      <c r="AK699">
        <f>IFERROR(AVERAGEIF($A$4:$A$1004,AI699,$W$4:$W$1004),"")</f>
        <v/>
      </c>
      <c r="AL699">
        <f>IFERROR(AVERAGEIF($A$4:$A$1004,AI699,$X$4:$X$1004),"")</f>
        <v/>
      </c>
    </row>
    <row r="700">
      <c r="A700" s="1">
        <f>IF(Data!A700&gt;0,Data!A700,"")</f>
        <v/>
      </c>
      <c r="B700" s="1">
        <f>IF(Data!B700&gt;0,Data!B700,"")</f>
        <v/>
      </c>
      <c r="C700" s="1">
        <f>IF(Data!C700&gt;0,Data!C700,"")</f>
        <v/>
      </c>
      <c r="D700" s="1">
        <f>IF(Data!D700&gt;0,Data!D700,"")</f>
        <v/>
      </c>
      <c r="E700" s="1">
        <f>IF(Data!E700&gt;0,Data!E700,"")</f>
        <v/>
      </c>
      <c r="F700" s="1">
        <f>IF(Data!F700&gt;0,Data!F700,"")</f>
        <v/>
      </c>
      <c r="G700" s="1">
        <f>IF(Data!G700&gt;0,Data!G700,"")</f>
        <v/>
      </c>
      <c r="H700" s="1">
        <f>IF(Data!H700&gt;0,Data!H700,"")</f>
        <v/>
      </c>
      <c r="I700" s="1">
        <f>IF(Data!I700&gt;0,Data!I700,"")</f>
        <v/>
      </c>
      <c r="J700" s="1">
        <f>IF(Data!J700&gt;0,Data!J700,"")</f>
        <v/>
      </c>
      <c r="K700" s="1">
        <f>IF(Data!K700&gt;0,Data!K700,"")</f>
        <v/>
      </c>
      <c r="L700" s="1">
        <f>IF(Data!L700&gt;0,Data!L700,"")</f>
        <v/>
      </c>
      <c r="M700" s="1">
        <f>IF(Data!M700&gt;0,Data!M700,"")</f>
        <v/>
      </c>
      <c r="N700" s="1">
        <f>IF(Data!N700&gt;0,Data!N700,"")</f>
        <v/>
      </c>
      <c r="O700" s="1">
        <f>IF(Data!O700&gt;0,Data!O700,"")</f>
        <v/>
      </c>
      <c r="P700" s="1">
        <f>IF(Data!P700&gt;0,Data!P700,"")</f>
        <v/>
      </c>
      <c r="Q700" s="1">
        <f>IF(Data!Q700&gt;0,Data!Q700,"")</f>
        <v/>
      </c>
      <c r="R700" s="1">
        <f>IF(Data!R700&gt;0,Data!R700,"")</f>
        <v/>
      </c>
      <c r="S700" s="1">
        <f>IF(Data!S700&gt;0,Data!S700,"")</f>
        <v/>
      </c>
      <c r="V700" s="3">
        <f>IF(COUNT(D700,J700,K700,L700,M700,O700)&gt;0,AVERAGE(D700,J700,K700,L700,M700,O700),"")</f>
        <v/>
      </c>
      <c r="W700" s="3">
        <f>IF(COUNT(C700,F700,G700,N700,Q700)&gt;0,AVERAGE(C700,F700,G700,N700,Q700),"")</f>
        <v/>
      </c>
      <c r="X700" s="3">
        <f>IF(COUNT(B700,E700,H700,I700,P700,R700,S700)&gt;0,AVERAGE(B700,E700,H700,I700,P700,R700,S700),"")</f>
        <v/>
      </c>
      <c r="Y700" s="3" t="n"/>
      <c r="AJ700">
        <f>IFERROR(AVERAGEIF($A$4:$A$1004,AI700,$V$4:$V$1004),"")</f>
        <v/>
      </c>
      <c r="AK700">
        <f>IFERROR(AVERAGEIF($A$4:$A$1004,AI700,$W$4:$W$1004),"")</f>
        <v/>
      </c>
      <c r="AL700">
        <f>IFERROR(AVERAGEIF($A$4:$A$1004,AI700,$X$4:$X$1004),"")</f>
        <v/>
      </c>
    </row>
    <row r="701">
      <c r="A701" s="1">
        <f>IF(Data!A701&gt;0,Data!A701,"")</f>
        <v/>
      </c>
      <c r="B701" s="1">
        <f>IF(Data!B701&gt;0,Data!B701,"")</f>
        <v/>
      </c>
      <c r="C701" s="1">
        <f>IF(Data!C701&gt;0,Data!C701,"")</f>
        <v/>
      </c>
      <c r="D701" s="1">
        <f>IF(Data!D701&gt;0,Data!D701,"")</f>
        <v/>
      </c>
      <c r="E701" s="1">
        <f>IF(Data!E701&gt;0,Data!E701,"")</f>
        <v/>
      </c>
      <c r="F701" s="1">
        <f>IF(Data!F701&gt;0,Data!F701,"")</f>
        <v/>
      </c>
      <c r="G701" s="1">
        <f>IF(Data!G701&gt;0,Data!G701,"")</f>
        <v/>
      </c>
      <c r="H701" s="1">
        <f>IF(Data!H701&gt;0,Data!H701,"")</f>
        <v/>
      </c>
      <c r="I701" s="1">
        <f>IF(Data!I701&gt;0,Data!I701,"")</f>
        <v/>
      </c>
      <c r="J701" s="1">
        <f>IF(Data!J701&gt;0,Data!J701,"")</f>
        <v/>
      </c>
      <c r="K701" s="1">
        <f>IF(Data!K701&gt;0,Data!K701,"")</f>
        <v/>
      </c>
      <c r="L701" s="1">
        <f>IF(Data!L701&gt;0,Data!L701,"")</f>
        <v/>
      </c>
      <c r="M701" s="1">
        <f>IF(Data!M701&gt;0,Data!M701,"")</f>
        <v/>
      </c>
      <c r="N701" s="1">
        <f>IF(Data!N701&gt;0,Data!N701,"")</f>
        <v/>
      </c>
      <c r="O701" s="1">
        <f>IF(Data!O701&gt;0,Data!O701,"")</f>
        <v/>
      </c>
      <c r="P701" s="1">
        <f>IF(Data!P701&gt;0,Data!P701,"")</f>
        <v/>
      </c>
      <c r="Q701" s="1">
        <f>IF(Data!Q701&gt;0,Data!Q701,"")</f>
        <v/>
      </c>
      <c r="R701" s="1">
        <f>IF(Data!R701&gt;0,Data!R701,"")</f>
        <v/>
      </c>
      <c r="S701" s="1">
        <f>IF(Data!S701&gt;0,Data!S701,"")</f>
        <v/>
      </c>
      <c r="V701" s="3">
        <f>IF(COUNT(D701,J701,K701,L701,M701,O701)&gt;0,AVERAGE(D701,J701,K701,L701,M701,O701),"")</f>
        <v/>
      </c>
      <c r="W701" s="3">
        <f>IF(COUNT(C701,F701,G701,N701,Q701)&gt;0,AVERAGE(C701,F701,G701,N701,Q701),"")</f>
        <v/>
      </c>
      <c r="X701" s="3">
        <f>IF(COUNT(B701,E701,H701,I701,P701,R701,S701)&gt;0,AVERAGE(B701,E701,H701,I701,P701,R701,S701),"")</f>
        <v/>
      </c>
      <c r="Y701" s="3" t="n"/>
      <c r="AJ701">
        <f>IFERROR(AVERAGEIF($A$4:$A$1004,AI701,$V$4:$V$1004),"")</f>
        <v/>
      </c>
      <c r="AK701">
        <f>IFERROR(AVERAGEIF($A$4:$A$1004,AI701,$W$4:$W$1004),"")</f>
        <v/>
      </c>
      <c r="AL701">
        <f>IFERROR(AVERAGEIF($A$4:$A$1004,AI701,$X$4:$X$1004),"")</f>
        <v/>
      </c>
    </row>
    <row r="702">
      <c r="A702" s="1">
        <f>IF(Data!A702&gt;0,Data!A702,"")</f>
        <v/>
      </c>
      <c r="B702" s="1">
        <f>IF(Data!B702&gt;0,Data!B702,"")</f>
        <v/>
      </c>
      <c r="C702" s="1">
        <f>IF(Data!C702&gt;0,Data!C702,"")</f>
        <v/>
      </c>
      <c r="D702" s="1">
        <f>IF(Data!D702&gt;0,Data!D702,"")</f>
        <v/>
      </c>
      <c r="E702" s="1">
        <f>IF(Data!E702&gt;0,Data!E702,"")</f>
        <v/>
      </c>
      <c r="F702" s="1">
        <f>IF(Data!F702&gt;0,Data!F702,"")</f>
        <v/>
      </c>
      <c r="G702" s="1">
        <f>IF(Data!G702&gt;0,Data!G702,"")</f>
        <v/>
      </c>
      <c r="H702" s="1">
        <f>IF(Data!H702&gt;0,Data!H702,"")</f>
        <v/>
      </c>
      <c r="I702" s="1">
        <f>IF(Data!I702&gt;0,Data!I702,"")</f>
        <v/>
      </c>
      <c r="J702" s="1">
        <f>IF(Data!J702&gt;0,Data!J702,"")</f>
        <v/>
      </c>
      <c r="K702" s="1">
        <f>IF(Data!K702&gt;0,Data!K702,"")</f>
        <v/>
      </c>
      <c r="L702" s="1">
        <f>IF(Data!L702&gt;0,Data!L702,"")</f>
        <v/>
      </c>
      <c r="M702" s="1">
        <f>IF(Data!M702&gt;0,Data!M702,"")</f>
        <v/>
      </c>
      <c r="N702" s="1">
        <f>IF(Data!N702&gt;0,Data!N702,"")</f>
        <v/>
      </c>
      <c r="O702" s="1">
        <f>IF(Data!O702&gt;0,Data!O702,"")</f>
        <v/>
      </c>
      <c r="P702" s="1">
        <f>IF(Data!P702&gt;0,Data!P702,"")</f>
        <v/>
      </c>
      <c r="Q702" s="1">
        <f>IF(Data!Q702&gt;0,Data!Q702,"")</f>
        <v/>
      </c>
      <c r="R702" s="1">
        <f>IF(Data!R702&gt;0,Data!R702,"")</f>
        <v/>
      </c>
      <c r="S702" s="1">
        <f>IF(Data!S702&gt;0,Data!S702,"")</f>
        <v/>
      </c>
      <c r="V702" s="3">
        <f>IF(COUNT(D702,J702,K702,L702,M702,O702)&gt;0,AVERAGE(D702,J702,K702,L702,M702,O702),"")</f>
        <v/>
      </c>
      <c r="W702" s="3">
        <f>IF(COUNT(C702,F702,G702,N702,Q702)&gt;0,AVERAGE(C702,F702,G702,N702,Q702),"")</f>
        <v/>
      </c>
      <c r="X702" s="3">
        <f>IF(COUNT(B702,E702,H702,I702,P702,R702,S702)&gt;0,AVERAGE(B702,E702,H702,I702,P702,R702,S702),"")</f>
        <v/>
      </c>
      <c r="Y702" s="3" t="n"/>
      <c r="AJ702">
        <f>IFERROR(AVERAGEIF($A$4:$A$1004,AI702,$V$4:$V$1004),"")</f>
        <v/>
      </c>
      <c r="AK702">
        <f>IFERROR(AVERAGEIF($A$4:$A$1004,AI702,$W$4:$W$1004),"")</f>
        <v/>
      </c>
      <c r="AL702">
        <f>IFERROR(AVERAGEIF($A$4:$A$1004,AI702,$X$4:$X$1004),"")</f>
        <v/>
      </c>
    </row>
    <row r="703">
      <c r="A703" s="1">
        <f>IF(Data!A703&gt;0,Data!A703,"")</f>
        <v/>
      </c>
      <c r="B703" s="1">
        <f>IF(Data!B703&gt;0,Data!B703,"")</f>
        <v/>
      </c>
      <c r="C703" s="1">
        <f>IF(Data!C703&gt;0,Data!C703,"")</f>
        <v/>
      </c>
      <c r="D703" s="1">
        <f>IF(Data!D703&gt;0,Data!D703,"")</f>
        <v/>
      </c>
      <c r="E703" s="1">
        <f>IF(Data!E703&gt;0,Data!E703,"")</f>
        <v/>
      </c>
      <c r="F703" s="1">
        <f>IF(Data!F703&gt;0,Data!F703,"")</f>
        <v/>
      </c>
      <c r="G703" s="1">
        <f>IF(Data!G703&gt;0,Data!G703,"")</f>
        <v/>
      </c>
      <c r="H703" s="1">
        <f>IF(Data!H703&gt;0,Data!H703,"")</f>
        <v/>
      </c>
      <c r="I703" s="1">
        <f>IF(Data!I703&gt;0,Data!I703,"")</f>
        <v/>
      </c>
      <c r="J703" s="1">
        <f>IF(Data!J703&gt;0,Data!J703,"")</f>
        <v/>
      </c>
      <c r="K703" s="1">
        <f>IF(Data!K703&gt;0,Data!K703,"")</f>
        <v/>
      </c>
      <c r="L703" s="1">
        <f>IF(Data!L703&gt;0,Data!L703,"")</f>
        <v/>
      </c>
      <c r="M703" s="1">
        <f>IF(Data!M703&gt;0,Data!M703,"")</f>
        <v/>
      </c>
      <c r="N703" s="1">
        <f>IF(Data!N703&gt;0,Data!N703,"")</f>
        <v/>
      </c>
      <c r="O703" s="1">
        <f>IF(Data!O703&gt;0,Data!O703,"")</f>
        <v/>
      </c>
      <c r="P703" s="1">
        <f>IF(Data!P703&gt;0,Data!P703,"")</f>
        <v/>
      </c>
      <c r="Q703" s="1">
        <f>IF(Data!Q703&gt;0,Data!Q703,"")</f>
        <v/>
      </c>
      <c r="R703" s="1">
        <f>IF(Data!R703&gt;0,Data!R703,"")</f>
        <v/>
      </c>
      <c r="S703" s="1">
        <f>IF(Data!S703&gt;0,Data!S703,"")</f>
        <v/>
      </c>
      <c r="V703" s="3">
        <f>IF(COUNT(D703,J703,K703,L703,M703,O703)&gt;0,AVERAGE(D703,J703,K703,L703,M703,O703),"")</f>
        <v/>
      </c>
      <c r="W703" s="3">
        <f>IF(COUNT(C703,F703,G703,N703,Q703)&gt;0,AVERAGE(C703,F703,G703,N703,Q703),"")</f>
        <v/>
      </c>
      <c r="X703" s="3">
        <f>IF(COUNT(B703,E703,H703,I703,P703,R703,S703)&gt;0,AVERAGE(B703,E703,H703,I703,P703,R703,S703),"")</f>
        <v/>
      </c>
      <c r="Y703" s="3" t="n"/>
      <c r="AJ703">
        <f>IFERROR(AVERAGEIF($A$4:$A$1004,AI703,$V$4:$V$1004),"")</f>
        <v/>
      </c>
      <c r="AK703">
        <f>IFERROR(AVERAGEIF($A$4:$A$1004,AI703,$W$4:$W$1004),"")</f>
        <v/>
      </c>
      <c r="AL703">
        <f>IFERROR(AVERAGEIF($A$4:$A$1004,AI703,$X$4:$X$1004),"")</f>
        <v/>
      </c>
    </row>
    <row r="704">
      <c r="A704" s="1">
        <f>IF(Data!A704&gt;0,Data!A704,"")</f>
        <v/>
      </c>
      <c r="B704" s="1">
        <f>IF(Data!B704&gt;0,Data!B704,"")</f>
        <v/>
      </c>
      <c r="C704" s="1">
        <f>IF(Data!C704&gt;0,Data!C704,"")</f>
        <v/>
      </c>
      <c r="D704" s="1">
        <f>IF(Data!D704&gt;0,Data!D704,"")</f>
        <v/>
      </c>
      <c r="E704" s="1">
        <f>IF(Data!E704&gt;0,Data!E704,"")</f>
        <v/>
      </c>
      <c r="F704" s="1">
        <f>IF(Data!F704&gt;0,Data!F704,"")</f>
        <v/>
      </c>
      <c r="G704" s="1">
        <f>IF(Data!G704&gt;0,Data!G704,"")</f>
        <v/>
      </c>
      <c r="H704" s="1">
        <f>IF(Data!H704&gt;0,Data!H704,"")</f>
        <v/>
      </c>
      <c r="I704" s="1">
        <f>IF(Data!I704&gt;0,Data!I704,"")</f>
        <v/>
      </c>
      <c r="J704" s="1">
        <f>IF(Data!J704&gt;0,Data!J704,"")</f>
        <v/>
      </c>
      <c r="K704" s="1">
        <f>IF(Data!K704&gt;0,Data!K704,"")</f>
        <v/>
      </c>
      <c r="L704" s="1">
        <f>IF(Data!L704&gt;0,Data!L704,"")</f>
        <v/>
      </c>
      <c r="M704" s="1">
        <f>IF(Data!M704&gt;0,Data!M704,"")</f>
        <v/>
      </c>
      <c r="N704" s="1">
        <f>IF(Data!N704&gt;0,Data!N704,"")</f>
        <v/>
      </c>
      <c r="O704" s="1">
        <f>IF(Data!O704&gt;0,Data!O704,"")</f>
        <v/>
      </c>
      <c r="P704" s="1">
        <f>IF(Data!P704&gt;0,Data!P704,"")</f>
        <v/>
      </c>
      <c r="Q704" s="1">
        <f>IF(Data!Q704&gt;0,Data!Q704,"")</f>
        <v/>
      </c>
      <c r="R704" s="1">
        <f>IF(Data!R704&gt;0,Data!R704,"")</f>
        <v/>
      </c>
      <c r="S704" s="1">
        <f>IF(Data!S704&gt;0,Data!S704,"")</f>
        <v/>
      </c>
      <c r="V704" s="3">
        <f>IF(COUNT(D704,J704,K704,L704,M704,O704)&gt;0,AVERAGE(D704,J704,K704,L704,M704,O704),"")</f>
        <v/>
      </c>
      <c r="W704" s="3">
        <f>IF(COUNT(C704,F704,G704,N704,Q704)&gt;0,AVERAGE(C704,F704,G704,N704,Q704),"")</f>
        <v/>
      </c>
      <c r="X704" s="3">
        <f>IF(COUNT(B704,E704,H704,I704,P704,R704,S704)&gt;0,AVERAGE(B704,E704,H704,I704,P704,R704,S704),"")</f>
        <v/>
      </c>
      <c r="Y704" s="3" t="n"/>
      <c r="AJ704">
        <f>IFERROR(AVERAGEIF($A$4:$A$1004,AI704,$V$4:$V$1004),"")</f>
        <v/>
      </c>
      <c r="AK704">
        <f>IFERROR(AVERAGEIF($A$4:$A$1004,AI704,$W$4:$W$1004),"")</f>
        <v/>
      </c>
      <c r="AL704">
        <f>IFERROR(AVERAGEIF($A$4:$A$1004,AI704,$X$4:$X$1004),"")</f>
        <v/>
      </c>
    </row>
    <row r="705">
      <c r="A705" s="1">
        <f>IF(Data!A705&gt;0,Data!A705,"")</f>
        <v/>
      </c>
      <c r="B705" s="1">
        <f>IF(Data!B705&gt;0,Data!B705,"")</f>
        <v/>
      </c>
      <c r="C705" s="1">
        <f>IF(Data!C705&gt;0,Data!C705,"")</f>
        <v/>
      </c>
      <c r="D705" s="1">
        <f>IF(Data!D705&gt;0,Data!D705,"")</f>
        <v/>
      </c>
      <c r="E705" s="1">
        <f>IF(Data!E705&gt;0,Data!E705,"")</f>
        <v/>
      </c>
      <c r="F705" s="1">
        <f>IF(Data!F705&gt;0,Data!F705,"")</f>
        <v/>
      </c>
      <c r="G705" s="1">
        <f>IF(Data!G705&gt;0,Data!G705,"")</f>
        <v/>
      </c>
      <c r="H705" s="1">
        <f>IF(Data!H705&gt;0,Data!H705,"")</f>
        <v/>
      </c>
      <c r="I705" s="1">
        <f>IF(Data!I705&gt;0,Data!I705,"")</f>
        <v/>
      </c>
      <c r="J705" s="1">
        <f>IF(Data!J705&gt;0,Data!J705,"")</f>
        <v/>
      </c>
      <c r="K705" s="1">
        <f>IF(Data!K705&gt;0,Data!K705,"")</f>
        <v/>
      </c>
      <c r="L705" s="1">
        <f>IF(Data!L705&gt;0,Data!L705,"")</f>
        <v/>
      </c>
      <c r="M705" s="1">
        <f>IF(Data!M705&gt;0,Data!M705,"")</f>
        <v/>
      </c>
      <c r="N705" s="1">
        <f>IF(Data!N705&gt;0,Data!N705,"")</f>
        <v/>
      </c>
      <c r="O705" s="1">
        <f>IF(Data!O705&gt;0,Data!O705,"")</f>
        <v/>
      </c>
      <c r="P705" s="1">
        <f>IF(Data!P705&gt;0,Data!P705,"")</f>
        <v/>
      </c>
      <c r="Q705" s="1">
        <f>IF(Data!Q705&gt;0,Data!Q705,"")</f>
        <v/>
      </c>
      <c r="R705" s="1">
        <f>IF(Data!R705&gt;0,Data!R705,"")</f>
        <v/>
      </c>
      <c r="S705" s="1">
        <f>IF(Data!S705&gt;0,Data!S705,"")</f>
        <v/>
      </c>
      <c r="V705" s="3">
        <f>IF(COUNT(D705,J705,K705,L705,M705,O705)&gt;0,AVERAGE(D705,J705,K705,L705,M705,O705),"")</f>
        <v/>
      </c>
      <c r="W705" s="3">
        <f>IF(COUNT(C705,F705,G705,N705,Q705)&gt;0,AVERAGE(C705,F705,G705,N705,Q705),"")</f>
        <v/>
      </c>
      <c r="X705" s="3">
        <f>IF(COUNT(B705,E705,H705,I705,P705,R705,S705)&gt;0,AVERAGE(B705,E705,H705,I705,P705,R705,S705),"")</f>
        <v/>
      </c>
      <c r="Y705" s="3" t="n"/>
      <c r="AJ705">
        <f>IFERROR(AVERAGEIF($A$4:$A$1004,AI705,$V$4:$V$1004),"")</f>
        <v/>
      </c>
      <c r="AK705">
        <f>IFERROR(AVERAGEIF($A$4:$A$1004,AI705,$W$4:$W$1004),"")</f>
        <v/>
      </c>
      <c r="AL705">
        <f>IFERROR(AVERAGEIF($A$4:$A$1004,AI705,$X$4:$X$1004),"")</f>
        <v/>
      </c>
    </row>
    <row r="706">
      <c r="A706" s="1">
        <f>IF(Data!A706&gt;0,Data!A706,"")</f>
        <v/>
      </c>
      <c r="B706" s="1">
        <f>IF(Data!B706&gt;0,Data!B706,"")</f>
        <v/>
      </c>
      <c r="C706" s="1">
        <f>IF(Data!C706&gt;0,Data!C706,"")</f>
        <v/>
      </c>
      <c r="D706" s="1">
        <f>IF(Data!D706&gt;0,Data!D706,"")</f>
        <v/>
      </c>
      <c r="E706" s="1">
        <f>IF(Data!E706&gt;0,Data!E706,"")</f>
        <v/>
      </c>
      <c r="F706" s="1">
        <f>IF(Data!F706&gt;0,Data!F706,"")</f>
        <v/>
      </c>
      <c r="G706" s="1">
        <f>IF(Data!G706&gt;0,Data!G706,"")</f>
        <v/>
      </c>
      <c r="H706" s="1">
        <f>IF(Data!H706&gt;0,Data!H706,"")</f>
        <v/>
      </c>
      <c r="I706" s="1">
        <f>IF(Data!I706&gt;0,Data!I706,"")</f>
        <v/>
      </c>
      <c r="J706" s="1">
        <f>IF(Data!J706&gt;0,Data!J706,"")</f>
        <v/>
      </c>
      <c r="K706" s="1">
        <f>IF(Data!K706&gt;0,Data!K706,"")</f>
        <v/>
      </c>
      <c r="L706" s="1">
        <f>IF(Data!L706&gt;0,Data!L706,"")</f>
        <v/>
      </c>
      <c r="M706" s="1">
        <f>IF(Data!M706&gt;0,Data!M706,"")</f>
        <v/>
      </c>
      <c r="N706" s="1">
        <f>IF(Data!N706&gt;0,Data!N706,"")</f>
        <v/>
      </c>
      <c r="O706" s="1">
        <f>IF(Data!O706&gt;0,Data!O706,"")</f>
        <v/>
      </c>
      <c r="P706" s="1">
        <f>IF(Data!P706&gt;0,Data!P706,"")</f>
        <v/>
      </c>
      <c r="Q706" s="1">
        <f>IF(Data!Q706&gt;0,Data!Q706,"")</f>
        <v/>
      </c>
      <c r="R706" s="1">
        <f>IF(Data!R706&gt;0,Data!R706,"")</f>
        <v/>
      </c>
      <c r="S706" s="1">
        <f>IF(Data!S706&gt;0,Data!S706,"")</f>
        <v/>
      </c>
      <c r="V706" s="3">
        <f>IF(COUNT(D706,J706,K706,L706,M706,O706)&gt;0,AVERAGE(D706,J706,K706,L706,M706,O706),"")</f>
        <v/>
      </c>
      <c r="W706" s="3">
        <f>IF(COUNT(C706,F706,G706,N706,Q706)&gt;0,AVERAGE(C706,F706,G706,N706,Q706),"")</f>
        <v/>
      </c>
      <c r="X706" s="3">
        <f>IF(COUNT(B706,E706,H706,I706,P706,R706,S706)&gt;0,AVERAGE(B706,E706,H706,I706,P706,R706,S706),"")</f>
        <v/>
      </c>
      <c r="Y706" s="3" t="n"/>
      <c r="AJ706">
        <f>IFERROR(AVERAGEIF($A$4:$A$1004,AI706,$V$4:$V$1004),"")</f>
        <v/>
      </c>
      <c r="AK706">
        <f>IFERROR(AVERAGEIF($A$4:$A$1004,AI706,$W$4:$W$1004),"")</f>
        <v/>
      </c>
      <c r="AL706">
        <f>IFERROR(AVERAGEIF($A$4:$A$1004,AI706,$X$4:$X$1004),"")</f>
        <v/>
      </c>
    </row>
    <row r="707">
      <c r="A707" s="1">
        <f>IF(Data!A707&gt;0,Data!A707,"")</f>
        <v/>
      </c>
      <c r="B707" s="1">
        <f>IF(Data!B707&gt;0,Data!B707,"")</f>
        <v/>
      </c>
      <c r="C707" s="1">
        <f>IF(Data!C707&gt;0,Data!C707,"")</f>
        <v/>
      </c>
      <c r="D707" s="1">
        <f>IF(Data!D707&gt;0,Data!D707,"")</f>
        <v/>
      </c>
      <c r="E707" s="1">
        <f>IF(Data!E707&gt;0,Data!E707,"")</f>
        <v/>
      </c>
      <c r="F707" s="1">
        <f>IF(Data!F707&gt;0,Data!F707,"")</f>
        <v/>
      </c>
      <c r="G707" s="1">
        <f>IF(Data!G707&gt;0,Data!G707,"")</f>
        <v/>
      </c>
      <c r="H707" s="1">
        <f>IF(Data!H707&gt;0,Data!H707,"")</f>
        <v/>
      </c>
      <c r="I707" s="1">
        <f>IF(Data!I707&gt;0,Data!I707,"")</f>
        <v/>
      </c>
      <c r="J707" s="1">
        <f>IF(Data!J707&gt;0,Data!J707,"")</f>
        <v/>
      </c>
      <c r="K707" s="1">
        <f>IF(Data!K707&gt;0,Data!K707,"")</f>
        <v/>
      </c>
      <c r="L707" s="1">
        <f>IF(Data!L707&gt;0,Data!L707,"")</f>
        <v/>
      </c>
      <c r="M707" s="1">
        <f>IF(Data!M707&gt;0,Data!M707,"")</f>
        <v/>
      </c>
      <c r="N707" s="1">
        <f>IF(Data!N707&gt;0,Data!N707,"")</f>
        <v/>
      </c>
      <c r="O707" s="1">
        <f>IF(Data!O707&gt;0,Data!O707,"")</f>
        <v/>
      </c>
      <c r="P707" s="1">
        <f>IF(Data!P707&gt;0,Data!P707,"")</f>
        <v/>
      </c>
      <c r="Q707" s="1">
        <f>IF(Data!Q707&gt;0,Data!Q707,"")</f>
        <v/>
      </c>
      <c r="R707" s="1">
        <f>IF(Data!R707&gt;0,Data!R707,"")</f>
        <v/>
      </c>
      <c r="S707" s="1">
        <f>IF(Data!S707&gt;0,Data!S707,"")</f>
        <v/>
      </c>
      <c r="V707" s="3">
        <f>IF(COUNT(D707,J707,K707,L707,M707,O707)&gt;0,AVERAGE(D707,J707,K707,L707,M707,O707),"")</f>
        <v/>
      </c>
      <c r="W707" s="3">
        <f>IF(COUNT(C707,F707,G707,N707,Q707)&gt;0,AVERAGE(C707,F707,G707,N707,Q707),"")</f>
        <v/>
      </c>
      <c r="X707" s="3">
        <f>IF(COUNT(B707,E707,H707,I707,P707,R707,S707)&gt;0,AVERAGE(B707,E707,H707,I707,P707,R707,S707),"")</f>
        <v/>
      </c>
      <c r="Y707" s="3" t="n"/>
      <c r="AJ707">
        <f>IFERROR(AVERAGEIF($A$4:$A$1004,AI707,$V$4:$V$1004),"")</f>
        <v/>
      </c>
      <c r="AK707">
        <f>IFERROR(AVERAGEIF($A$4:$A$1004,AI707,$W$4:$W$1004),"")</f>
        <v/>
      </c>
      <c r="AL707">
        <f>IFERROR(AVERAGEIF($A$4:$A$1004,AI707,$X$4:$X$1004),"")</f>
        <v/>
      </c>
    </row>
    <row r="708">
      <c r="A708" s="1">
        <f>IF(Data!A708&gt;0,Data!A708,"")</f>
        <v/>
      </c>
      <c r="B708" s="1">
        <f>IF(Data!B708&gt;0,Data!B708,"")</f>
        <v/>
      </c>
      <c r="C708" s="1">
        <f>IF(Data!C708&gt;0,Data!C708,"")</f>
        <v/>
      </c>
      <c r="D708" s="1">
        <f>IF(Data!D708&gt;0,Data!D708,"")</f>
        <v/>
      </c>
      <c r="E708" s="1">
        <f>IF(Data!E708&gt;0,Data!E708,"")</f>
        <v/>
      </c>
      <c r="F708" s="1">
        <f>IF(Data!F708&gt;0,Data!F708,"")</f>
        <v/>
      </c>
      <c r="G708" s="1">
        <f>IF(Data!G708&gt;0,Data!G708,"")</f>
        <v/>
      </c>
      <c r="H708" s="1">
        <f>IF(Data!H708&gt;0,Data!H708,"")</f>
        <v/>
      </c>
      <c r="I708" s="1">
        <f>IF(Data!I708&gt;0,Data!I708,"")</f>
        <v/>
      </c>
      <c r="J708" s="1">
        <f>IF(Data!J708&gt;0,Data!J708,"")</f>
        <v/>
      </c>
      <c r="K708" s="1">
        <f>IF(Data!K708&gt;0,Data!K708,"")</f>
        <v/>
      </c>
      <c r="L708" s="1">
        <f>IF(Data!L708&gt;0,Data!L708,"")</f>
        <v/>
      </c>
      <c r="M708" s="1">
        <f>IF(Data!M708&gt;0,Data!M708,"")</f>
        <v/>
      </c>
      <c r="N708" s="1">
        <f>IF(Data!N708&gt;0,Data!N708,"")</f>
        <v/>
      </c>
      <c r="O708" s="1">
        <f>IF(Data!O708&gt;0,Data!O708,"")</f>
        <v/>
      </c>
      <c r="P708" s="1">
        <f>IF(Data!P708&gt;0,Data!P708,"")</f>
        <v/>
      </c>
      <c r="Q708" s="1">
        <f>IF(Data!Q708&gt;0,Data!Q708,"")</f>
        <v/>
      </c>
      <c r="R708" s="1">
        <f>IF(Data!R708&gt;0,Data!R708,"")</f>
        <v/>
      </c>
      <c r="S708" s="1">
        <f>IF(Data!S708&gt;0,Data!S708,"")</f>
        <v/>
      </c>
      <c r="V708" s="3">
        <f>IF(COUNT(D708,J708,K708,L708,M708,O708)&gt;0,AVERAGE(D708,J708,K708,L708,M708,O708),"")</f>
        <v/>
      </c>
      <c r="W708" s="3">
        <f>IF(COUNT(C708,F708,G708,N708,Q708)&gt;0,AVERAGE(C708,F708,G708,N708,Q708),"")</f>
        <v/>
      </c>
      <c r="X708" s="3">
        <f>IF(COUNT(B708,E708,H708,I708,P708,R708,S708)&gt;0,AVERAGE(B708,E708,H708,I708,P708,R708,S708),"")</f>
        <v/>
      </c>
      <c r="Y708" s="3" t="n"/>
      <c r="AJ708">
        <f>IFERROR(AVERAGEIF($A$4:$A$1004,AI708,$V$4:$V$1004),"")</f>
        <v/>
      </c>
      <c r="AK708">
        <f>IFERROR(AVERAGEIF($A$4:$A$1004,AI708,$W$4:$W$1004),"")</f>
        <v/>
      </c>
      <c r="AL708">
        <f>IFERROR(AVERAGEIF($A$4:$A$1004,AI708,$X$4:$X$1004),"")</f>
        <v/>
      </c>
    </row>
    <row r="709">
      <c r="A709" s="1">
        <f>IF(Data!A709&gt;0,Data!A709,"")</f>
        <v/>
      </c>
      <c r="B709" s="1">
        <f>IF(Data!B709&gt;0,Data!B709,"")</f>
        <v/>
      </c>
      <c r="C709" s="1">
        <f>IF(Data!C709&gt;0,Data!C709,"")</f>
        <v/>
      </c>
      <c r="D709" s="1">
        <f>IF(Data!D709&gt;0,Data!D709,"")</f>
        <v/>
      </c>
      <c r="E709" s="1">
        <f>IF(Data!E709&gt;0,Data!E709,"")</f>
        <v/>
      </c>
      <c r="F709" s="1">
        <f>IF(Data!F709&gt;0,Data!F709,"")</f>
        <v/>
      </c>
      <c r="G709" s="1">
        <f>IF(Data!G709&gt;0,Data!G709,"")</f>
        <v/>
      </c>
      <c r="H709" s="1">
        <f>IF(Data!H709&gt;0,Data!H709,"")</f>
        <v/>
      </c>
      <c r="I709" s="1">
        <f>IF(Data!I709&gt;0,Data!I709,"")</f>
        <v/>
      </c>
      <c r="J709" s="1">
        <f>IF(Data!J709&gt;0,Data!J709,"")</f>
        <v/>
      </c>
      <c r="K709" s="1">
        <f>IF(Data!K709&gt;0,Data!K709,"")</f>
        <v/>
      </c>
      <c r="L709" s="1">
        <f>IF(Data!L709&gt;0,Data!L709,"")</f>
        <v/>
      </c>
      <c r="M709" s="1">
        <f>IF(Data!M709&gt;0,Data!M709,"")</f>
        <v/>
      </c>
      <c r="N709" s="1">
        <f>IF(Data!N709&gt;0,Data!N709,"")</f>
        <v/>
      </c>
      <c r="O709" s="1">
        <f>IF(Data!O709&gt;0,Data!O709,"")</f>
        <v/>
      </c>
      <c r="P709" s="1">
        <f>IF(Data!P709&gt;0,Data!P709,"")</f>
        <v/>
      </c>
      <c r="Q709" s="1">
        <f>IF(Data!Q709&gt;0,Data!Q709,"")</f>
        <v/>
      </c>
      <c r="R709" s="1">
        <f>IF(Data!R709&gt;0,Data!R709,"")</f>
        <v/>
      </c>
      <c r="S709" s="1">
        <f>IF(Data!S709&gt;0,Data!S709,"")</f>
        <v/>
      </c>
      <c r="V709" s="3">
        <f>IF(COUNT(D709,J709,K709,L709,M709,O709)&gt;0,AVERAGE(D709,J709,K709,L709,M709,O709),"")</f>
        <v/>
      </c>
      <c r="W709" s="3">
        <f>IF(COUNT(C709,F709,G709,N709,Q709)&gt;0,AVERAGE(C709,F709,G709,N709,Q709),"")</f>
        <v/>
      </c>
      <c r="X709" s="3">
        <f>IF(COUNT(B709,E709,H709,I709,P709,R709,S709)&gt;0,AVERAGE(B709,E709,H709,I709,P709,R709,S709),"")</f>
        <v/>
      </c>
      <c r="Y709" s="3" t="n"/>
      <c r="AJ709">
        <f>IFERROR(AVERAGEIF($A$4:$A$1004,AI709,$V$4:$V$1004),"")</f>
        <v/>
      </c>
      <c r="AK709">
        <f>IFERROR(AVERAGEIF($A$4:$A$1004,AI709,$W$4:$W$1004),"")</f>
        <v/>
      </c>
      <c r="AL709">
        <f>IFERROR(AVERAGEIF($A$4:$A$1004,AI709,$X$4:$X$1004),"")</f>
        <v/>
      </c>
    </row>
    <row r="710">
      <c r="A710" s="1">
        <f>IF(Data!A710&gt;0,Data!A710,"")</f>
        <v/>
      </c>
      <c r="B710" s="1">
        <f>IF(Data!B710&gt;0,Data!B710,"")</f>
        <v/>
      </c>
      <c r="C710" s="1">
        <f>IF(Data!C710&gt;0,Data!C710,"")</f>
        <v/>
      </c>
      <c r="D710" s="1">
        <f>IF(Data!D710&gt;0,Data!D710,"")</f>
        <v/>
      </c>
      <c r="E710" s="1">
        <f>IF(Data!E710&gt;0,Data!E710,"")</f>
        <v/>
      </c>
      <c r="F710" s="1">
        <f>IF(Data!F710&gt;0,Data!F710,"")</f>
        <v/>
      </c>
      <c r="G710" s="1">
        <f>IF(Data!G710&gt;0,Data!G710,"")</f>
        <v/>
      </c>
      <c r="H710" s="1">
        <f>IF(Data!H710&gt;0,Data!H710,"")</f>
        <v/>
      </c>
      <c r="I710" s="1">
        <f>IF(Data!I710&gt;0,Data!I710,"")</f>
        <v/>
      </c>
      <c r="J710" s="1">
        <f>IF(Data!J710&gt;0,Data!J710,"")</f>
        <v/>
      </c>
      <c r="K710" s="1">
        <f>IF(Data!K710&gt;0,Data!K710,"")</f>
        <v/>
      </c>
      <c r="L710" s="1">
        <f>IF(Data!L710&gt;0,Data!L710,"")</f>
        <v/>
      </c>
      <c r="M710" s="1">
        <f>IF(Data!M710&gt;0,Data!M710,"")</f>
        <v/>
      </c>
      <c r="N710" s="1">
        <f>IF(Data!N710&gt;0,Data!N710,"")</f>
        <v/>
      </c>
      <c r="O710" s="1">
        <f>IF(Data!O710&gt;0,Data!O710,"")</f>
        <v/>
      </c>
      <c r="P710" s="1">
        <f>IF(Data!P710&gt;0,Data!P710,"")</f>
        <v/>
      </c>
      <c r="Q710" s="1">
        <f>IF(Data!Q710&gt;0,Data!Q710,"")</f>
        <v/>
      </c>
      <c r="R710" s="1">
        <f>IF(Data!R710&gt;0,Data!R710,"")</f>
        <v/>
      </c>
      <c r="S710" s="1">
        <f>IF(Data!S710&gt;0,Data!S710,"")</f>
        <v/>
      </c>
      <c r="V710" s="3">
        <f>IF(COUNT(D710,J710,K710,L710,M710,O710)&gt;0,AVERAGE(D710,J710,K710,L710,M710,O710),"")</f>
        <v/>
      </c>
      <c r="W710" s="3">
        <f>IF(COUNT(C710,F710,G710,N710,Q710)&gt;0,AVERAGE(C710,F710,G710,N710,Q710),"")</f>
        <v/>
      </c>
      <c r="X710" s="3">
        <f>IF(COUNT(B710,E710,H710,I710,P710,R710,S710)&gt;0,AVERAGE(B710,E710,H710,I710,P710,R710,S710),"")</f>
        <v/>
      </c>
      <c r="Y710" s="3" t="n"/>
      <c r="AJ710">
        <f>IFERROR(AVERAGEIF($A$4:$A$1004,AI710,$V$4:$V$1004),"")</f>
        <v/>
      </c>
      <c r="AK710">
        <f>IFERROR(AVERAGEIF($A$4:$A$1004,AI710,$W$4:$W$1004),"")</f>
        <v/>
      </c>
      <c r="AL710">
        <f>IFERROR(AVERAGEIF($A$4:$A$1004,AI710,$X$4:$X$1004),"")</f>
        <v/>
      </c>
    </row>
    <row r="711">
      <c r="A711" s="1">
        <f>IF(Data!A711&gt;0,Data!A711,"")</f>
        <v/>
      </c>
      <c r="B711" s="1">
        <f>IF(Data!B711&gt;0,Data!B711,"")</f>
        <v/>
      </c>
      <c r="C711" s="1">
        <f>IF(Data!C711&gt;0,Data!C711,"")</f>
        <v/>
      </c>
      <c r="D711" s="1">
        <f>IF(Data!D711&gt;0,Data!D711,"")</f>
        <v/>
      </c>
      <c r="E711" s="1">
        <f>IF(Data!E711&gt;0,Data!E711,"")</f>
        <v/>
      </c>
      <c r="F711" s="1">
        <f>IF(Data!F711&gt;0,Data!F711,"")</f>
        <v/>
      </c>
      <c r="G711" s="1">
        <f>IF(Data!G711&gt;0,Data!G711,"")</f>
        <v/>
      </c>
      <c r="H711" s="1">
        <f>IF(Data!H711&gt;0,Data!H711,"")</f>
        <v/>
      </c>
      <c r="I711" s="1">
        <f>IF(Data!I711&gt;0,Data!I711,"")</f>
        <v/>
      </c>
      <c r="J711" s="1">
        <f>IF(Data!J711&gt;0,Data!J711,"")</f>
        <v/>
      </c>
      <c r="K711" s="1">
        <f>IF(Data!K711&gt;0,Data!K711,"")</f>
        <v/>
      </c>
      <c r="L711" s="1">
        <f>IF(Data!L711&gt;0,Data!L711,"")</f>
        <v/>
      </c>
      <c r="M711" s="1">
        <f>IF(Data!M711&gt;0,Data!M711,"")</f>
        <v/>
      </c>
      <c r="N711" s="1">
        <f>IF(Data!N711&gt;0,Data!N711,"")</f>
        <v/>
      </c>
      <c r="O711" s="1">
        <f>IF(Data!O711&gt;0,Data!O711,"")</f>
        <v/>
      </c>
      <c r="P711" s="1">
        <f>IF(Data!P711&gt;0,Data!P711,"")</f>
        <v/>
      </c>
      <c r="Q711" s="1">
        <f>IF(Data!Q711&gt;0,Data!Q711,"")</f>
        <v/>
      </c>
      <c r="R711" s="1">
        <f>IF(Data!R711&gt;0,Data!R711,"")</f>
        <v/>
      </c>
      <c r="S711" s="1">
        <f>IF(Data!S711&gt;0,Data!S711,"")</f>
        <v/>
      </c>
      <c r="V711" s="3">
        <f>IF(COUNT(D711,J711,K711,L711,M711,O711)&gt;0,AVERAGE(D711,J711,K711,L711,M711,O711),"")</f>
        <v/>
      </c>
      <c r="W711" s="3">
        <f>IF(COUNT(C711,F711,G711,N711,Q711)&gt;0,AVERAGE(C711,F711,G711,N711,Q711),"")</f>
        <v/>
      </c>
      <c r="X711" s="3">
        <f>IF(COUNT(B711,E711,H711,I711,P711,R711,S711)&gt;0,AVERAGE(B711,E711,H711,I711,P711,R711,S711),"")</f>
        <v/>
      </c>
      <c r="Y711" s="3" t="n"/>
      <c r="AJ711">
        <f>IFERROR(AVERAGEIF($A$4:$A$1004,AI711,$V$4:$V$1004),"")</f>
        <v/>
      </c>
      <c r="AK711">
        <f>IFERROR(AVERAGEIF($A$4:$A$1004,AI711,$W$4:$W$1004),"")</f>
        <v/>
      </c>
      <c r="AL711">
        <f>IFERROR(AVERAGEIF($A$4:$A$1004,AI711,$X$4:$X$1004),"")</f>
        <v/>
      </c>
    </row>
    <row r="712">
      <c r="A712" s="1">
        <f>IF(Data!A712&gt;0,Data!A712,"")</f>
        <v/>
      </c>
      <c r="B712" s="1">
        <f>IF(Data!B712&gt;0,Data!B712,"")</f>
        <v/>
      </c>
      <c r="C712" s="1">
        <f>IF(Data!C712&gt;0,Data!C712,"")</f>
        <v/>
      </c>
      <c r="D712" s="1">
        <f>IF(Data!D712&gt;0,Data!D712,"")</f>
        <v/>
      </c>
      <c r="E712" s="1">
        <f>IF(Data!E712&gt;0,Data!E712,"")</f>
        <v/>
      </c>
      <c r="F712" s="1">
        <f>IF(Data!F712&gt;0,Data!F712,"")</f>
        <v/>
      </c>
      <c r="G712" s="1">
        <f>IF(Data!G712&gt;0,Data!G712,"")</f>
        <v/>
      </c>
      <c r="H712" s="1">
        <f>IF(Data!H712&gt;0,Data!H712,"")</f>
        <v/>
      </c>
      <c r="I712" s="1">
        <f>IF(Data!I712&gt;0,Data!I712,"")</f>
        <v/>
      </c>
      <c r="J712" s="1">
        <f>IF(Data!J712&gt;0,Data!J712,"")</f>
        <v/>
      </c>
      <c r="K712" s="1">
        <f>IF(Data!K712&gt;0,Data!K712,"")</f>
        <v/>
      </c>
      <c r="L712" s="1">
        <f>IF(Data!L712&gt;0,Data!L712,"")</f>
        <v/>
      </c>
      <c r="M712" s="1">
        <f>IF(Data!M712&gt;0,Data!M712,"")</f>
        <v/>
      </c>
      <c r="N712" s="1">
        <f>IF(Data!N712&gt;0,Data!N712,"")</f>
        <v/>
      </c>
      <c r="O712" s="1">
        <f>IF(Data!O712&gt;0,Data!O712,"")</f>
        <v/>
      </c>
      <c r="P712" s="1">
        <f>IF(Data!P712&gt;0,Data!P712,"")</f>
        <v/>
      </c>
      <c r="Q712" s="1">
        <f>IF(Data!Q712&gt;0,Data!Q712,"")</f>
        <v/>
      </c>
      <c r="R712" s="1">
        <f>IF(Data!R712&gt;0,Data!R712,"")</f>
        <v/>
      </c>
      <c r="S712" s="1">
        <f>IF(Data!S712&gt;0,Data!S712,"")</f>
        <v/>
      </c>
      <c r="V712" s="3">
        <f>IF(COUNT(D712,J712,K712,L712,M712,O712)&gt;0,AVERAGE(D712,J712,K712,L712,M712,O712),"")</f>
        <v/>
      </c>
      <c r="W712" s="3">
        <f>IF(COUNT(C712,F712,G712,N712,Q712)&gt;0,AVERAGE(C712,F712,G712,N712,Q712),"")</f>
        <v/>
      </c>
      <c r="X712" s="3">
        <f>IF(COUNT(B712,E712,H712,I712,P712,R712,S712)&gt;0,AVERAGE(B712,E712,H712,I712,P712,R712,S712),"")</f>
        <v/>
      </c>
      <c r="Y712" s="3" t="n"/>
      <c r="AJ712">
        <f>IFERROR(AVERAGEIF($A$4:$A$1004,AI712,$V$4:$V$1004),"")</f>
        <v/>
      </c>
      <c r="AK712">
        <f>IFERROR(AVERAGEIF($A$4:$A$1004,AI712,$W$4:$W$1004),"")</f>
        <v/>
      </c>
      <c r="AL712">
        <f>IFERROR(AVERAGEIF($A$4:$A$1004,AI712,$X$4:$X$1004),"")</f>
        <v/>
      </c>
    </row>
    <row r="713">
      <c r="A713" s="1">
        <f>IF(Data!A713&gt;0,Data!A713,"")</f>
        <v/>
      </c>
      <c r="B713" s="1">
        <f>IF(Data!B713&gt;0,Data!B713,"")</f>
        <v/>
      </c>
      <c r="C713" s="1">
        <f>IF(Data!C713&gt;0,Data!C713,"")</f>
        <v/>
      </c>
      <c r="D713" s="1">
        <f>IF(Data!D713&gt;0,Data!D713,"")</f>
        <v/>
      </c>
      <c r="E713" s="1">
        <f>IF(Data!E713&gt;0,Data!E713,"")</f>
        <v/>
      </c>
      <c r="F713" s="1">
        <f>IF(Data!F713&gt;0,Data!F713,"")</f>
        <v/>
      </c>
      <c r="G713" s="1">
        <f>IF(Data!G713&gt;0,Data!G713,"")</f>
        <v/>
      </c>
      <c r="H713" s="1">
        <f>IF(Data!H713&gt;0,Data!H713,"")</f>
        <v/>
      </c>
      <c r="I713" s="1">
        <f>IF(Data!I713&gt;0,Data!I713,"")</f>
        <v/>
      </c>
      <c r="J713" s="1">
        <f>IF(Data!J713&gt;0,Data!J713,"")</f>
        <v/>
      </c>
      <c r="K713" s="1">
        <f>IF(Data!K713&gt;0,Data!K713,"")</f>
        <v/>
      </c>
      <c r="L713" s="1">
        <f>IF(Data!L713&gt;0,Data!L713,"")</f>
        <v/>
      </c>
      <c r="M713" s="1">
        <f>IF(Data!M713&gt;0,Data!M713,"")</f>
        <v/>
      </c>
      <c r="N713" s="1">
        <f>IF(Data!N713&gt;0,Data!N713,"")</f>
        <v/>
      </c>
      <c r="O713" s="1">
        <f>IF(Data!O713&gt;0,Data!O713,"")</f>
        <v/>
      </c>
      <c r="P713" s="1">
        <f>IF(Data!P713&gt;0,Data!P713,"")</f>
        <v/>
      </c>
      <c r="Q713" s="1">
        <f>IF(Data!Q713&gt;0,Data!Q713,"")</f>
        <v/>
      </c>
      <c r="R713" s="1">
        <f>IF(Data!R713&gt;0,Data!R713,"")</f>
        <v/>
      </c>
      <c r="S713" s="1">
        <f>IF(Data!S713&gt;0,Data!S713,"")</f>
        <v/>
      </c>
      <c r="V713" s="3">
        <f>IF(COUNT(D713,J713,K713,L713,M713,O713)&gt;0,AVERAGE(D713,J713,K713,L713,M713,O713),"")</f>
        <v/>
      </c>
      <c r="W713" s="3">
        <f>IF(COUNT(C713,F713,G713,N713,Q713)&gt;0,AVERAGE(C713,F713,G713,N713,Q713),"")</f>
        <v/>
      </c>
      <c r="X713" s="3">
        <f>IF(COUNT(B713,E713,H713,I713,P713,R713,S713)&gt;0,AVERAGE(B713,E713,H713,I713,P713,R713,S713),"")</f>
        <v/>
      </c>
      <c r="Y713" s="3" t="n"/>
      <c r="AJ713">
        <f>IFERROR(AVERAGEIF($A$4:$A$1004,AI713,$V$4:$V$1004),"")</f>
        <v/>
      </c>
      <c r="AK713">
        <f>IFERROR(AVERAGEIF($A$4:$A$1004,AI713,$W$4:$W$1004),"")</f>
        <v/>
      </c>
      <c r="AL713">
        <f>IFERROR(AVERAGEIF($A$4:$A$1004,AI713,$X$4:$X$1004),"")</f>
        <v/>
      </c>
    </row>
    <row r="714">
      <c r="A714" s="1">
        <f>IF(Data!A714&gt;0,Data!A714,"")</f>
        <v/>
      </c>
      <c r="B714" s="1">
        <f>IF(Data!B714&gt;0,Data!B714,"")</f>
        <v/>
      </c>
      <c r="C714" s="1">
        <f>IF(Data!C714&gt;0,Data!C714,"")</f>
        <v/>
      </c>
      <c r="D714" s="1">
        <f>IF(Data!D714&gt;0,Data!D714,"")</f>
        <v/>
      </c>
      <c r="E714" s="1">
        <f>IF(Data!E714&gt;0,Data!E714,"")</f>
        <v/>
      </c>
      <c r="F714" s="1">
        <f>IF(Data!F714&gt;0,Data!F714,"")</f>
        <v/>
      </c>
      <c r="G714" s="1">
        <f>IF(Data!G714&gt;0,Data!G714,"")</f>
        <v/>
      </c>
      <c r="H714" s="1">
        <f>IF(Data!H714&gt;0,Data!H714,"")</f>
        <v/>
      </c>
      <c r="I714" s="1">
        <f>IF(Data!I714&gt;0,Data!I714,"")</f>
        <v/>
      </c>
      <c r="J714" s="1">
        <f>IF(Data!J714&gt;0,Data!J714,"")</f>
        <v/>
      </c>
      <c r="K714" s="1">
        <f>IF(Data!K714&gt;0,Data!K714,"")</f>
        <v/>
      </c>
      <c r="L714" s="1">
        <f>IF(Data!L714&gt;0,Data!L714,"")</f>
        <v/>
      </c>
      <c r="M714" s="1">
        <f>IF(Data!M714&gt;0,Data!M714,"")</f>
        <v/>
      </c>
      <c r="N714" s="1">
        <f>IF(Data!N714&gt;0,Data!N714,"")</f>
        <v/>
      </c>
      <c r="O714" s="1">
        <f>IF(Data!O714&gt;0,Data!O714,"")</f>
        <v/>
      </c>
      <c r="P714" s="1">
        <f>IF(Data!P714&gt;0,Data!P714,"")</f>
        <v/>
      </c>
      <c r="Q714" s="1">
        <f>IF(Data!Q714&gt;0,Data!Q714,"")</f>
        <v/>
      </c>
      <c r="R714" s="1">
        <f>IF(Data!R714&gt;0,Data!R714,"")</f>
        <v/>
      </c>
      <c r="S714" s="1">
        <f>IF(Data!S714&gt;0,Data!S714,"")</f>
        <v/>
      </c>
      <c r="V714" s="3">
        <f>IF(COUNT(D714,J714,K714,L714,M714,O714)&gt;0,AVERAGE(D714,J714,K714,L714,M714,O714),"")</f>
        <v/>
      </c>
      <c r="W714" s="3">
        <f>IF(COUNT(C714,F714,G714,N714,Q714)&gt;0,AVERAGE(C714,F714,G714,N714,Q714),"")</f>
        <v/>
      </c>
      <c r="X714" s="3">
        <f>IF(COUNT(B714,E714,H714,I714,P714,R714,S714)&gt;0,AVERAGE(B714,E714,H714,I714,P714,R714,S714),"")</f>
        <v/>
      </c>
      <c r="Y714" s="3" t="n"/>
      <c r="AJ714">
        <f>IFERROR(AVERAGEIF($A$4:$A$1004,AI714,$V$4:$V$1004),"")</f>
        <v/>
      </c>
      <c r="AK714">
        <f>IFERROR(AVERAGEIF($A$4:$A$1004,AI714,$W$4:$W$1004),"")</f>
        <v/>
      </c>
      <c r="AL714">
        <f>IFERROR(AVERAGEIF($A$4:$A$1004,AI714,$X$4:$X$1004),"")</f>
        <v/>
      </c>
    </row>
    <row r="715">
      <c r="A715" s="1">
        <f>IF(Data!A715&gt;0,Data!A715,"")</f>
        <v/>
      </c>
      <c r="B715" s="1">
        <f>IF(Data!B715&gt;0,Data!B715,"")</f>
        <v/>
      </c>
      <c r="C715" s="1">
        <f>IF(Data!C715&gt;0,Data!C715,"")</f>
        <v/>
      </c>
      <c r="D715" s="1">
        <f>IF(Data!D715&gt;0,Data!D715,"")</f>
        <v/>
      </c>
      <c r="E715" s="1">
        <f>IF(Data!E715&gt;0,Data!E715,"")</f>
        <v/>
      </c>
      <c r="F715" s="1">
        <f>IF(Data!F715&gt;0,Data!F715,"")</f>
        <v/>
      </c>
      <c r="G715" s="1">
        <f>IF(Data!G715&gt;0,Data!G715,"")</f>
        <v/>
      </c>
      <c r="H715" s="1">
        <f>IF(Data!H715&gt;0,Data!H715,"")</f>
        <v/>
      </c>
      <c r="I715" s="1">
        <f>IF(Data!I715&gt;0,Data!I715,"")</f>
        <v/>
      </c>
      <c r="J715" s="1">
        <f>IF(Data!J715&gt;0,Data!J715,"")</f>
        <v/>
      </c>
      <c r="K715" s="1">
        <f>IF(Data!K715&gt;0,Data!K715,"")</f>
        <v/>
      </c>
      <c r="L715" s="1">
        <f>IF(Data!L715&gt;0,Data!L715,"")</f>
        <v/>
      </c>
      <c r="M715" s="1">
        <f>IF(Data!M715&gt;0,Data!M715,"")</f>
        <v/>
      </c>
      <c r="N715" s="1">
        <f>IF(Data!N715&gt;0,Data!N715,"")</f>
        <v/>
      </c>
      <c r="O715" s="1">
        <f>IF(Data!O715&gt;0,Data!O715,"")</f>
        <v/>
      </c>
      <c r="P715" s="1">
        <f>IF(Data!P715&gt;0,Data!P715,"")</f>
        <v/>
      </c>
      <c r="Q715" s="1">
        <f>IF(Data!Q715&gt;0,Data!Q715,"")</f>
        <v/>
      </c>
      <c r="R715" s="1">
        <f>IF(Data!R715&gt;0,Data!R715,"")</f>
        <v/>
      </c>
      <c r="S715" s="1">
        <f>IF(Data!S715&gt;0,Data!S715,"")</f>
        <v/>
      </c>
      <c r="V715" s="3">
        <f>IF(COUNT(D715,J715,K715,L715,M715,O715)&gt;0,AVERAGE(D715,J715,K715,L715,M715,O715),"")</f>
        <v/>
      </c>
      <c r="W715" s="3">
        <f>IF(COUNT(C715,F715,G715,N715,Q715)&gt;0,AVERAGE(C715,F715,G715,N715,Q715),"")</f>
        <v/>
      </c>
      <c r="X715" s="3">
        <f>IF(COUNT(B715,E715,H715,I715,P715,R715,S715)&gt;0,AVERAGE(B715,E715,H715,I715,P715,R715,S715),"")</f>
        <v/>
      </c>
      <c r="Y715" s="3" t="n"/>
      <c r="AJ715">
        <f>IFERROR(AVERAGEIF($A$4:$A$1004,AI715,$V$4:$V$1004),"")</f>
        <v/>
      </c>
      <c r="AK715">
        <f>IFERROR(AVERAGEIF($A$4:$A$1004,AI715,$W$4:$W$1004),"")</f>
        <v/>
      </c>
      <c r="AL715">
        <f>IFERROR(AVERAGEIF($A$4:$A$1004,AI715,$X$4:$X$1004),"")</f>
        <v/>
      </c>
    </row>
    <row r="716">
      <c r="A716" s="1">
        <f>IF(Data!A716&gt;0,Data!A716,"")</f>
        <v/>
      </c>
      <c r="B716" s="1">
        <f>IF(Data!B716&gt;0,Data!B716,"")</f>
        <v/>
      </c>
      <c r="C716" s="1">
        <f>IF(Data!C716&gt;0,Data!C716,"")</f>
        <v/>
      </c>
      <c r="D716" s="1">
        <f>IF(Data!D716&gt;0,Data!D716,"")</f>
        <v/>
      </c>
      <c r="E716" s="1">
        <f>IF(Data!E716&gt;0,Data!E716,"")</f>
        <v/>
      </c>
      <c r="F716" s="1">
        <f>IF(Data!F716&gt;0,Data!F716,"")</f>
        <v/>
      </c>
      <c r="G716" s="1">
        <f>IF(Data!G716&gt;0,Data!G716,"")</f>
        <v/>
      </c>
      <c r="H716" s="1">
        <f>IF(Data!H716&gt;0,Data!H716,"")</f>
        <v/>
      </c>
      <c r="I716" s="1">
        <f>IF(Data!I716&gt;0,Data!I716,"")</f>
        <v/>
      </c>
      <c r="J716" s="1">
        <f>IF(Data!J716&gt;0,Data!J716,"")</f>
        <v/>
      </c>
      <c r="K716" s="1">
        <f>IF(Data!K716&gt;0,Data!K716,"")</f>
        <v/>
      </c>
      <c r="L716" s="1">
        <f>IF(Data!L716&gt;0,Data!L716,"")</f>
        <v/>
      </c>
      <c r="M716" s="1">
        <f>IF(Data!M716&gt;0,Data!M716,"")</f>
        <v/>
      </c>
      <c r="N716" s="1">
        <f>IF(Data!N716&gt;0,Data!N716,"")</f>
        <v/>
      </c>
      <c r="O716" s="1">
        <f>IF(Data!O716&gt;0,Data!O716,"")</f>
        <v/>
      </c>
      <c r="P716" s="1">
        <f>IF(Data!P716&gt;0,Data!P716,"")</f>
        <v/>
      </c>
      <c r="Q716" s="1">
        <f>IF(Data!Q716&gt;0,Data!Q716,"")</f>
        <v/>
      </c>
      <c r="R716" s="1">
        <f>IF(Data!R716&gt;0,Data!R716,"")</f>
        <v/>
      </c>
      <c r="S716" s="1">
        <f>IF(Data!S716&gt;0,Data!S716,"")</f>
        <v/>
      </c>
      <c r="V716" s="3">
        <f>IF(COUNT(D716,J716,K716,L716,M716,O716)&gt;0,AVERAGE(D716,J716,K716,L716,M716,O716),"")</f>
        <v/>
      </c>
      <c r="W716" s="3">
        <f>IF(COUNT(C716,F716,G716,N716,Q716)&gt;0,AVERAGE(C716,F716,G716,N716,Q716),"")</f>
        <v/>
      </c>
      <c r="X716" s="3">
        <f>IF(COUNT(B716,E716,H716,I716,P716,R716,S716)&gt;0,AVERAGE(B716,E716,H716,I716,P716,R716,S716),"")</f>
        <v/>
      </c>
      <c r="Y716" s="3" t="n"/>
      <c r="AJ716">
        <f>IFERROR(AVERAGEIF($A$4:$A$1004,AI716,$V$4:$V$1004),"")</f>
        <v/>
      </c>
      <c r="AK716">
        <f>IFERROR(AVERAGEIF($A$4:$A$1004,AI716,$W$4:$W$1004),"")</f>
        <v/>
      </c>
      <c r="AL716">
        <f>IFERROR(AVERAGEIF($A$4:$A$1004,AI716,$X$4:$X$1004),"")</f>
        <v/>
      </c>
    </row>
    <row r="717">
      <c r="A717" s="1">
        <f>IF(Data!A717&gt;0,Data!A717,"")</f>
        <v/>
      </c>
      <c r="B717" s="1">
        <f>IF(Data!B717&gt;0,Data!B717,"")</f>
        <v/>
      </c>
      <c r="C717" s="1">
        <f>IF(Data!C717&gt;0,Data!C717,"")</f>
        <v/>
      </c>
      <c r="D717" s="1">
        <f>IF(Data!D717&gt;0,Data!D717,"")</f>
        <v/>
      </c>
      <c r="E717" s="1">
        <f>IF(Data!E717&gt;0,Data!E717,"")</f>
        <v/>
      </c>
      <c r="F717" s="1">
        <f>IF(Data!F717&gt;0,Data!F717,"")</f>
        <v/>
      </c>
      <c r="G717" s="1">
        <f>IF(Data!G717&gt;0,Data!G717,"")</f>
        <v/>
      </c>
      <c r="H717" s="1">
        <f>IF(Data!H717&gt;0,Data!H717,"")</f>
        <v/>
      </c>
      <c r="I717" s="1">
        <f>IF(Data!I717&gt;0,Data!I717,"")</f>
        <v/>
      </c>
      <c r="J717" s="1">
        <f>IF(Data!J717&gt;0,Data!J717,"")</f>
        <v/>
      </c>
      <c r="K717" s="1">
        <f>IF(Data!K717&gt;0,Data!K717,"")</f>
        <v/>
      </c>
      <c r="L717" s="1">
        <f>IF(Data!L717&gt;0,Data!L717,"")</f>
        <v/>
      </c>
      <c r="M717" s="1">
        <f>IF(Data!M717&gt;0,Data!M717,"")</f>
        <v/>
      </c>
      <c r="N717" s="1">
        <f>IF(Data!N717&gt;0,Data!N717,"")</f>
        <v/>
      </c>
      <c r="O717" s="1">
        <f>IF(Data!O717&gt;0,Data!O717,"")</f>
        <v/>
      </c>
      <c r="P717" s="1">
        <f>IF(Data!P717&gt;0,Data!P717,"")</f>
        <v/>
      </c>
      <c r="Q717" s="1">
        <f>IF(Data!Q717&gt;0,Data!Q717,"")</f>
        <v/>
      </c>
      <c r="R717" s="1">
        <f>IF(Data!R717&gt;0,Data!R717,"")</f>
        <v/>
      </c>
      <c r="S717" s="1">
        <f>IF(Data!S717&gt;0,Data!S717,"")</f>
        <v/>
      </c>
      <c r="V717" s="3">
        <f>IF(COUNT(D717,J717,K717,L717,M717,O717)&gt;0,AVERAGE(D717,J717,K717,L717,M717,O717),"")</f>
        <v/>
      </c>
      <c r="W717" s="3">
        <f>IF(COUNT(C717,F717,G717,N717,Q717)&gt;0,AVERAGE(C717,F717,G717,N717,Q717),"")</f>
        <v/>
      </c>
      <c r="X717" s="3">
        <f>IF(COUNT(B717,E717,H717,I717,P717,R717,S717)&gt;0,AVERAGE(B717,E717,H717,I717,P717,R717,S717),"")</f>
        <v/>
      </c>
      <c r="Y717" s="3" t="n"/>
      <c r="AJ717">
        <f>IFERROR(AVERAGEIF($A$4:$A$1004,AI717,$V$4:$V$1004),"")</f>
        <v/>
      </c>
      <c r="AK717">
        <f>IFERROR(AVERAGEIF($A$4:$A$1004,AI717,$W$4:$W$1004),"")</f>
        <v/>
      </c>
      <c r="AL717">
        <f>IFERROR(AVERAGEIF($A$4:$A$1004,AI717,$X$4:$X$1004),"")</f>
        <v/>
      </c>
    </row>
    <row r="718">
      <c r="A718" s="1">
        <f>IF(Data!A718&gt;0,Data!A718,"")</f>
        <v/>
      </c>
      <c r="B718" s="1">
        <f>IF(Data!B718&gt;0,Data!B718,"")</f>
        <v/>
      </c>
      <c r="C718" s="1">
        <f>IF(Data!C718&gt;0,Data!C718,"")</f>
        <v/>
      </c>
      <c r="D718" s="1">
        <f>IF(Data!D718&gt;0,Data!D718,"")</f>
        <v/>
      </c>
      <c r="E718" s="1">
        <f>IF(Data!E718&gt;0,Data!E718,"")</f>
        <v/>
      </c>
      <c r="F718" s="1">
        <f>IF(Data!F718&gt;0,Data!F718,"")</f>
        <v/>
      </c>
      <c r="G718" s="1">
        <f>IF(Data!G718&gt;0,Data!G718,"")</f>
        <v/>
      </c>
      <c r="H718" s="1">
        <f>IF(Data!H718&gt;0,Data!H718,"")</f>
        <v/>
      </c>
      <c r="I718" s="1">
        <f>IF(Data!I718&gt;0,Data!I718,"")</f>
        <v/>
      </c>
      <c r="J718" s="1">
        <f>IF(Data!J718&gt;0,Data!J718,"")</f>
        <v/>
      </c>
      <c r="K718" s="1">
        <f>IF(Data!K718&gt;0,Data!K718,"")</f>
        <v/>
      </c>
      <c r="L718" s="1">
        <f>IF(Data!L718&gt;0,Data!L718,"")</f>
        <v/>
      </c>
      <c r="M718" s="1">
        <f>IF(Data!M718&gt;0,Data!M718,"")</f>
        <v/>
      </c>
      <c r="N718" s="1">
        <f>IF(Data!N718&gt;0,Data!N718,"")</f>
        <v/>
      </c>
      <c r="O718" s="1">
        <f>IF(Data!O718&gt;0,Data!O718,"")</f>
        <v/>
      </c>
      <c r="P718" s="1">
        <f>IF(Data!P718&gt;0,Data!P718,"")</f>
        <v/>
      </c>
      <c r="Q718" s="1">
        <f>IF(Data!Q718&gt;0,Data!Q718,"")</f>
        <v/>
      </c>
      <c r="R718" s="1">
        <f>IF(Data!R718&gt;0,Data!R718,"")</f>
        <v/>
      </c>
      <c r="S718" s="1">
        <f>IF(Data!S718&gt;0,Data!S718,"")</f>
        <v/>
      </c>
      <c r="V718" s="3">
        <f>IF(COUNT(D718,J718,K718,L718,M718,O718)&gt;0,AVERAGE(D718,J718,K718,L718,M718,O718),"")</f>
        <v/>
      </c>
      <c r="W718" s="3">
        <f>IF(COUNT(C718,F718,G718,N718,Q718)&gt;0,AVERAGE(C718,F718,G718,N718,Q718),"")</f>
        <v/>
      </c>
      <c r="X718" s="3">
        <f>IF(COUNT(B718,E718,H718,I718,P718,R718,S718)&gt;0,AVERAGE(B718,E718,H718,I718,P718,R718,S718),"")</f>
        <v/>
      </c>
      <c r="Y718" s="3" t="n"/>
      <c r="AJ718">
        <f>IFERROR(AVERAGEIF($A$4:$A$1004,AI718,$V$4:$V$1004),"")</f>
        <v/>
      </c>
      <c r="AK718">
        <f>IFERROR(AVERAGEIF($A$4:$A$1004,AI718,$W$4:$W$1004),"")</f>
        <v/>
      </c>
      <c r="AL718">
        <f>IFERROR(AVERAGEIF($A$4:$A$1004,AI718,$X$4:$X$1004),"")</f>
        <v/>
      </c>
    </row>
    <row r="719">
      <c r="A719" s="1">
        <f>IF(Data!A719&gt;0,Data!A719,"")</f>
        <v/>
      </c>
      <c r="B719" s="1">
        <f>IF(Data!B719&gt;0,Data!B719,"")</f>
        <v/>
      </c>
      <c r="C719" s="1">
        <f>IF(Data!C719&gt;0,Data!C719,"")</f>
        <v/>
      </c>
      <c r="D719" s="1">
        <f>IF(Data!D719&gt;0,Data!D719,"")</f>
        <v/>
      </c>
      <c r="E719" s="1">
        <f>IF(Data!E719&gt;0,Data!E719,"")</f>
        <v/>
      </c>
      <c r="F719" s="1">
        <f>IF(Data!F719&gt;0,Data!F719,"")</f>
        <v/>
      </c>
      <c r="G719" s="1">
        <f>IF(Data!G719&gt;0,Data!G719,"")</f>
        <v/>
      </c>
      <c r="H719" s="1">
        <f>IF(Data!H719&gt;0,Data!H719,"")</f>
        <v/>
      </c>
      <c r="I719" s="1">
        <f>IF(Data!I719&gt;0,Data!I719,"")</f>
        <v/>
      </c>
      <c r="J719" s="1">
        <f>IF(Data!J719&gt;0,Data!J719,"")</f>
        <v/>
      </c>
      <c r="K719" s="1">
        <f>IF(Data!K719&gt;0,Data!K719,"")</f>
        <v/>
      </c>
      <c r="L719" s="1">
        <f>IF(Data!L719&gt;0,Data!L719,"")</f>
        <v/>
      </c>
      <c r="M719" s="1">
        <f>IF(Data!M719&gt;0,Data!M719,"")</f>
        <v/>
      </c>
      <c r="N719" s="1">
        <f>IF(Data!N719&gt;0,Data!N719,"")</f>
        <v/>
      </c>
      <c r="O719" s="1">
        <f>IF(Data!O719&gt;0,Data!O719,"")</f>
        <v/>
      </c>
      <c r="P719" s="1">
        <f>IF(Data!P719&gt;0,Data!P719,"")</f>
        <v/>
      </c>
      <c r="Q719" s="1">
        <f>IF(Data!Q719&gt;0,Data!Q719,"")</f>
        <v/>
      </c>
      <c r="R719" s="1">
        <f>IF(Data!R719&gt;0,Data!R719,"")</f>
        <v/>
      </c>
      <c r="S719" s="1">
        <f>IF(Data!S719&gt;0,Data!S719,"")</f>
        <v/>
      </c>
      <c r="V719" s="3">
        <f>IF(COUNT(D719,J719,K719,L719,M719,O719)&gt;0,AVERAGE(D719,J719,K719,L719,M719,O719),"")</f>
        <v/>
      </c>
      <c r="W719" s="3">
        <f>IF(COUNT(C719,F719,G719,N719,Q719)&gt;0,AVERAGE(C719,F719,G719,N719,Q719),"")</f>
        <v/>
      </c>
      <c r="X719" s="3">
        <f>IF(COUNT(B719,E719,H719,I719,P719,R719,S719)&gt;0,AVERAGE(B719,E719,H719,I719,P719,R719,S719),"")</f>
        <v/>
      </c>
      <c r="Y719" s="3" t="n"/>
      <c r="AJ719">
        <f>IFERROR(AVERAGEIF($A$4:$A$1004,AI719,$V$4:$V$1004),"")</f>
        <v/>
      </c>
      <c r="AK719">
        <f>IFERROR(AVERAGEIF($A$4:$A$1004,AI719,$W$4:$W$1004),"")</f>
        <v/>
      </c>
      <c r="AL719">
        <f>IFERROR(AVERAGEIF($A$4:$A$1004,AI719,$X$4:$X$1004),"")</f>
        <v/>
      </c>
    </row>
    <row r="720">
      <c r="A720" s="1">
        <f>IF(Data!A720&gt;0,Data!A720,"")</f>
        <v/>
      </c>
      <c r="B720" s="1">
        <f>IF(Data!B720&gt;0,Data!B720,"")</f>
        <v/>
      </c>
      <c r="C720" s="1">
        <f>IF(Data!C720&gt;0,Data!C720,"")</f>
        <v/>
      </c>
      <c r="D720" s="1">
        <f>IF(Data!D720&gt;0,Data!D720,"")</f>
        <v/>
      </c>
      <c r="E720" s="1">
        <f>IF(Data!E720&gt;0,Data!E720,"")</f>
        <v/>
      </c>
      <c r="F720" s="1">
        <f>IF(Data!F720&gt;0,Data!F720,"")</f>
        <v/>
      </c>
      <c r="G720" s="1">
        <f>IF(Data!G720&gt;0,Data!G720,"")</f>
        <v/>
      </c>
      <c r="H720" s="1">
        <f>IF(Data!H720&gt;0,Data!H720,"")</f>
        <v/>
      </c>
      <c r="I720" s="1">
        <f>IF(Data!I720&gt;0,Data!I720,"")</f>
        <v/>
      </c>
      <c r="J720" s="1">
        <f>IF(Data!J720&gt;0,Data!J720,"")</f>
        <v/>
      </c>
      <c r="K720" s="1">
        <f>IF(Data!K720&gt;0,Data!K720,"")</f>
        <v/>
      </c>
      <c r="L720" s="1">
        <f>IF(Data!L720&gt;0,Data!L720,"")</f>
        <v/>
      </c>
      <c r="M720" s="1">
        <f>IF(Data!M720&gt;0,Data!M720,"")</f>
        <v/>
      </c>
      <c r="N720" s="1">
        <f>IF(Data!N720&gt;0,Data!N720,"")</f>
        <v/>
      </c>
      <c r="O720" s="1">
        <f>IF(Data!O720&gt;0,Data!O720,"")</f>
        <v/>
      </c>
      <c r="P720" s="1">
        <f>IF(Data!P720&gt;0,Data!P720,"")</f>
        <v/>
      </c>
      <c r="Q720" s="1">
        <f>IF(Data!Q720&gt;0,Data!Q720,"")</f>
        <v/>
      </c>
      <c r="R720" s="1">
        <f>IF(Data!R720&gt;0,Data!R720,"")</f>
        <v/>
      </c>
      <c r="S720" s="1">
        <f>IF(Data!S720&gt;0,Data!S720,"")</f>
        <v/>
      </c>
      <c r="V720" s="3">
        <f>IF(COUNT(D720,J720,K720,L720,M720,O720)&gt;0,AVERAGE(D720,J720,K720,L720,M720,O720),"")</f>
        <v/>
      </c>
      <c r="W720" s="3">
        <f>IF(COUNT(C720,F720,G720,N720,Q720)&gt;0,AVERAGE(C720,F720,G720,N720,Q720),"")</f>
        <v/>
      </c>
      <c r="X720" s="3">
        <f>IF(COUNT(B720,E720,H720,I720,P720,R720,S720)&gt;0,AVERAGE(B720,E720,H720,I720,P720,R720,S720),"")</f>
        <v/>
      </c>
      <c r="Y720" s="3" t="n"/>
      <c r="AJ720">
        <f>IFERROR(AVERAGEIF($A$4:$A$1004,AI720,$V$4:$V$1004),"")</f>
        <v/>
      </c>
      <c r="AK720">
        <f>IFERROR(AVERAGEIF($A$4:$A$1004,AI720,$W$4:$W$1004),"")</f>
        <v/>
      </c>
      <c r="AL720">
        <f>IFERROR(AVERAGEIF($A$4:$A$1004,AI720,$X$4:$X$1004),"")</f>
        <v/>
      </c>
    </row>
    <row r="721">
      <c r="A721" s="1">
        <f>IF(Data!A721&gt;0,Data!A721,"")</f>
        <v/>
      </c>
      <c r="B721" s="1">
        <f>IF(Data!B721&gt;0,Data!B721,"")</f>
        <v/>
      </c>
      <c r="C721" s="1">
        <f>IF(Data!C721&gt;0,Data!C721,"")</f>
        <v/>
      </c>
      <c r="D721" s="1">
        <f>IF(Data!D721&gt;0,Data!D721,"")</f>
        <v/>
      </c>
      <c r="E721" s="1">
        <f>IF(Data!E721&gt;0,Data!E721,"")</f>
        <v/>
      </c>
      <c r="F721" s="1">
        <f>IF(Data!F721&gt;0,Data!F721,"")</f>
        <v/>
      </c>
      <c r="G721" s="1">
        <f>IF(Data!G721&gt;0,Data!G721,"")</f>
        <v/>
      </c>
      <c r="H721" s="1">
        <f>IF(Data!H721&gt;0,Data!H721,"")</f>
        <v/>
      </c>
      <c r="I721" s="1">
        <f>IF(Data!I721&gt;0,Data!I721,"")</f>
        <v/>
      </c>
      <c r="J721" s="1">
        <f>IF(Data!J721&gt;0,Data!J721,"")</f>
        <v/>
      </c>
      <c r="K721" s="1">
        <f>IF(Data!K721&gt;0,Data!K721,"")</f>
        <v/>
      </c>
      <c r="L721" s="1">
        <f>IF(Data!L721&gt;0,Data!L721,"")</f>
        <v/>
      </c>
      <c r="M721" s="1">
        <f>IF(Data!M721&gt;0,Data!M721,"")</f>
        <v/>
      </c>
      <c r="N721" s="1">
        <f>IF(Data!N721&gt;0,Data!N721,"")</f>
        <v/>
      </c>
      <c r="O721" s="1">
        <f>IF(Data!O721&gt;0,Data!O721,"")</f>
        <v/>
      </c>
      <c r="P721" s="1">
        <f>IF(Data!P721&gt;0,Data!P721,"")</f>
        <v/>
      </c>
      <c r="Q721" s="1">
        <f>IF(Data!Q721&gt;0,Data!Q721,"")</f>
        <v/>
      </c>
      <c r="R721" s="1">
        <f>IF(Data!R721&gt;0,Data!R721,"")</f>
        <v/>
      </c>
      <c r="S721" s="1">
        <f>IF(Data!S721&gt;0,Data!S721,"")</f>
        <v/>
      </c>
      <c r="V721" s="3">
        <f>IF(COUNT(D721,J721,K721,L721,M721,O721)&gt;0,AVERAGE(D721,J721,K721,L721,M721,O721),"")</f>
        <v/>
      </c>
      <c r="W721" s="3">
        <f>IF(COUNT(C721,F721,G721,N721,Q721)&gt;0,AVERAGE(C721,F721,G721,N721,Q721),"")</f>
        <v/>
      </c>
      <c r="X721" s="3">
        <f>IF(COUNT(B721,E721,H721,I721,P721,R721,S721)&gt;0,AVERAGE(B721,E721,H721,I721,P721,R721,S721),"")</f>
        <v/>
      </c>
      <c r="Y721" s="3" t="n"/>
      <c r="AJ721">
        <f>IFERROR(AVERAGEIF($A$4:$A$1004,AI721,$V$4:$V$1004),"")</f>
        <v/>
      </c>
      <c r="AK721">
        <f>IFERROR(AVERAGEIF($A$4:$A$1004,AI721,$W$4:$W$1004),"")</f>
        <v/>
      </c>
      <c r="AL721">
        <f>IFERROR(AVERAGEIF($A$4:$A$1004,AI721,$X$4:$X$1004),"")</f>
        <v/>
      </c>
    </row>
    <row r="722">
      <c r="A722" s="1">
        <f>IF(Data!A722&gt;0,Data!A722,"")</f>
        <v/>
      </c>
      <c r="B722" s="1">
        <f>IF(Data!B722&gt;0,Data!B722,"")</f>
        <v/>
      </c>
      <c r="C722" s="1">
        <f>IF(Data!C722&gt;0,Data!C722,"")</f>
        <v/>
      </c>
      <c r="D722" s="1">
        <f>IF(Data!D722&gt;0,Data!D722,"")</f>
        <v/>
      </c>
      <c r="E722" s="1">
        <f>IF(Data!E722&gt;0,Data!E722,"")</f>
        <v/>
      </c>
      <c r="F722" s="1">
        <f>IF(Data!F722&gt;0,Data!F722,"")</f>
        <v/>
      </c>
      <c r="G722" s="1">
        <f>IF(Data!G722&gt;0,Data!G722,"")</f>
        <v/>
      </c>
      <c r="H722" s="1">
        <f>IF(Data!H722&gt;0,Data!H722,"")</f>
        <v/>
      </c>
      <c r="I722" s="1">
        <f>IF(Data!I722&gt;0,Data!I722,"")</f>
        <v/>
      </c>
      <c r="J722" s="1">
        <f>IF(Data!J722&gt;0,Data!J722,"")</f>
        <v/>
      </c>
      <c r="K722" s="1">
        <f>IF(Data!K722&gt;0,Data!K722,"")</f>
        <v/>
      </c>
      <c r="L722" s="1">
        <f>IF(Data!L722&gt;0,Data!L722,"")</f>
        <v/>
      </c>
      <c r="M722" s="1">
        <f>IF(Data!M722&gt;0,Data!M722,"")</f>
        <v/>
      </c>
      <c r="N722" s="1">
        <f>IF(Data!N722&gt;0,Data!N722,"")</f>
        <v/>
      </c>
      <c r="O722" s="1">
        <f>IF(Data!O722&gt;0,Data!O722,"")</f>
        <v/>
      </c>
      <c r="P722" s="1">
        <f>IF(Data!P722&gt;0,Data!P722,"")</f>
        <v/>
      </c>
      <c r="Q722" s="1">
        <f>IF(Data!Q722&gt;0,Data!Q722,"")</f>
        <v/>
      </c>
      <c r="R722" s="1">
        <f>IF(Data!R722&gt;0,Data!R722,"")</f>
        <v/>
      </c>
      <c r="S722" s="1">
        <f>IF(Data!S722&gt;0,Data!S722,"")</f>
        <v/>
      </c>
      <c r="V722" s="3">
        <f>IF(COUNT(D722,J722,K722,L722,M722,O722)&gt;0,AVERAGE(D722,J722,K722,L722,M722,O722),"")</f>
        <v/>
      </c>
      <c r="W722" s="3">
        <f>IF(COUNT(C722,F722,G722,N722,Q722)&gt;0,AVERAGE(C722,F722,G722,N722,Q722),"")</f>
        <v/>
      </c>
      <c r="X722" s="3">
        <f>IF(COUNT(B722,E722,H722,I722,P722,R722,S722)&gt;0,AVERAGE(B722,E722,H722,I722,P722,R722,S722),"")</f>
        <v/>
      </c>
      <c r="Y722" s="3" t="n"/>
      <c r="AJ722">
        <f>IFERROR(AVERAGEIF($A$4:$A$1004,AI722,$V$4:$V$1004),"")</f>
        <v/>
      </c>
      <c r="AK722">
        <f>IFERROR(AVERAGEIF($A$4:$A$1004,AI722,$W$4:$W$1004),"")</f>
        <v/>
      </c>
      <c r="AL722">
        <f>IFERROR(AVERAGEIF($A$4:$A$1004,AI722,$X$4:$X$1004),"")</f>
        <v/>
      </c>
    </row>
    <row r="723">
      <c r="A723" s="1">
        <f>IF(Data!A723&gt;0,Data!A723,"")</f>
        <v/>
      </c>
      <c r="B723" s="1">
        <f>IF(Data!B723&gt;0,Data!B723,"")</f>
        <v/>
      </c>
      <c r="C723" s="1">
        <f>IF(Data!C723&gt;0,Data!C723,"")</f>
        <v/>
      </c>
      <c r="D723" s="1">
        <f>IF(Data!D723&gt;0,Data!D723,"")</f>
        <v/>
      </c>
      <c r="E723" s="1">
        <f>IF(Data!E723&gt;0,Data!E723,"")</f>
        <v/>
      </c>
      <c r="F723" s="1">
        <f>IF(Data!F723&gt;0,Data!F723,"")</f>
        <v/>
      </c>
      <c r="G723" s="1">
        <f>IF(Data!G723&gt;0,Data!G723,"")</f>
        <v/>
      </c>
      <c r="H723" s="1">
        <f>IF(Data!H723&gt;0,Data!H723,"")</f>
        <v/>
      </c>
      <c r="I723" s="1">
        <f>IF(Data!I723&gt;0,Data!I723,"")</f>
        <v/>
      </c>
      <c r="J723" s="1">
        <f>IF(Data!J723&gt;0,Data!J723,"")</f>
        <v/>
      </c>
      <c r="K723" s="1">
        <f>IF(Data!K723&gt;0,Data!K723,"")</f>
        <v/>
      </c>
      <c r="L723" s="1">
        <f>IF(Data!L723&gt;0,Data!L723,"")</f>
        <v/>
      </c>
      <c r="M723" s="1">
        <f>IF(Data!M723&gt;0,Data!M723,"")</f>
        <v/>
      </c>
      <c r="N723" s="1">
        <f>IF(Data!N723&gt;0,Data!N723,"")</f>
        <v/>
      </c>
      <c r="O723" s="1">
        <f>IF(Data!O723&gt;0,Data!O723,"")</f>
        <v/>
      </c>
      <c r="P723" s="1">
        <f>IF(Data!P723&gt;0,Data!P723,"")</f>
        <v/>
      </c>
      <c r="Q723" s="1">
        <f>IF(Data!Q723&gt;0,Data!Q723,"")</f>
        <v/>
      </c>
      <c r="R723" s="1">
        <f>IF(Data!R723&gt;0,Data!R723,"")</f>
        <v/>
      </c>
      <c r="S723" s="1">
        <f>IF(Data!S723&gt;0,Data!S723,"")</f>
        <v/>
      </c>
      <c r="V723" s="3">
        <f>IF(COUNT(D723,J723,K723,L723,M723,O723)&gt;0,AVERAGE(D723,J723,K723,L723,M723,O723),"")</f>
        <v/>
      </c>
      <c r="W723" s="3">
        <f>IF(COUNT(C723,F723,G723,N723,Q723)&gt;0,AVERAGE(C723,F723,G723,N723,Q723),"")</f>
        <v/>
      </c>
      <c r="X723" s="3">
        <f>IF(COUNT(B723,E723,H723,I723,P723,R723,S723)&gt;0,AVERAGE(B723,E723,H723,I723,P723,R723,S723),"")</f>
        <v/>
      </c>
      <c r="Y723" s="3" t="n"/>
      <c r="AJ723">
        <f>IFERROR(AVERAGEIF($A$4:$A$1004,AI723,$V$4:$V$1004),"")</f>
        <v/>
      </c>
      <c r="AK723">
        <f>IFERROR(AVERAGEIF($A$4:$A$1004,AI723,$W$4:$W$1004),"")</f>
        <v/>
      </c>
      <c r="AL723">
        <f>IFERROR(AVERAGEIF($A$4:$A$1004,AI723,$X$4:$X$1004),"")</f>
        <v/>
      </c>
    </row>
    <row r="724">
      <c r="A724" s="1">
        <f>IF(Data!A724&gt;0,Data!A724,"")</f>
        <v/>
      </c>
      <c r="B724" s="1">
        <f>IF(Data!B724&gt;0,Data!B724,"")</f>
        <v/>
      </c>
      <c r="C724" s="1">
        <f>IF(Data!C724&gt;0,Data!C724,"")</f>
        <v/>
      </c>
      <c r="D724" s="1">
        <f>IF(Data!D724&gt;0,Data!D724,"")</f>
        <v/>
      </c>
      <c r="E724" s="1">
        <f>IF(Data!E724&gt;0,Data!E724,"")</f>
        <v/>
      </c>
      <c r="F724" s="1">
        <f>IF(Data!F724&gt;0,Data!F724,"")</f>
        <v/>
      </c>
      <c r="G724" s="1">
        <f>IF(Data!G724&gt;0,Data!G724,"")</f>
        <v/>
      </c>
      <c r="H724" s="1">
        <f>IF(Data!H724&gt;0,Data!H724,"")</f>
        <v/>
      </c>
      <c r="I724" s="1">
        <f>IF(Data!I724&gt;0,Data!I724,"")</f>
        <v/>
      </c>
      <c r="J724" s="1">
        <f>IF(Data!J724&gt;0,Data!J724,"")</f>
        <v/>
      </c>
      <c r="K724" s="1">
        <f>IF(Data!K724&gt;0,Data!K724,"")</f>
        <v/>
      </c>
      <c r="L724" s="1">
        <f>IF(Data!L724&gt;0,Data!L724,"")</f>
        <v/>
      </c>
      <c r="M724" s="1">
        <f>IF(Data!M724&gt;0,Data!M724,"")</f>
        <v/>
      </c>
      <c r="N724" s="1">
        <f>IF(Data!N724&gt;0,Data!N724,"")</f>
        <v/>
      </c>
      <c r="O724" s="1">
        <f>IF(Data!O724&gt;0,Data!O724,"")</f>
        <v/>
      </c>
      <c r="P724" s="1">
        <f>IF(Data!P724&gt;0,Data!P724,"")</f>
        <v/>
      </c>
      <c r="Q724" s="1">
        <f>IF(Data!Q724&gt;0,Data!Q724,"")</f>
        <v/>
      </c>
      <c r="R724" s="1">
        <f>IF(Data!R724&gt;0,Data!R724,"")</f>
        <v/>
      </c>
      <c r="S724" s="1">
        <f>IF(Data!S724&gt;0,Data!S724,"")</f>
        <v/>
      </c>
      <c r="V724" s="3">
        <f>IF(COUNT(D724,J724,K724,L724,M724,O724)&gt;0,AVERAGE(D724,J724,K724,L724,M724,O724),"")</f>
        <v/>
      </c>
      <c r="W724" s="3">
        <f>IF(COUNT(C724,F724,G724,N724,Q724)&gt;0,AVERAGE(C724,F724,G724,N724,Q724),"")</f>
        <v/>
      </c>
      <c r="X724" s="3">
        <f>IF(COUNT(B724,E724,H724,I724,P724,R724,S724)&gt;0,AVERAGE(B724,E724,H724,I724,P724,R724,S724),"")</f>
        <v/>
      </c>
      <c r="Y724" s="3" t="n"/>
      <c r="AJ724">
        <f>IFERROR(AVERAGEIF($A$4:$A$1004,AI724,$V$4:$V$1004),"")</f>
        <v/>
      </c>
      <c r="AK724">
        <f>IFERROR(AVERAGEIF($A$4:$A$1004,AI724,$W$4:$W$1004),"")</f>
        <v/>
      </c>
      <c r="AL724">
        <f>IFERROR(AVERAGEIF($A$4:$A$1004,AI724,$X$4:$X$1004),"")</f>
        <v/>
      </c>
    </row>
    <row r="725">
      <c r="A725" s="1">
        <f>IF(Data!A725&gt;0,Data!A725,"")</f>
        <v/>
      </c>
      <c r="B725" s="1">
        <f>IF(Data!B725&gt;0,Data!B725,"")</f>
        <v/>
      </c>
      <c r="C725" s="1">
        <f>IF(Data!C725&gt;0,Data!C725,"")</f>
        <v/>
      </c>
      <c r="D725" s="1">
        <f>IF(Data!D725&gt;0,Data!D725,"")</f>
        <v/>
      </c>
      <c r="E725" s="1">
        <f>IF(Data!E725&gt;0,Data!E725,"")</f>
        <v/>
      </c>
      <c r="F725" s="1">
        <f>IF(Data!F725&gt;0,Data!F725,"")</f>
        <v/>
      </c>
      <c r="G725" s="1">
        <f>IF(Data!G725&gt;0,Data!G725,"")</f>
        <v/>
      </c>
      <c r="H725" s="1">
        <f>IF(Data!H725&gt;0,Data!H725,"")</f>
        <v/>
      </c>
      <c r="I725" s="1">
        <f>IF(Data!I725&gt;0,Data!I725,"")</f>
        <v/>
      </c>
      <c r="J725" s="1">
        <f>IF(Data!J725&gt;0,Data!J725,"")</f>
        <v/>
      </c>
      <c r="K725" s="1">
        <f>IF(Data!K725&gt;0,Data!K725,"")</f>
        <v/>
      </c>
      <c r="L725" s="1">
        <f>IF(Data!L725&gt;0,Data!L725,"")</f>
        <v/>
      </c>
      <c r="M725" s="1">
        <f>IF(Data!M725&gt;0,Data!M725,"")</f>
        <v/>
      </c>
      <c r="N725" s="1">
        <f>IF(Data!N725&gt;0,Data!N725,"")</f>
        <v/>
      </c>
      <c r="O725" s="1">
        <f>IF(Data!O725&gt;0,Data!O725,"")</f>
        <v/>
      </c>
      <c r="P725" s="1">
        <f>IF(Data!P725&gt;0,Data!P725,"")</f>
        <v/>
      </c>
      <c r="Q725" s="1">
        <f>IF(Data!Q725&gt;0,Data!Q725,"")</f>
        <v/>
      </c>
      <c r="R725" s="1">
        <f>IF(Data!R725&gt;0,Data!R725,"")</f>
        <v/>
      </c>
      <c r="S725" s="1">
        <f>IF(Data!S725&gt;0,Data!S725,"")</f>
        <v/>
      </c>
      <c r="V725" s="3">
        <f>IF(COUNT(D725,J725,K725,L725,M725,O725)&gt;0,AVERAGE(D725,J725,K725,L725,M725,O725),"")</f>
        <v/>
      </c>
      <c r="W725" s="3">
        <f>IF(COUNT(C725,F725,G725,N725,Q725)&gt;0,AVERAGE(C725,F725,G725,N725,Q725),"")</f>
        <v/>
      </c>
      <c r="X725" s="3">
        <f>IF(COUNT(B725,E725,H725,I725,P725,R725,S725)&gt;0,AVERAGE(B725,E725,H725,I725,P725,R725,S725),"")</f>
        <v/>
      </c>
      <c r="Y725" s="3" t="n"/>
      <c r="AJ725">
        <f>IFERROR(AVERAGEIF($A$4:$A$1004,AI725,$V$4:$V$1004),"")</f>
        <v/>
      </c>
      <c r="AK725">
        <f>IFERROR(AVERAGEIF($A$4:$A$1004,AI725,$W$4:$W$1004),"")</f>
        <v/>
      </c>
      <c r="AL725">
        <f>IFERROR(AVERAGEIF($A$4:$A$1004,AI725,$X$4:$X$1004),"")</f>
        <v/>
      </c>
    </row>
    <row r="726">
      <c r="A726" s="1">
        <f>IF(Data!A726&gt;0,Data!A726,"")</f>
        <v/>
      </c>
      <c r="B726" s="1">
        <f>IF(Data!B726&gt;0,Data!B726,"")</f>
        <v/>
      </c>
      <c r="C726" s="1">
        <f>IF(Data!C726&gt;0,Data!C726,"")</f>
        <v/>
      </c>
      <c r="D726" s="1">
        <f>IF(Data!D726&gt;0,Data!D726,"")</f>
        <v/>
      </c>
      <c r="E726" s="1">
        <f>IF(Data!E726&gt;0,Data!E726,"")</f>
        <v/>
      </c>
      <c r="F726" s="1">
        <f>IF(Data!F726&gt;0,Data!F726,"")</f>
        <v/>
      </c>
      <c r="G726" s="1">
        <f>IF(Data!G726&gt;0,Data!G726,"")</f>
        <v/>
      </c>
      <c r="H726" s="1">
        <f>IF(Data!H726&gt;0,Data!H726,"")</f>
        <v/>
      </c>
      <c r="I726" s="1">
        <f>IF(Data!I726&gt;0,Data!I726,"")</f>
        <v/>
      </c>
      <c r="J726" s="1">
        <f>IF(Data!J726&gt;0,Data!J726,"")</f>
        <v/>
      </c>
      <c r="K726" s="1">
        <f>IF(Data!K726&gt;0,Data!K726,"")</f>
        <v/>
      </c>
      <c r="L726" s="1">
        <f>IF(Data!L726&gt;0,Data!L726,"")</f>
        <v/>
      </c>
      <c r="M726" s="1">
        <f>IF(Data!M726&gt;0,Data!M726,"")</f>
        <v/>
      </c>
      <c r="N726" s="1">
        <f>IF(Data!N726&gt;0,Data!N726,"")</f>
        <v/>
      </c>
      <c r="O726" s="1">
        <f>IF(Data!O726&gt;0,Data!O726,"")</f>
        <v/>
      </c>
      <c r="P726" s="1">
        <f>IF(Data!P726&gt;0,Data!P726,"")</f>
        <v/>
      </c>
      <c r="Q726" s="1">
        <f>IF(Data!Q726&gt;0,Data!Q726,"")</f>
        <v/>
      </c>
      <c r="R726" s="1">
        <f>IF(Data!R726&gt;0,Data!R726,"")</f>
        <v/>
      </c>
      <c r="S726" s="1">
        <f>IF(Data!S726&gt;0,Data!S726,"")</f>
        <v/>
      </c>
      <c r="V726" s="3">
        <f>IF(COUNT(D726,J726,K726,L726,M726,O726)&gt;0,AVERAGE(D726,J726,K726,L726,M726,O726),"")</f>
        <v/>
      </c>
      <c r="W726" s="3">
        <f>IF(COUNT(C726,F726,G726,N726,Q726)&gt;0,AVERAGE(C726,F726,G726,N726,Q726),"")</f>
        <v/>
      </c>
      <c r="X726" s="3">
        <f>IF(COUNT(B726,E726,H726,I726,P726,R726,S726)&gt;0,AVERAGE(B726,E726,H726,I726,P726,R726,S726),"")</f>
        <v/>
      </c>
      <c r="Y726" s="3" t="n"/>
      <c r="AJ726">
        <f>IFERROR(AVERAGEIF($A$4:$A$1004,AI726,$V$4:$V$1004),"")</f>
        <v/>
      </c>
      <c r="AK726">
        <f>IFERROR(AVERAGEIF($A$4:$A$1004,AI726,$W$4:$W$1004),"")</f>
        <v/>
      </c>
      <c r="AL726">
        <f>IFERROR(AVERAGEIF($A$4:$A$1004,AI726,$X$4:$X$1004),"")</f>
        <v/>
      </c>
    </row>
    <row r="727">
      <c r="A727" s="1">
        <f>IF(Data!A727&gt;0,Data!A727,"")</f>
        <v/>
      </c>
      <c r="B727" s="1">
        <f>IF(Data!B727&gt;0,Data!B727,"")</f>
        <v/>
      </c>
      <c r="C727" s="1">
        <f>IF(Data!C727&gt;0,Data!C727,"")</f>
        <v/>
      </c>
      <c r="D727" s="1">
        <f>IF(Data!D727&gt;0,Data!D727,"")</f>
        <v/>
      </c>
      <c r="E727" s="1">
        <f>IF(Data!E727&gt;0,Data!E727,"")</f>
        <v/>
      </c>
      <c r="F727" s="1">
        <f>IF(Data!F727&gt;0,Data!F727,"")</f>
        <v/>
      </c>
      <c r="G727" s="1">
        <f>IF(Data!G727&gt;0,Data!G727,"")</f>
        <v/>
      </c>
      <c r="H727" s="1">
        <f>IF(Data!H727&gt;0,Data!H727,"")</f>
        <v/>
      </c>
      <c r="I727" s="1">
        <f>IF(Data!I727&gt;0,Data!I727,"")</f>
        <v/>
      </c>
      <c r="J727" s="1">
        <f>IF(Data!J727&gt;0,Data!J727,"")</f>
        <v/>
      </c>
      <c r="K727" s="1">
        <f>IF(Data!K727&gt;0,Data!K727,"")</f>
        <v/>
      </c>
      <c r="L727" s="1">
        <f>IF(Data!L727&gt;0,Data!L727,"")</f>
        <v/>
      </c>
      <c r="M727" s="1">
        <f>IF(Data!M727&gt;0,Data!M727,"")</f>
        <v/>
      </c>
      <c r="N727" s="1">
        <f>IF(Data!N727&gt;0,Data!N727,"")</f>
        <v/>
      </c>
      <c r="O727" s="1">
        <f>IF(Data!O727&gt;0,Data!O727,"")</f>
        <v/>
      </c>
      <c r="P727" s="1">
        <f>IF(Data!P727&gt;0,Data!P727,"")</f>
        <v/>
      </c>
      <c r="Q727" s="1">
        <f>IF(Data!Q727&gt;0,Data!Q727,"")</f>
        <v/>
      </c>
      <c r="R727" s="1">
        <f>IF(Data!R727&gt;0,Data!R727,"")</f>
        <v/>
      </c>
      <c r="S727" s="1">
        <f>IF(Data!S727&gt;0,Data!S727,"")</f>
        <v/>
      </c>
      <c r="V727" s="3">
        <f>IF(COUNT(D727,J727,K727,L727,M727,O727)&gt;0,AVERAGE(D727,J727,K727,L727,M727,O727),"")</f>
        <v/>
      </c>
      <c r="W727" s="3">
        <f>IF(COUNT(C727,F727,G727,N727,Q727)&gt;0,AVERAGE(C727,F727,G727,N727,Q727),"")</f>
        <v/>
      </c>
      <c r="X727" s="3">
        <f>IF(COUNT(B727,E727,H727,I727,P727,R727,S727)&gt;0,AVERAGE(B727,E727,H727,I727,P727,R727,S727),"")</f>
        <v/>
      </c>
      <c r="Y727" s="3" t="n"/>
      <c r="AJ727">
        <f>IFERROR(AVERAGEIF($A$4:$A$1004,AI727,$V$4:$V$1004),"")</f>
        <v/>
      </c>
      <c r="AK727">
        <f>IFERROR(AVERAGEIF($A$4:$A$1004,AI727,$W$4:$W$1004),"")</f>
        <v/>
      </c>
      <c r="AL727">
        <f>IFERROR(AVERAGEIF($A$4:$A$1004,AI727,$X$4:$X$1004),"")</f>
        <v/>
      </c>
    </row>
    <row r="728">
      <c r="A728" s="1">
        <f>IF(Data!A728&gt;0,Data!A728,"")</f>
        <v/>
      </c>
      <c r="B728" s="1">
        <f>IF(Data!B728&gt;0,Data!B728,"")</f>
        <v/>
      </c>
      <c r="C728" s="1">
        <f>IF(Data!C728&gt;0,Data!C728,"")</f>
        <v/>
      </c>
      <c r="D728" s="1">
        <f>IF(Data!D728&gt;0,Data!D728,"")</f>
        <v/>
      </c>
      <c r="E728" s="1">
        <f>IF(Data!E728&gt;0,Data!E728,"")</f>
        <v/>
      </c>
      <c r="F728" s="1">
        <f>IF(Data!F728&gt;0,Data!F728,"")</f>
        <v/>
      </c>
      <c r="G728" s="1">
        <f>IF(Data!G728&gt;0,Data!G728,"")</f>
        <v/>
      </c>
      <c r="H728" s="1">
        <f>IF(Data!H728&gt;0,Data!H728,"")</f>
        <v/>
      </c>
      <c r="I728" s="1">
        <f>IF(Data!I728&gt;0,Data!I728,"")</f>
        <v/>
      </c>
      <c r="J728" s="1">
        <f>IF(Data!J728&gt;0,Data!J728,"")</f>
        <v/>
      </c>
      <c r="K728" s="1">
        <f>IF(Data!K728&gt;0,Data!K728,"")</f>
        <v/>
      </c>
      <c r="L728" s="1">
        <f>IF(Data!L728&gt;0,Data!L728,"")</f>
        <v/>
      </c>
      <c r="M728" s="1">
        <f>IF(Data!M728&gt;0,Data!M728,"")</f>
        <v/>
      </c>
      <c r="N728" s="1">
        <f>IF(Data!N728&gt;0,Data!N728,"")</f>
        <v/>
      </c>
      <c r="O728" s="1">
        <f>IF(Data!O728&gt;0,Data!O728,"")</f>
        <v/>
      </c>
      <c r="P728" s="1">
        <f>IF(Data!P728&gt;0,Data!P728,"")</f>
        <v/>
      </c>
      <c r="Q728" s="1">
        <f>IF(Data!Q728&gt;0,Data!Q728,"")</f>
        <v/>
      </c>
      <c r="R728" s="1">
        <f>IF(Data!R728&gt;0,Data!R728,"")</f>
        <v/>
      </c>
      <c r="S728" s="1">
        <f>IF(Data!S728&gt;0,Data!S728,"")</f>
        <v/>
      </c>
      <c r="V728" s="3">
        <f>IF(COUNT(D728,J728,K728,L728,M728,O728)&gt;0,AVERAGE(D728,J728,K728,L728,M728,O728),"")</f>
        <v/>
      </c>
      <c r="W728" s="3">
        <f>IF(COUNT(C728,F728,G728,N728,Q728)&gt;0,AVERAGE(C728,F728,G728,N728,Q728),"")</f>
        <v/>
      </c>
      <c r="X728" s="3">
        <f>IF(COUNT(B728,E728,H728,I728,P728,R728,S728)&gt;0,AVERAGE(B728,E728,H728,I728,P728,R728,S728),"")</f>
        <v/>
      </c>
      <c r="Y728" s="3" t="n"/>
      <c r="AJ728">
        <f>IFERROR(AVERAGEIF($A$4:$A$1004,AI728,$V$4:$V$1004),"")</f>
        <v/>
      </c>
      <c r="AK728">
        <f>IFERROR(AVERAGEIF($A$4:$A$1004,AI728,$W$4:$W$1004),"")</f>
        <v/>
      </c>
      <c r="AL728">
        <f>IFERROR(AVERAGEIF($A$4:$A$1004,AI728,$X$4:$X$1004),"")</f>
        <v/>
      </c>
    </row>
    <row r="729">
      <c r="A729" s="1">
        <f>IF(Data!A729&gt;0,Data!A729,"")</f>
        <v/>
      </c>
      <c r="B729" s="1">
        <f>IF(Data!B729&gt;0,Data!B729,"")</f>
        <v/>
      </c>
      <c r="C729" s="1">
        <f>IF(Data!C729&gt;0,Data!C729,"")</f>
        <v/>
      </c>
      <c r="D729" s="1">
        <f>IF(Data!D729&gt;0,Data!D729,"")</f>
        <v/>
      </c>
      <c r="E729" s="1">
        <f>IF(Data!E729&gt;0,Data!E729,"")</f>
        <v/>
      </c>
      <c r="F729" s="1">
        <f>IF(Data!F729&gt;0,Data!F729,"")</f>
        <v/>
      </c>
      <c r="G729" s="1">
        <f>IF(Data!G729&gt;0,Data!G729,"")</f>
        <v/>
      </c>
      <c r="H729" s="1">
        <f>IF(Data!H729&gt;0,Data!H729,"")</f>
        <v/>
      </c>
      <c r="I729" s="1">
        <f>IF(Data!I729&gt;0,Data!I729,"")</f>
        <v/>
      </c>
      <c r="J729" s="1">
        <f>IF(Data!J729&gt;0,Data!J729,"")</f>
        <v/>
      </c>
      <c r="K729" s="1">
        <f>IF(Data!K729&gt;0,Data!K729,"")</f>
        <v/>
      </c>
      <c r="L729" s="1">
        <f>IF(Data!L729&gt;0,Data!L729,"")</f>
        <v/>
      </c>
      <c r="M729" s="1">
        <f>IF(Data!M729&gt;0,Data!M729,"")</f>
        <v/>
      </c>
      <c r="N729" s="1">
        <f>IF(Data!N729&gt;0,Data!N729,"")</f>
        <v/>
      </c>
      <c r="O729" s="1">
        <f>IF(Data!O729&gt;0,Data!O729,"")</f>
        <v/>
      </c>
      <c r="P729" s="1">
        <f>IF(Data!P729&gt;0,Data!P729,"")</f>
        <v/>
      </c>
      <c r="Q729" s="1">
        <f>IF(Data!Q729&gt;0,Data!Q729,"")</f>
        <v/>
      </c>
      <c r="R729" s="1">
        <f>IF(Data!R729&gt;0,Data!R729,"")</f>
        <v/>
      </c>
      <c r="S729" s="1">
        <f>IF(Data!S729&gt;0,Data!S729,"")</f>
        <v/>
      </c>
      <c r="V729" s="3">
        <f>IF(COUNT(D729,J729,K729,L729,M729,O729)&gt;0,AVERAGE(D729,J729,K729,L729,M729,O729),"")</f>
        <v/>
      </c>
      <c r="W729" s="3">
        <f>IF(COUNT(C729,F729,G729,N729,Q729)&gt;0,AVERAGE(C729,F729,G729,N729,Q729),"")</f>
        <v/>
      </c>
      <c r="X729" s="3">
        <f>IF(COUNT(B729,E729,H729,I729,P729,R729,S729)&gt;0,AVERAGE(B729,E729,H729,I729,P729,R729,S729),"")</f>
        <v/>
      </c>
      <c r="Y729" s="3" t="n"/>
      <c r="AJ729">
        <f>IFERROR(AVERAGEIF($A$4:$A$1004,AI729,$V$4:$V$1004),"")</f>
        <v/>
      </c>
      <c r="AK729">
        <f>IFERROR(AVERAGEIF($A$4:$A$1004,AI729,$W$4:$W$1004),"")</f>
        <v/>
      </c>
      <c r="AL729">
        <f>IFERROR(AVERAGEIF($A$4:$A$1004,AI729,$X$4:$X$1004),"")</f>
        <v/>
      </c>
    </row>
    <row r="730">
      <c r="A730" s="1">
        <f>IF(Data!A730&gt;0,Data!A730,"")</f>
        <v/>
      </c>
      <c r="B730" s="1">
        <f>IF(Data!B730&gt;0,Data!B730,"")</f>
        <v/>
      </c>
      <c r="C730" s="1">
        <f>IF(Data!C730&gt;0,Data!C730,"")</f>
        <v/>
      </c>
      <c r="D730" s="1">
        <f>IF(Data!D730&gt;0,Data!D730,"")</f>
        <v/>
      </c>
      <c r="E730" s="1">
        <f>IF(Data!E730&gt;0,Data!E730,"")</f>
        <v/>
      </c>
      <c r="F730" s="1">
        <f>IF(Data!F730&gt;0,Data!F730,"")</f>
        <v/>
      </c>
      <c r="G730" s="1">
        <f>IF(Data!G730&gt;0,Data!G730,"")</f>
        <v/>
      </c>
      <c r="H730" s="1">
        <f>IF(Data!H730&gt;0,Data!H730,"")</f>
        <v/>
      </c>
      <c r="I730" s="1">
        <f>IF(Data!I730&gt;0,Data!I730,"")</f>
        <v/>
      </c>
      <c r="J730" s="1">
        <f>IF(Data!J730&gt;0,Data!J730,"")</f>
        <v/>
      </c>
      <c r="K730" s="1">
        <f>IF(Data!K730&gt;0,Data!K730,"")</f>
        <v/>
      </c>
      <c r="L730" s="1">
        <f>IF(Data!L730&gt;0,Data!L730,"")</f>
        <v/>
      </c>
      <c r="M730" s="1">
        <f>IF(Data!M730&gt;0,Data!M730,"")</f>
        <v/>
      </c>
      <c r="N730" s="1">
        <f>IF(Data!N730&gt;0,Data!N730,"")</f>
        <v/>
      </c>
      <c r="O730" s="1">
        <f>IF(Data!O730&gt;0,Data!O730,"")</f>
        <v/>
      </c>
      <c r="P730" s="1">
        <f>IF(Data!P730&gt;0,Data!P730,"")</f>
        <v/>
      </c>
      <c r="Q730" s="1">
        <f>IF(Data!Q730&gt;0,Data!Q730,"")</f>
        <v/>
      </c>
      <c r="R730" s="1">
        <f>IF(Data!R730&gt;0,Data!R730,"")</f>
        <v/>
      </c>
      <c r="S730" s="1">
        <f>IF(Data!S730&gt;0,Data!S730,"")</f>
        <v/>
      </c>
      <c r="V730" s="3">
        <f>IF(COUNT(D730,J730,K730,L730,M730,O730)&gt;0,AVERAGE(D730,J730,K730,L730,M730,O730),"")</f>
        <v/>
      </c>
      <c r="W730" s="3">
        <f>IF(COUNT(C730,F730,G730,N730,Q730)&gt;0,AVERAGE(C730,F730,G730,N730,Q730),"")</f>
        <v/>
      </c>
      <c r="X730" s="3">
        <f>IF(COUNT(B730,E730,H730,I730,P730,R730,S730)&gt;0,AVERAGE(B730,E730,H730,I730,P730,R730,S730),"")</f>
        <v/>
      </c>
      <c r="Y730" s="3" t="n"/>
      <c r="AJ730">
        <f>IFERROR(AVERAGEIF($A$4:$A$1004,AI730,$V$4:$V$1004),"")</f>
        <v/>
      </c>
      <c r="AK730">
        <f>IFERROR(AVERAGEIF($A$4:$A$1004,AI730,$W$4:$W$1004),"")</f>
        <v/>
      </c>
      <c r="AL730">
        <f>IFERROR(AVERAGEIF($A$4:$A$1004,AI730,$X$4:$X$1004),"")</f>
        <v/>
      </c>
    </row>
    <row r="731">
      <c r="A731" s="1">
        <f>IF(Data!A731&gt;0,Data!A731,"")</f>
        <v/>
      </c>
      <c r="B731" s="1">
        <f>IF(Data!B731&gt;0,Data!B731,"")</f>
        <v/>
      </c>
      <c r="C731" s="1">
        <f>IF(Data!C731&gt;0,Data!C731,"")</f>
        <v/>
      </c>
      <c r="D731" s="1">
        <f>IF(Data!D731&gt;0,Data!D731,"")</f>
        <v/>
      </c>
      <c r="E731" s="1">
        <f>IF(Data!E731&gt;0,Data!E731,"")</f>
        <v/>
      </c>
      <c r="F731" s="1">
        <f>IF(Data!F731&gt;0,Data!F731,"")</f>
        <v/>
      </c>
      <c r="G731" s="1">
        <f>IF(Data!G731&gt;0,Data!G731,"")</f>
        <v/>
      </c>
      <c r="H731" s="1">
        <f>IF(Data!H731&gt;0,Data!H731,"")</f>
        <v/>
      </c>
      <c r="I731" s="1">
        <f>IF(Data!I731&gt;0,Data!I731,"")</f>
        <v/>
      </c>
      <c r="J731" s="1">
        <f>IF(Data!J731&gt;0,Data!J731,"")</f>
        <v/>
      </c>
      <c r="K731" s="1">
        <f>IF(Data!K731&gt;0,Data!K731,"")</f>
        <v/>
      </c>
      <c r="L731" s="1">
        <f>IF(Data!L731&gt;0,Data!L731,"")</f>
        <v/>
      </c>
      <c r="M731" s="1">
        <f>IF(Data!M731&gt;0,Data!M731,"")</f>
        <v/>
      </c>
      <c r="N731" s="1">
        <f>IF(Data!N731&gt;0,Data!N731,"")</f>
        <v/>
      </c>
      <c r="O731" s="1">
        <f>IF(Data!O731&gt;0,Data!O731,"")</f>
        <v/>
      </c>
      <c r="P731" s="1">
        <f>IF(Data!P731&gt;0,Data!P731,"")</f>
        <v/>
      </c>
      <c r="Q731" s="1">
        <f>IF(Data!Q731&gt;0,Data!Q731,"")</f>
        <v/>
      </c>
      <c r="R731" s="1">
        <f>IF(Data!R731&gt;0,Data!R731,"")</f>
        <v/>
      </c>
      <c r="S731" s="1">
        <f>IF(Data!S731&gt;0,Data!S731,"")</f>
        <v/>
      </c>
      <c r="V731" s="3">
        <f>IF(COUNT(D731,J731,K731,L731,M731,O731)&gt;0,AVERAGE(D731,J731,K731,L731,M731,O731),"")</f>
        <v/>
      </c>
      <c r="W731" s="3">
        <f>IF(COUNT(C731,F731,G731,N731,Q731)&gt;0,AVERAGE(C731,F731,G731,N731,Q731),"")</f>
        <v/>
      </c>
      <c r="X731" s="3">
        <f>IF(COUNT(B731,E731,H731,I731,P731,R731,S731)&gt;0,AVERAGE(B731,E731,H731,I731,P731,R731,S731),"")</f>
        <v/>
      </c>
      <c r="Y731" s="3" t="n"/>
      <c r="AJ731">
        <f>IFERROR(AVERAGEIF($A$4:$A$1004,AI731,$V$4:$V$1004),"")</f>
        <v/>
      </c>
      <c r="AK731">
        <f>IFERROR(AVERAGEIF($A$4:$A$1004,AI731,$W$4:$W$1004),"")</f>
        <v/>
      </c>
      <c r="AL731">
        <f>IFERROR(AVERAGEIF($A$4:$A$1004,AI731,$X$4:$X$1004),"")</f>
        <v/>
      </c>
    </row>
    <row r="732">
      <c r="A732" s="1">
        <f>IF(Data!A732&gt;0,Data!A732,"")</f>
        <v/>
      </c>
      <c r="B732" s="1">
        <f>IF(Data!B732&gt;0,Data!B732,"")</f>
        <v/>
      </c>
      <c r="C732" s="1">
        <f>IF(Data!C732&gt;0,Data!C732,"")</f>
        <v/>
      </c>
      <c r="D732" s="1">
        <f>IF(Data!D732&gt;0,Data!D732,"")</f>
        <v/>
      </c>
      <c r="E732" s="1">
        <f>IF(Data!E732&gt;0,Data!E732,"")</f>
        <v/>
      </c>
      <c r="F732" s="1">
        <f>IF(Data!F732&gt;0,Data!F732,"")</f>
        <v/>
      </c>
      <c r="G732" s="1">
        <f>IF(Data!G732&gt;0,Data!G732,"")</f>
        <v/>
      </c>
      <c r="H732" s="1">
        <f>IF(Data!H732&gt;0,Data!H732,"")</f>
        <v/>
      </c>
      <c r="I732" s="1">
        <f>IF(Data!I732&gt;0,Data!I732,"")</f>
        <v/>
      </c>
      <c r="J732" s="1">
        <f>IF(Data!J732&gt;0,Data!J732,"")</f>
        <v/>
      </c>
      <c r="K732" s="1">
        <f>IF(Data!K732&gt;0,Data!K732,"")</f>
        <v/>
      </c>
      <c r="L732" s="1">
        <f>IF(Data!L732&gt;0,Data!L732,"")</f>
        <v/>
      </c>
      <c r="M732" s="1">
        <f>IF(Data!M732&gt;0,Data!M732,"")</f>
        <v/>
      </c>
      <c r="N732" s="1">
        <f>IF(Data!N732&gt;0,Data!N732,"")</f>
        <v/>
      </c>
      <c r="O732" s="1">
        <f>IF(Data!O732&gt;0,Data!O732,"")</f>
        <v/>
      </c>
      <c r="P732" s="1">
        <f>IF(Data!P732&gt;0,Data!P732,"")</f>
        <v/>
      </c>
      <c r="Q732" s="1">
        <f>IF(Data!Q732&gt;0,Data!Q732,"")</f>
        <v/>
      </c>
      <c r="R732" s="1">
        <f>IF(Data!R732&gt;0,Data!R732,"")</f>
        <v/>
      </c>
      <c r="S732" s="1">
        <f>IF(Data!S732&gt;0,Data!S732,"")</f>
        <v/>
      </c>
      <c r="V732" s="3">
        <f>IF(COUNT(D732,J732,K732,L732,M732,O732)&gt;0,AVERAGE(D732,J732,K732,L732,M732,O732),"")</f>
        <v/>
      </c>
      <c r="W732" s="3">
        <f>IF(COUNT(C732,F732,G732,N732,Q732)&gt;0,AVERAGE(C732,F732,G732,N732,Q732),"")</f>
        <v/>
      </c>
      <c r="X732" s="3">
        <f>IF(COUNT(B732,E732,H732,I732,P732,R732,S732)&gt;0,AVERAGE(B732,E732,H732,I732,P732,R732,S732),"")</f>
        <v/>
      </c>
      <c r="Y732" s="3" t="n"/>
      <c r="AJ732">
        <f>IFERROR(AVERAGEIF($A$4:$A$1004,AI732,$V$4:$V$1004),"")</f>
        <v/>
      </c>
      <c r="AK732">
        <f>IFERROR(AVERAGEIF($A$4:$A$1004,AI732,$W$4:$W$1004),"")</f>
        <v/>
      </c>
      <c r="AL732">
        <f>IFERROR(AVERAGEIF($A$4:$A$1004,AI732,$X$4:$X$1004),"")</f>
        <v/>
      </c>
    </row>
    <row r="733">
      <c r="A733" s="1">
        <f>IF(Data!A733&gt;0,Data!A733,"")</f>
        <v/>
      </c>
      <c r="B733" s="1">
        <f>IF(Data!B733&gt;0,Data!B733,"")</f>
        <v/>
      </c>
      <c r="C733" s="1">
        <f>IF(Data!C733&gt;0,Data!C733,"")</f>
        <v/>
      </c>
      <c r="D733" s="1">
        <f>IF(Data!D733&gt;0,Data!D733,"")</f>
        <v/>
      </c>
      <c r="E733" s="1">
        <f>IF(Data!E733&gt;0,Data!E733,"")</f>
        <v/>
      </c>
      <c r="F733" s="1">
        <f>IF(Data!F733&gt;0,Data!F733,"")</f>
        <v/>
      </c>
      <c r="G733" s="1">
        <f>IF(Data!G733&gt;0,Data!G733,"")</f>
        <v/>
      </c>
      <c r="H733" s="1">
        <f>IF(Data!H733&gt;0,Data!H733,"")</f>
        <v/>
      </c>
      <c r="I733" s="1">
        <f>IF(Data!I733&gt;0,Data!I733,"")</f>
        <v/>
      </c>
      <c r="J733" s="1">
        <f>IF(Data!J733&gt;0,Data!J733,"")</f>
        <v/>
      </c>
      <c r="K733" s="1">
        <f>IF(Data!K733&gt;0,Data!K733,"")</f>
        <v/>
      </c>
      <c r="L733" s="1">
        <f>IF(Data!L733&gt;0,Data!L733,"")</f>
        <v/>
      </c>
      <c r="M733" s="1">
        <f>IF(Data!M733&gt;0,Data!M733,"")</f>
        <v/>
      </c>
      <c r="N733" s="1">
        <f>IF(Data!N733&gt;0,Data!N733,"")</f>
        <v/>
      </c>
      <c r="O733" s="1">
        <f>IF(Data!O733&gt;0,Data!O733,"")</f>
        <v/>
      </c>
      <c r="P733" s="1">
        <f>IF(Data!P733&gt;0,Data!P733,"")</f>
        <v/>
      </c>
      <c r="Q733" s="1">
        <f>IF(Data!Q733&gt;0,Data!Q733,"")</f>
        <v/>
      </c>
      <c r="R733" s="1">
        <f>IF(Data!R733&gt;0,Data!R733,"")</f>
        <v/>
      </c>
      <c r="S733" s="1">
        <f>IF(Data!S733&gt;0,Data!S733,"")</f>
        <v/>
      </c>
      <c r="V733" s="3">
        <f>IF(COUNT(D733,J733,K733,L733,M733,O733)&gt;0,AVERAGE(D733,J733,K733,L733,M733,O733),"")</f>
        <v/>
      </c>
      <c r="W733" s="3">
        <f>IF(COUNT(C733,F733,G733,N733,Q733)&gt;0,AVERAGE(C733,F733,G733,N733,Q733),"")</f>
        <v/>
      </c>
      <c r="X733" s="3">
        <f>IF(COUNT(B733,E733,H733,I733,P733,R733,S733)&gt;0,AVERAGE(B733,E733,H733,I733,P733,R733,S733),"")</f>
        <v/>
      </c>
      <c r="Y733" s="3" t="n"/>
      <c r="AJ733">
        <f>IFERROR(AVERAGEIF($A$4:$A$1004,AI733,$V$4:$V$1004),"")</f>
        <v/>
      </c>
      <c r="AK733">
        <f>IFERROR(AVERAGEIF($A$4:$A$1004,AI733,$W$4:$W$1004),"")</f>
        <v/>
      </c>
      <c r="AL733">
        <f>IFERROR(AVERAGEIF($A$4:$A$1004,AI733,$X$4:$X$1004),"")</f>
        <v/>
      </c>
    </row>
    <row r="734">
      <c r="A734" s="1">
        <f>IF(Data!A734&gt;0,Data!A734,"")</f>
        <v/>
      </c>
      <c r="B734" s="1">
        <f>IF(Data!B734&gt;0,Data!B734,"")</f>
        <v/>
      </c>
      <c r="C734" s="1">
        <f>IF(Data!C734&gt;0,Data!C734,"")</f>
        <v/>
      </c>
      <c r="D734" s="1">
        <f>IF(Data!D734&gt;0,Data!D734,"")</f>
        <v/>
      </c>
      <c r="E734" s="1">
        <f>IF(Data!E734&gt;0,Data!E734,"")</f>
        <v/>
      </c>
      <c r="F734" s="1">
        <f>IF(Data!F734&gt;0,Data!F734,"")</f>
        <v/>
      </c>
      <c r="G734" s="1">
        <f>IF(Data!G734&gt;0,Data!G734,"")</f>
        <v/>
      </c>
      <c r="H734" s="1">
        <f>IF(Data!H734&gt;0,Data!H734,"")</f>
        <v/>
      </c>
      <c r="I734" s="1">
        <f>IF(Data!I734&gt;0,Data!I734,"")</f>
        <v/>
      </c>
      <c r="J734" s="1">
        <f>IF(Data!J734&gt;0,Data!J734,"")</f>
        <v/>
      </c>
      <c r="K734" s="1">
        <f>IF(Data!K734&gt;0,Data!K734,"")</f>
        <v/>
      </c>
      <c r="L734" s="1">
        <f>IF(Data!L734&gt;0,Data!L734,"")</f>
        <v/>
      </c>
      <c r="M734" s="1">
        <f>IF(Data!M734&gt;0,Data!M734,"")</f>
        <v/>
      </c>
      <c r="N734" s="1">
        <f>IF(Data!N734&gt;0,Data!N734,"")</f>
        <v/>
      </c>
      <c r="O734" s="1">
        <f>IF(Data!O734&gt;0,Data!O734,"")</f>
        <v/>
      </c>
      <c r="P734" s="1">
        <f>IF(Data!P734&gt;0,Data!P734,"")</f>
        <v/>
      </c>
      <c r="Q734" s="1">
        <f>IF(Data!Q734&gt;0,Data!Q734,"")</f>
        <v/>
      </c>
      <c r="R734" s="1">
        <f>IF(Data!R734&gt;0,Data!R734,"")</f>
        <v/>
      </c>
      <c r="S734" s="1">
        <f>IF(Data!S734&gt;0,Data!S734,"")</f>
        <v/>
      </c>
      <c r="V734" s="3">
        <f>IF(COUNT(D734,J734,K734,L734,M734,O734)&gt;0,AVERAGE(D734,J734,K734,L734,M734,O734),"")</f>
        <v/>
      </c>
      <c r="W734" s="3">
        <f>IF(COUNT(C734,F734,G734,N734,Q734)&gt;0,AVERAGE(C734,F734,G734,N734,Q734),"")</f>
        <v/>
      </c>
      <c r="X734" s="3">
        <f>IF(COUNT(B734,E734,H734,I734,P734,R734,S734)&gt;0,AVERAGE(B734,E734,H734,I734,P734,R734,S734),"")</f>
        <v/>
      </c>
      <c r="Y734" s="3" t="n"/>
      <c r="AJ734">
        <f>IFERROR(AVERAGEIF($A$4:$A$1004,AI734,$V$4:$V$1004),"")</f>
        <v/>
      </c>
      <c r="AK734">
        <f>IFERROR(AVERAGEIF($A$4:$A$1004,AI734,$W$4:$W$1004),"")</f>
        <v/>
      </c>
      <c r="AL734">
        <f>IFERROR(AVERAGEIF($A$4:$A$1004,AI734,$X$4:$X$1004),"")</f>
        <v/>
      </c>
    </row>
    <row r="735">
      <c r="A735" s="1">
        <f>IF(Data!A735&gt;0,Data!A735,"")</f>
        <v/>
      </c>
      <c r="B735" s="1">
        <f>IF(Data!B735&gt;0,Data!B735,"")</f>
        <v/>
      </c>
      <c r="C735" s="1">
        <f>IF(Data!C735&gt;0,Data!C735,"")</f>
        <v/>
      </c>
      <c r="D735" s="1">
        <f>IF(Data!D735&gt;0,Data!D735,"")</f>
        <v/>
      </c>
      <c r="E735" s="1">
        <f>IF(Data!E735&gt;0,Data!E735,"")</f>
        <v/>
      </c>
      <c r="F735" s="1">
        <f>IF(Data!F735&gt;0,Data!F735,"")</f>
        <v/>
      </c>
      <c r="G735" s="1">
        <f>IF(Data!G735&gt;0,Data!G735,"")</f>
        <v/>
      </c>
      <c r="H735" s="1">
        <f>IF(Data!H735&gt;0,Data!H735,"")</f>
        <v/>
      </c>
      <c r="I735" s="1">
        <f>IF(Data!I735&gt;0,Data!I735,"")</f>
        <v/>
      </c>
      <c r="J735" s="1">
        <f>IF(Data!J735&gt;0,Data!J735,"")</f>
        <v/>
      </c>
      <c r="K735" s="1">
        <f>IF(Data!K735&gt;0,Data!K735,"")</f>
        <v/>
      </c>
      <c r="L735" s="1">
        <f>IF(Data!L735&gt;0,Data!L735,"")</f>
        <v/>
      </c>
      <c r="M735" s="1">
        <f>IF(Data!M735&gt;0,Data!M735,"")</f>
        <v/>
      </c>
      <c r="N735" s="1">
        <f>IF(Data!N735&gt;0,Data!N735,"")</f>
        <v/>
      </c>
      <c r="O735" s="1">
        <f>IF(Data!O735&gt;0,Data!O735,"")</f>
        <v/>
      </c>
      <c r="P735" s="1">
        <f>IF(Data!P735&gt;0,Data!P735,"")</f>
        <v/>
      </c>
      <c r="Q735" s="1">
        <f>IF(Data!Q735&gt;0,Data!Q735,"")</f>
        <v/>
      </c>
      <c r="R735" s="1">
        <f>IF(Data!R735&gt;0,Data!R735,"")</f>
        <v/>
      </c>
      <c r="S735" s="1">
        <f>IF(Data!S735&gt;0,Data!S735,"")</f>
        <v/>
      </c>
      <c r="V735" s="3">
        <f>IF(COUNT(D735,J735,K735,L735,M735,O735)&gt;0,AVERAGE(D735,J735,K735,L735,M735,O735),"")</f>
        <v/>
      </c>
      <c r="W735" s="3">
        <f>IF(COUNT(C735,F735,G735,N735,Q735)&gt;0,AVERAGE(C735,F735,G735,N735,Q735),"")</f>
        <v/>
      </c>
      <c r="X735" s="3">
        <f>IF(COUNT(B735,E735,H735,I735,P735,R735,S735)&gt;0,AVERAGE(B735,E735,H735,I735,P735,R735,S735),"")</f>
        <v/>
      </c>
      <c r="Y735" s="3" t="n"/>
      <c r="AJ735">
        <f>IFERROR(AVERAGEIF($A$4:$A$1004,AI735,$V$4:$V$1004),"")</f>
        <v/>
      </c>
      <c r="AK735">
        <f>IFERROR(AVERAGEIF($A$4:$A$1004,AI735,$W$4:$W$1004),"")</f>
        <v/>
      </c>
      <c r="AL735">
        <f>IFERROR(AVERAGEIF($A$4:$A$1004,AI735,$X$4:$X$1004),"")</f>
        <v/>
      </c>
    </row>
    <row r="736">
      <c r="A736" s="1">
        <f>IF(Data!A736&gt;0,Data!A736,"")</f>
        <v/>
      </c>
      <c r="B736" s="1">
        <f>IF(Data!B736&gt;0,Data!B736,"")</f>
        <v/>
      </c>
      <c r="C736" s="1">
        <f>IF(Data!C736&gt;0,Data!C736,"")</f>
        <v/>
      </c>
      <c r="D736" s="1">
        <f>IF(Data!D736&gt;0,Data!D736,"")</f>
        <v/>
      </c>
      <c r="E736" s="1">
        <f>IF(Data!E736&gt;0,Data!E736,"")</f>
        <v/>
      </c>
      <c r="F736" s="1">
        <f>IF(Data!F736&gt;0,Data!F736,"")</f>
        <v/>
      </c>
      <c r="G736" s="1">
        <f>IF(Data!G736&gt;0,Data!G736,"")</f>
        <v/>
      </c>
      <c r="H736" s="1">
        <f>IF(Data!H736&gt;0,Data!H736,"")</f>
        <v/>
      </c>
      <c r="I736" s="1">
        <f>IF(Data!I736&gt;0,Data!I736,"")</f>
        <v/>
      </c>
      <c r="J736" s="1">
        <f>IF(Data!J736&gt;0,Data!J736,"")</f>
        <v/>
      </c>
      <c r="K736" s="1">
        <f>IF(Data!K736&gt;0,Data!K736,"")</f>
        <v/>
      </c>
      <c r="L736" s="1">
        <f>IF(Data!L736&gt;0,Data!L736,"")</f>
        <v/>
      </c>
      <c r="M736" s="1">
        <f>IF(Data!M736&gt;0,Data!M736,"")</f>
        <v/>
      </c>
      <c r="N736" s="1">
        <f>IF(Data!N736&gt;0,Data!N736,"")</f>
        <v/>
      </c>
      <c r="O736" s="1">
        <f>IF(Data!O736&gt;0,Data!O736,"")</f>
        <v/>
      </c>
      <c r="P736" s="1">
        <f>IF(Data!P736&gt;0,Data!P736,"")</f>
        <v/>
      </c>
      <c r="Q736" s="1">
        <f>IF(Data!Q736&gt;0,Data!Q736,"")</f>
        <v/>
      </c>
      <c r="R736" s="1">
        <f>IF(Data!R736&gt;0,Data!R736,"")</f>
        <v/>
      </c>
      <c r="S736" s="1">
        <f>IF(Data!S736&gt;0,Data!S736,"")</f>
        <v/>
      </c>
      <c r="V736" s="3">
        <f>IF(COUNT(D736,J736,K736,L736,M736,O736)&gt;0,AVERAGE(D736,J736,K736,L736,M736,O736),"")</f>
        <v/>
      </c>
      <c r="W736" s="3">
        <f>IF(COUNT(C736,F736,G736,N736,Q736)&gt;0,AVERAGE(C736,F736,G736,N736,Q736),"")</f>
        <v/>
      </c>
      <c r="X736" s="3">
        <f>IF(COUNT(B736,E736,H736,I736,P736,R736,S736)&gt;0,AVERAGE(B736,E736,H736,I736,P736,R736,S736),"")</f>
        <v/>
      </c>
      <c r="Y736" s="3" t="n"/>
      <c r="AJ736">
        <f>IFERROR(AVERAGEIF($A$4:$A$1004,AI736,$V$4:$V$1004),"")</f>
        <v/>
      </c>
      <c r="AK736">
        <f>IFERROR(AVERAGEIF($A$4:$A$1004,AI736,$W$4:$W$1004),"")</f>
        <v/>
      </c>
      <c r="AL736">
        <f>IFERROR(AVERAGEIF($A$4:$A$1004,AI736,$X$4:$X$1004),"")</f>
        <v/>
      </c>
    </row>
    <row r="737">
      <c r="A737" s="1">
        <f>IF(Data!A737&gt;0,Data!A737,"")</f>
        <v/>
      </c>
      <c r="B737" s="1">
        <f>IF(Data!B737&gt;0,Data!B737,"")</f>
        <v/>
      </c>
      <c r="C737" s="1">
        <f>IF(Data!C737&gt;0,Data!C737,"")</f>
        <v/>
      </c>
      <c r="D737" s="1">
        <f>IF(Data!D737&gt;0,Data!D737,"")</f>
        <v/>
      </c>
      <c r="E737" s="1">
        <f>IF(Data!E737&gt;0,Data!E737,"")</f>
        <v/>
      </c>
      <c r="F737" s="1">
        <f>IF(Data!F737&gt;0,Data!F737,"")</f>
        <v/>
      </c>
      <c r="G737" s="1">
        <f>IF(Data!G737&gt;0,Data!G737,"")</f>
        <v/>
      </c>
      <c r="H737" s="1">
        <f>IF(Data!H737&gt;0,Data!H737,"")</f>
        <v/>
      </c>
      <c r="I737" s="1">
        <f>IF(Data!I737&gt;0,Data!I737,"")</f>
        <v/>
      </c>
      <c r="J737" s="1">
        <f>IF(Data!J737&gt;0,Data!J737,"")</f>
        <v/>
      </c>
      <c r="K737" s="1">
        <f>IF(Data!K737&gt;0,Data!K737,"")</f>
        <v/>
      </c>
      <c r="L737" s="1">
        <f>IF(Data!L737&gt;0,Data!L737,"")</f>
        <v/>
      </c>
      <c r="M737" s="1">
        <f>IF(Data!M737&gt;0,Data!M737,"")</f>
        <v/>
      </c>
      <c r="N737" s="1">
        <f>IF(Data!N737&gt;0,Data!N737,"")</f>
        <v/>
      </c>
      <c r="O737" s="1">
        <f>IF(Data!O737&gt;0,Data!O737,"")</f>
        <v/>
      </c>
      <c r="P737" s="1">
        <f>IF(Data!P737&gt;0,Data!P737,"")</f>
        <v/>
      </c>
      <c r="Q737" s="1">
        <f>IF(Data!Q737&gt;0,Data!Q737,"")</f>
        <v/>
      </c>
      <c r="R737" s="1">
        <f>IF(Data!R737&gt;0,Data!R737,"")</f>
        <v/>
      </c>
      <c r="S737" s="1">
        <f>IF(Data!S737&gt;0,Data!S737,"")</f>
        <v/>
      </c>
      <c r="V737" s="3">
        <f>IF(COUNT(D737,J737,K737,L737,M737,O737)&gt;0,AVERAGE(D737,J737,K737,L737,M737,O737),"")</f>
        <v/>
      </c>
      <c r="W737" s="3">
        <f>IF(COUNT(C737,F737,G737,N737,Q737)&gt;0,AVERAGE(C737,F737,G737,N737,Q737),"")</f>
        <v/>
      </c>
      <c r="X737" s="3">
        <f>IF(COUNT(B737,E737,H737,I737,P737,R737,S737)&gt;0,AVERAGE(B737,E737,H737,I737,P737,R737,S737),"")</f>
        <v/>
      </c>
      <c r="Y737" s="3" t="n"/>
      <c r="AJ737">
        <f>IFERROR(AVERAGEIF($A$4:$A$1004,AI737,$V$4:$V$1004),"")</f>
        <v/>
      </c>
      <c r="AK737">
        <f>IFERROR(AVERAGEIF($A$4:$A$1004,AI737,$W$4:$W$1004),"")</f>
        <v/>
      </c>
      <c r="AL737">
        <f>IFERROR(AVERAGEIF($A$4:$A$1004,AI737,$X$4:$X$1004),"")</f>
        <v/>
      </c>
    </row>
    <row r="738">
      <c r="A738" s="1">
        <f>IF(Data!A738&gt;0,Data!A738,"")</f>
        <v/>
      </c>
      <c r="B738" s="1">
        <f>IF(Data!B738&gt;0,Data!B738,"")</f>
        <v/>
      </c>
      <c r="C738" s="1">
        <f>IF(Data!C738&gt;0,Data!C738,"")</f>
        <v/>
      </c>
      <c r="D738" s="1">
        <f>IF(Data!D738&gt;0,Data!D738,"")</f>
        <v/>
      </c>
      <c r="E738" s="1">
        <f>IF(Data!E738&gt;0,Data!E738,"")</f>
        <v/>
      </c>
      <c r="F738" s="1">
        <f>IF(Data!F738&gt;0,Data!F738,"")</f>
        <v/>
      </c>
      <c r="G738" s="1">
        <f>IF(Data!G738&gt;0,Data!G738,"")</f>
        <v/>
      </c>
      <c r="H738" s="1">
        <f>IF(Data!H738&gt;0,Data!H738,"")</f>
        <v/>
      </c>
      <c r="I738" s="1">
        <f>IF(Data!I738&gt;0,Data!I738,"")</f>
        <v/>
      </c>
      <c r="J738" s="1">
        <f>IF(Data!J738&gt;0,Data!J738,"")</f>
        <v/>
      </c>
      <c r="K738" s="1">
        <f>IF(Data!K738&gt;0,Data!K738,"")</f>
        <v/>
      </c>
      <c r="L738" s="1">
        <f>IF(Data!L738&gt;0,Data!L738,"")</f>
        <v/>
      </c>
      <c r="M738" s="1">
        <f>IF(Data!M738&gt;0,Data!M738,"")</f>
        <v/>
      </c>
      <c r="N738" s="1">
        <f>IF(Data!N738&gt;0,Data!N738,"")</f>
        <v/>
      </c>
      <c r="O738" s="1">
        <f>IF(Data!O738&gt;0,Data!O738,"")</f>
        <v/>
      </c>
      <c r="P738" s="1">
        <f>IF(Data!P738&gt;0,Data!P738,"")</f>
        <v/>
      </c>
      <c r="Q738" s="1">
        <f>IF(Data!Q738&gt;0,Data!Q738,"")</f>
        <v/>
      </c>
      <c r="R738" s="1">
        <f>IF(Data!R738&gt;0,Data!R738,"")</f>
        <v/>
      </c>
      <c r="S738" s="1">
        <f>IF(Data!S738&gt;0,Data!S738,"")</f>
        <v/>
      </c>
      <c r="V738" s="3">
        <f>IF(COUNT(D738,J738,K738,L738,M738,O738)&gt;0,AVERAGE(D738,J738,K738,L738,M738,O738),"")</f>
        <v/>
      </c>
      <c r="W738" s="3">
        <f>IF(COUNT(C738,F738,G738,N738,Q738)&gt;0,AVERAGE(C738,F738,G738,N738,Q738),"")</f>
        <v/>
      </c>
      <c r="X738" s="3">
        <f>IF(COUNT(B738,E738,H738,I738,P738,R738,S738)&gt;0,AVERAGE(B738,E738,H738,I738,P738,R738,S738),"")</f>
        <v/>
      </c>
      <c r="Y738" s="3" t="n"/>
      <c r="AJ738">
        <f>IFERROR(AVERAGEIF($A$4:$A$1004,AI738,$V$4:$V$1004),"")</f>
        <v/>
      </c>
      <c r="AK738">
        <f>IFERROR(AVERAGEIF($A$4:$A$1004,AI738,$W$4:$W$1004),"")</f>
        <v/>
      </c>
      <c r="AL738">
        <f>IFERROR(AVERAGEIF($A$4:$A$1004,AI738,$X$4:$X$1004),"")</f>
        <v/>
      </c>
    </row>
    <row r="739">
      <c r="A739" s="1">
        <f>IF(Data!A739&gt;0,Data!A739,"")</f>
        <v/>
      </c>
      <c r="B739" s="1">
        <f>IF(Data!B739&gt;0,Data!B739,"")</f>
        <v/>
      </c>
      <c r="C739" s="1">
        <f>IF(Data!C739&gt;0,Data!C739,"")</f>
        <v/>
      </c>
      <c r="D739" s="1">
        <f>IF(Data!D739&gt;0,Data!D739,"")</f>
        <v/>
      </c>
      <c r="E739" s="1">
        <f>IF(Data!E739&gt;0,Data!E739,"")</f>
        <v/>
      </c>
      <c r="F739" s="1">
        <f>IF(Data!F739&gt;0,Data!F739,"")</f>
        <v/>
      </c>
      <c r="G739" s="1">
        <f>IF(Data!G739&gt;0,Data!G739,"")</f>
        <v/>
      </c>
      <c r="H739" s="1">
        <f>IF(Data!H739&gt;0,Data!H739,"")</f>
        <v/>
      </c>
      <c r="I739" s="1">
        <f>IF(Data!I739&gt;0,Data!I739,"")</f>
        <v/>
      </c>
      <c r="J739" s="1">
        <f>IF(Data!J739&gt;0,Data!J739,"")</f>
        <v/>
      </c>
      <c r="K739" s="1">
        <f>IF(Data!K739&gt;0,Data!K739,"")</f>
        <v/>
      </c>
      <c r="L739" s="1">
        <f>IF(Data!L739&gt;0,Data!L739,"")</f>
        <v/>
      </c>
      <c r="M739" s="1">
        <f>IF(Data!M739&gt;0,Data!M739,"")</f>
        <v/>
      </c>
      <c r="N739" s="1">
        <f>IF(Data!N739&gt;0,Data!N739,"")</f>
        <v/>
      </c>
      <c r="O739" s="1">
        <f>IF(Data!O739&gt;0,Data!O739,"")</f>
        <v/>
      </c>
      <c r="P739" s="1">
        <f>IF(Data!P739&gt;0,Data!P739,"")</f>
        <v/>
      </c>
      <c r="Q739" s="1">
        <f>IF(Data!Q739&gt;0,Data!Q739,"")</f>
        <v/>
      </c>
      <c r="R739" s="1">
        <f>IF(Data!R739&gt;0,Data!R739,"")</f>
        <v/>
      </c>
      <c r="S739" s="1">
        <f>IF(Data!S739&gt;0,Data!S739,"")</f>
        <v/>
      </c>
      <c r="V739" s="3">
        <f>IF(COUNT(D739,J739,K739,L739,M739,O739)&gt;0,AVERAGE(D739,J739,K739,L739,M739,O739),"")</f>
        <v/>
      </c>
      <c r="W739" s="3">
        <f>IF(COUNT(C739,F739,G739,N739,Q739)&gt;0,AVERAGE(C739,F739,G739,N739,Q739),"")</f>
        <v/>
      </c>
      <c r="X739" s="3">
        <f>IF(COUNT(B739,E739,H739,I739,P739,R739,S739)&gt;0,AVERAGE(B739,E739,H739,I739,P739,R739,S739),"")</f>
        <v/>
      </c>
      <c r="Y739" s="3" t="n"/>
      <c r="AJ739">
        <f>IFERROR(AVERAGEIF($A$4:$A$1004,AI739,$V$4:$V$1004),"")</f>
        <v/>
      </c>
      <c r="AK739">
        <f>IFERROR(AVERAGEIF($A$4:$A$1004,AI739,$W$4:$W$1004),"")</f>
        <v/>
      </c>
      <c r="AL739">
        <f>IFERROR(AVERAGEIF($A$4:$A$1004,AI739,$X$4:$X$1004),"")</f>
        <v/>
      </c>
    </row>
    <row r="740">
      <c r="A740" s="1">
        <f>IF(Data!A740&gt;0,Data!A740,"")</f>
        <v/>
      </c>
      <c r="B740" s="1">
        <f>IF(Data!B740&gt;0,Data!B740,"")</f>
        <v/>
      </c>
      <c r="C740" s="1">
        <f>IF(Data!C740&gt;0,Data!C740,"")</f>
        <v/>
      </c>
      <c r="D740" s="1">
        <f>IF(Data!D740&gt;0,Data!D740,"")</f>
        <v/>
      </c>
      <c r="E740" s="1">
        <f>IF(Data!E740&gt;0,Data!E740,"")</f>
        <v/>
      </c>
      <c r="F740" s="1">
        <f>IF(Data!F740&gt;0,Data!F740,"")</f>
        <v/>
      </c>
      <c r="G740" s="1">
        <f>IF(Data!G740&gt;0,Data!G740,"")</f>
        <v/>
      </c>
      <c r="H740" s="1">
        <f>IF(Data!H740&gt;0,Data!H740,"")</f>
        <v/>
      </c>
      <c r="I740" s="1">
        <f>IF(Data!I740&gt;0,Data!I740,"")</f>
        <v/>
      </c>
      <c r="J740" s="1">
        <f>IF(Data!J740&gt;0,Data!J740,"")</f>
        <v/>
      </c>
      <c r="K740" s="1">
        <f>IF(Data!K740&gt;0,Data!K740,"")</f>
        <v/>
      </c>
      <c r="L740" s="1">
        <f>IF(Data!L740&gt;0,Data!L740,"")</f>
        <v/>
      </c>
      <c r="M740" s="1">
        <f>IF(Data!M740&gt;0,Data!M740,"")</f>
        <v/>
      </c>
      <c r="N740" s="1">
        <f>IF(Data!N740&gt;0,Data!N740,"")</f>
        <v/>
      </c>
      <c r="O740" s="1">
        <f>IF(Data!O740&gt;0,Data!O740,"")</f>
        <v/>
      </c>
      <c r="P740" s="1">
        <f>IF(Data!P740&gt;0,Data!P740,"")</f>
        <v/>
      </c>
      <c r="Q740" s="1">
        <f>IF(Data!Q740&gt;0,Data!Q740,"")</f>
        <v/>
      </c>
      <c r="R740" s="1">
        <f>IF(Data!R740&gt;0,Data!R740,"")</f>
        <v/>
      </c>
      <c r="S740" s="1">
        <f>IF(Data!S740&gt;0,Data!S740,"")</f>
        <v/>
      </c>
      <c r="V740" s="3">
        <f>IF(COUNT(D740,J740,K740,L740,M740,O740)&gt;0,AVERAGE(D740,J740,K740,L740,M740,O740),"")</f>
        <v/>
      </c>
      <c r="W740" s="3">
        <f>IF(COUNT(C740,F740,G740,N740,Q740)&gt;0,AVERAGE(C740,F740,G740,N740,Q740),"")</f>
        <v/>
      </c>
      <c r="X740" s="3">
        <f>IF(COUNT(B740,E740,H740,I740,P740,R740,S740)&gt;0,AVERAGE(B740,E740,H740,I740,P740,R740,S740),"")</f>
        <v/>
      </c>
      <c r="Y740" s="3" t="n"/>
      <c r="AJ740">
        <f>IFERROR(AVERAGEIF($A$4:$A$1004,AI740,$V$4:$V$1004),"")</f>
        <v/>
      </c>
      <c r="AK740">
        <f>IFERROR(AVERAGEIF($A$4:$A$1004,AI740,$W$4:$W$1004),"")</f>
        <v/>
      </c>
      <c r="AL740">
        <f>IFERROR(AVERAGEIF($A$4:$A$1004,AI740,$X$4:$X$1004),"")</f>
        <v/>
      </c>
    </row>
    <row r="741">
      <c r="A741" s="1">
        <f>IF(Data!A741&gt;0,Data!A741,"")</f>
        <v/>
      </c>
      <c r="B741" s="1">
        <f>IF(Data!B741&gt;0,Data!B741,"")</f>
        <v/>
      </c>
      <c r="C741" s="1">
        <f>IF(Data!C741&gt;0,Data!C741,"")</f>
        <v/>
      </c>
      <c r="D741" s="1">
        <f>IF(Data!D741&gt;0,Data!D741,"")</f>
        <v/>
      </c>
      <c r="E741" s="1">
        <f>IF(Data!E741&gt;0,Data!E741,"")</f>
        <v/>
      </c>
      <c r="F741" s="1">
        <f>IF(Data!F741&gt;0,Data!F741,"")</f>
        <v/>
      </c>
      <c r="G741" s="1">
        <f>IF(Data!G741&gt;0,Data!G741,"")</f>
        <v/>
      </c>
      <c r="H741" s="1">
        <f>IF(Data!H741&gt;0,Data!H741,"")</f>
        <v/>
      </c>
      <c r="I741" s="1">
        <f>IF(Data!I741&gt;0,Data!I741,"")</f>
        <v/>
      </c>
      <c r="J741" s="1">
        <f>IF(Data!J741&gt;0,Data!J741,"")</f>
        <v/>
      </c>
      <c r="K741" s="1">
        <f>IF(Data!K741&gt;0,Data!K741,"")</f>
        <v/>
      </c>
      <c r="L741" s="1">
        <f>IF(Data!L741&gt;0,Data!L741,"")</f>
        <v/>
      </c>
      <c r="M741" s="1">
        <f>IF(Data!M741&gt;0,Data!M741,"")</f>
        <v/>
      </c>
      <c r="N741" s="1">
        <f>IF(Data!N741&gt;0,Data!N741,"")</f>
        <v/>
      </c>
      <c r="O741" s="1">
        <f>IF(Data!O741&gt;0,Data!O741,"")</f>
        <v/>
      </c>
      <c r="P741" s="1">
        <f>IF(Data!P741&gt;0,Data!P741,"")</f>
        <v/>
      </c>
      <c r="Q741" s="1">
        <f>IF(Data!Q741&gt;0,Data!Q741,"")</f>
        <v/>
      </c>
      <c r="R741" s="1">
        <f>IF(Data!R741&gt;0,Data!R741,"")</f>
        <v/>
      </c>
      <c r="S741" s="1">
        <f>IF(Data!S741&gt;0,Data!S741,"")</f>
        <v/>
      </c>
      <c r="V741" s="3">
        <f>IF(COUNT(D741,J741,K741,L741,M741,O741)&gt;0,AVERAGE(D741,J741,K741,L741,M741,O741),"")</f>
        <v/>
      </c>
      <c r="W741" s="3">
        <f>IF(COUNT(C741,F741,G741,N741,Q741)&gt;0,AVERAGE(C741,F741,G741,N741,Q741),"")</f>
        <v/>
      </c>
      <c r="X741" s="3">
        <f>IF(COUNT(B741,E741,H741,I741,P741,R741,S741)&gt;0,AVERAGE(B741,E741,H741,I741,P741,R741,S741),"")</f>
        <v/>
      </c>
      <c r="Y741" s="3" t="n"/>
      <c r="AJ741">
        <f>IFERROR(AVERAGEIF($A$4:$A$1004,AI741,$V$4:$V$1004),"")</f>
        <v/>
      </c>
      <c r="AK741">
        <f>IFERROR(AVERAGEIF($A$4:$A$1004,AI741,$W$4:$W$1004),"")</f>
        <v/>
      </c>
      <c r="AL741">
        <f>IFERROR(AVERAGEIF($A$4:$A$1004,AI741,$X$4:$X$1004),"")</f>
        <v/>
      </c>
    </row>
    <row r="742">
      <c r="A742" s="1">
        <f>IF(Data!A742&gt;0,Data!A742,"")</f>
        <v/>
      </c>
      <c r="B742" s="1">
        <f>IF(Data!B742&gt;0,Data!B742,"")</f>
        <v/>
      </c>
      <c r="C742" s="1">
        <f>IF(Data!C742&gt;0,Data!C742,"")</f>
        <v/>
      </c>
      <c r="D742" s="1">
        <f>IF(Data!D742&gt;0,Data!D742,"")</f>
        <v/>
      </c>
      <c r="E742" s="1">
        <f>IF(Data!E742&gt;0,Data!E742,"")</f>
        <v/>
      </c>
      <c r="F742" s="1">
        <f>IF(Data!F742&gt;0,Data!F742,"")</f>
        <v/>
      </c>
      <c r="G742" s="1">
        <f>IF(Data!G742&gt;0,Data!G742,"")</f>
        <v/>
      </c>
      <c r="H742" s="1">
        <f>IF(Data!H742&gt;0,Data!H742,"")</f>
        <v/>
      </c>
      <c r="I742" s="1">
        <f>IF(Data!I742&gt;0,Data!I742,"")</f>
        <v/>
      </c>
      <c r="J742" s="1">
        <f>IF(Data!J742&gt;0,Data!J742,"")</f>
        <v/>
      </c>
      <c r="K742" s="1">
        <f>IF(Data!K742&gt;0,Data!K742,"")</f>
        <v/>
      </c>
      <c r="L742" s="1">
        <f>IF(Data!L742&gt;0,Data!L742,"")</f>
        <v/>
      </c>
      <c r="M742" s="1">
        <f>IF(Data!M742&gt;0,Data!M742,"")</f>
        <v/>
      </c>
      <c r="N742" s="1">
        <f>IF(Data!N742&gt;0,Data!N742,"")</f>
        <v/>
      </c>
      <c r="O742" s="1">
        <f>IF(Data!O742&gt;0,Data!O742,"")</f>
        <v/>
      </c>
      <c r="P742" s="1">
        <f>IF(Data!P742&gt;0,Data!P742,"")</f>
        <v/>
      </c>
      <c r="Q742" s="1">
        <f>IF(Data!Q742&gt;0,Data!Q742,"")</f>
        <v/>
      </c>
      <c r="R742" s="1">
        <f>IF(Data!R742&gt;0,Data!R742,"")</f>
        <v/>
      </c>
      <c r="S742" s="1">
        <f>IF(Data!S742&gt;0,Data!S742,"")</f>
        <v/>
      </c>
      <c r="V742" s="3">
        <f>IF(COUNT(D742,J742,K742,L742,M742,O742)&gt;0,AVERAGE(D742,J742,K742,L742,M742,O742),"")</f>
        <v/>
      </c>
      <c r="W742" s="3">
        <f>IF(COUNT(C742,F742,G742,N742,Q742)&gt;0,AVERAGE(C742,F742,G742,N742,Q742),"")</f>
        <v/>
      </c>
      <c r="X742" s="3">
        <f>IF(COUNT(B742,E742,H742,I742,P742,R742,S742)&gt;0,AVERAGE(B742,E742,H742,I742,P742,R742,S742),"")</f>
        <v/>
      </c>
      <c r="Y742" s="3" t="n"/>
      <c r="AJ742">
        <f>IFERROR(AVERAGEIF($A$4:$A$1004,AI742,$V$4:$V$1004),"")</f>
        <v/>
      </c>
      <c r="AK742">
        <f>IFERROR(AVERAGEIF($A$4:$A$1004,AI742,$W$4:$W$1004),"")</f>
        <v/>
      </c>
      <c r="AL742">
        <f>IFERROR(AVERAGEIF($A$4:$A$1004,AI742,$X$4:$X$1004),"")</f>
        <v/>
      </c>
    </row>
    <row r="743">
      <c r="A743" s="1">
        <f>IF(Data!A743&gt;0,Data!A743,"")</f>
        <v/>
      </c>
      <c r="B743" s="1">
        <f>IF(Data!B743&gt;0,Data!B743,"")</f>
        <v/>
      </c>
      <c r="C743" s="1">
        <f>IF(Data!C743&gt;0,Data!C743,"")</f>
        <v/>
      </c>
      <c r="D743" s="1">
        <f>IF(Data!D743&gt;0,Data!D743,"")</f>
        <v/>
      </c>
      <c r="E743" s="1">
        <f>IF(Data!E743&gt;0,Data!E743,"")</f>
        <v/>
      </c>
      <c r="F743" s="1">
        <f>IF(Data!F743&gt;0,Data!F743,"")</f>
        <v/>
      </c>
      <c r="G743" s="1">
        <f>IF(Data!G743&gt;0,Data!G743,"")</f>
        <v/>
      </c>
      <c r="H743" s="1">
        <f>IF(Data!H743&gt;0,Data!H743,"")</f>
        <v/>
      </c>
      <c r="I743" s="1">
        <f>IF(Data!I743&gt;0,Data!I743,"")</f>
        <v/>
      </c>
      <c r="J743" s="1">
        <f>IF(Data!J743&gt;0,Data!J743,"")</f>
        <v/>
      </c>
      <c r="K743" s="1">
        <f>IF(Data!K743&gt;0,Data!K743,"")</f>
        <v/>
      </c>
      <c r="L743" s="1">
        <f>IF(Data!L743&gt;0,Data!L743,"")</f>
        <v/>
      </c>
      <c r="M743" s="1">
        <f>IF(Data!M743&gt;0,Data!M743,"")</f>
        <v/>
      </c>
      <c r="N743" s="1">
        <f>IF(Data!N743&gt;0,Data!N743,"")</f>
        <v/>
      </c>
      <c r="O743" s="1">
        <f>IF(Data!O743&gt;0,Data!O743,"")</f>
        <v/>
      </c>
      <c r="P743" s="1">
        <f>IF(Data!P743&gt;0,Data!P743,"")</f>
        <v/>
      </c>
      <c r="Q743" s="1">
        <f>IF(Data!Q743&gt;0,Data!Q743,"")</f>
        <v/>
      </c>
      <c r="R743" s="1">
        <f>IF(Data!R743&gt;0,Data!R743,"")</f>
        <v/>
      </c>
      <c r="S743" s="1">
        <f>IF(Data!S743&gt;0,Data!S743,"")</f>
        <v/>
      </c>
      <c r="V743" s="3">
        <f>IF(COUNT(D743,J743,K743,L743,M743,O743)&gt;0,AVERAGE(D743,J743,K743,L743,M743,O743),"")</f>
        <v/>
      </c>
      <c r="W743" s="3">
        <f>IF(COUNT(C743,F743,G743,N743,Q743)&gt;0,AVERAGE(C743,F743,G743,N743,Q743),"")</f>
        <v/>
      </c>
      <c r="X743" s="3">
        <f>IF(COUNT(B743,E743,H743,I743,P743,R743,S743)&gt;0,AVERAGE(B743,E743,H743,I743,P743,R743,S743),"")</f>
        <v/>
      </c>
      <c r="Y743" s="3" t="n"/>
      <c r="AJ743">
        <f>IFERROR(AVERAGEIF($A$4:$A$1004,AI743,$V$4:$V$1004),"")</f>
        <v/>
      </c>
      <c r="AK743">
        <f>IFERROR(AVERAGEIF($A$4:$A$1004,AI743,$W$4:$W$1004),"")</f>
        <v/>
      </c>
      <c r="AL743">
        <f>IFERROR(AVERAGEIF($A$4:$A$1004,AI743,$X$4:$X$1004),"")</f>
        <v/>
      </c>
    </row>
    <row r="744">
      <c r="A744" s="1">
        <f>IF(Data!A744&gt;0,Data!A744,"")</f>
        <v/>
      </c>
      <c r="B744" s="1">
        <f>IF(Data!B744&gt;0,Data!B744,"")</f>
        <v/>
      </c>
      <c r="C744" s="1">
        <f>IF(Data!C744&gt;0,Data!C744,"")</f>
        <v/>
      </c>
      <c r="D744" s="1">
        <f>IF(Data!D744&gt;0,Data!D744,"")</f>
        <v/>
      </c>
      <c r="E744" s="1">
        <f>IF(Data!E744&gt;0,Data!E744,"")</f>
        <v/>
      </c>
      <c r="F744" s="1">
        <f>IF(Data!F744&gt;0,Data!F744,"")</f>
        <v/>
      </c>
      <c r="G744" s="1">
        <f>IF(Data!G744&gt;0,Data!G744,"")</f>
        <v/>
      </c>
      <c r="H744" s="1">
        <f>IF(Data!H744&gt;0,Data!H744,"")</f>
        <v/>
      </c>
      <c r="I744" s="1">
        <f>IF(Data!I744&gt;0,Data!I744,"")</f>
        <v/>
      </c>
      <c r="J744" s="1">
        <f>IF(Data!J744&gt;0,Data!J744,"")</f>
        <v/>
      </c>
      <c r="K744" s="1">
        <f>IF(Data!K744&gt;0,Data!K744,"")</f>
        <v/>
      </c>
      <c r="L744" s="1">
        <f>IF(Data!L744&gt;0,Data!L744,"")</f>
        <v/>
      </c>
      <c r="M744" s="1">
        <f>IF(Data!M744&gt;0,Data!M744,"")</f>
        <v/>
      </c>
      <c r="N744" s="1">
        <f>IF(Data!N744&gt;0,Data!N744,"")</f>
        <v/>
      </c>
      <c r="O744" s="1">
        <f>IF(Data!O744&gt;0,Data!O744,"")</f>
        <v/>
      </c>
      <c r="P744" s="1">
        <f>IF(Data!P744&gt;0,Data!P744,"")</f>
        <v/>
      </c>
      <c r="Q744" s="1">
        <f>IF(Data!Q744&gt;0,Data!Q744,"")</f>
        <v/>
      </c>
      <c r="R744" s="1">
        <f>IF(Data!R744&gt;0,Data!R744,"")</f>
        <v/>
      </c>
      <c r="S744" s="1">
        <f>IF(Data!S744&gt;0,Data!S744,"")</f>
        <v/>
      </c>
      <c r="V744" s="3">
        <f>IF(COUNT(D744,J744,K744,L744,M744,O744)&gt;0,AVERAGE(D744,J744,K744,L744,M744,O744),"")</f>
        <v/>
      </c>
      <c r="W744" s="3">
        <f>IF(COUNT(C744,F744,G744,N744,Q744)&gt;0,AVERAGE(C744,F744,G744,N744,Q744),"")</f>
        <v/>
      </c>
      <c r="X744" s="3">
        <f>IF(COUNT(B744,E744,H744,I744,P744,R744,S744)&gt;0,AVERAGE(B744,E744,H744,I744,P744,R744,S744),"")</f>
        <v/>
      </c>
      <c r="Y744" s="3" t="n"/>
      <c r="AJ744">
        <f>IFERROR(AVERAGEIF($A$4:$A$1004,AI744,$V$4:$V$1004),"")</f>
        <v/>
      </c>
      <c r="AK744">
        <f>IFERROR(AVERAGEIF($A$4:$A$1004,AI744,$W$4:$W$1004),"")</f>
        <v/>
      </c>
      <c r="AL744">
        <f>IFERROR(AVERAGEIF($A$4:$A$1004,AI744,$X$4:$X$1004),"")</f>
        <v/>
      </c>
    </row>
    <row r="745">
      <c r="A745" s="1">
        <f>IF(Data!A745&gt;0,Data!A745,"")</f>
        <v/>
      </c>
      <c r="B745" s="1">
        <f>IF(Data!B745&gt;0,Data!B745,"")</f>
        <v/>
      </c>
      <c r="C745" s="1">
        <f>IF(Data!C745&gt;0,Data!C745,"")</f>
        <v/>
      </c>
      <c r="D745" s="1">
        <f>IF(Data!D745&gt;0,Data!D745,"")</f>
        <v/>
      </c>
      <c r="E745" s="1">
        <f>IF(Data!E745&gt;0,Data!E745,"")</f>
        <v/>
      </c>
      <c r="F745" s="1">
        <f>IF(Data!F745&gt;0,Data!F745,"")</f>
        <v/>
      </c>
      <c r="G745" s="1">
        <f>IF(Data!G745&gt;0,Data!G745,"")</f>
        <v/>
      </c>
      <c r="H745" s="1">
        <f>IF(Data!H745&gt;0,Data!H745,"")</f>
        <v/>
      </c>
      <c r="I745" s="1">
        <f>IF(Data!I745&gt;0,Data!I745,"")</f>
        <v/>
      </c>
      <c r="J745" s="1">
        <f>IF(Data!J745&gt;0,Data!J745,"")</f>
        <v/>
      </c>
      <c r="K745" s="1">
        <f>IF(Data!K745&gt;0,Data!K745,"")</f>
        <v/>
      </c>
      <c r="L745" s="1">
        <f>IF(Data!L745&gt;0,Data!L745,"")</f>
        <v/>
      </c>
      <c r="M745" s="1">
        <f>IF(Data!M745&gt;0,Data!M745,"")</f>
        <v/>
      </c>
      <c r="N745" s="1">
        <f>IF(Data!N745&gt;0,Data!N745,"")</f>
        <v/>
      </c>
      <c r="O745" s="1">
        <f>IF(Data!O745&gt;0,Data!O745,"")</f>
        <v/>
      </c>
      <c r="P745" s="1">
        <f>IF(Data!P745&gt;0,Data!P745,"")</f>
        <v/>
      </c>
      <c r="Q745" s="1">
        <f>IF(Data!Q745&gt;0,Data!Q745,"")</f>
        <v/>
      </c>
      <c r="R745" s="1">
        <f>IF(Data!R745&gt;0,Data!R745,"")</f>
        <v/>
      </c>
      <c r="S745" s="1">
        <f>IF(Data!S745&gt;0,Data!S745,"")</f>
        <v/>
      </c>
      <c r="V745" s="3">
        <f>IF(COUNT(D745,J745,K745,L745,M745,O745)&gt;0,AVERAGE(D745,J745,K745,L745,M745,O745),"")</f>
        <v/>
      </c>
      <c r="W745" s="3">
        <f>IF(COUNT(C745,F745,G745,N745,Q745)&gt;0,AVERAGE(C745,F745,G745,N745,Q745),"")</f>
        <v/>
      </c>
      <c r="X745" s="3">
        <f>IF(COUNT(B745,E745,H745,I745,P745,R745,S745)&gt;0,AVERAGE(B745,E745,H745,I745,P745,R745,S745),"")</f>
        <v/>
      </c>
      <c r="Y745" s="3" t="n"/>
      <c r="AJ745">
        <f>IFERROR(AVERAGEIF($A$4:$A$1004,AI745,$V$4:$V$1004),"")</f>
        <v/>
      </c>
      <c r="AK745">
        <f>IFERROR(AVERAGEIF($A$4:$A$1004,AI745,$W$4:$W$1004),"")</f>
        <v/>
      </c>
      <c r="AL745">
        <f>IFERROR(AVERAGEIF($A$4:$A$1004,AI745,$X$4:$X$1004),"")</f>
        <v/>
      </c>
    </row>
    <row r="746">
      <c r="A746" s="1">
        <f>IF(Data!A746&gt;0,Data!A746,"")</f>
        <v/>
      </c>
      <c r="B746" s="1">
        <f>IF(Data!B746&gt;0,Data!B746,"")</f>
        <v/>
      </c>
      <c r="C746" s="1">
        <f>IF(Data!C746&gt;0,Data!C746,"")</f>
        <v/>
      </c>
      <c r="D746" s="1">
        <f>IF(Data!D746&gt;0,Data!D746,"")</f>
        <v/>
      </c>
      <c r="E746" s="1">
        <f>IF(Data!E746&gt;0,Data!E746,"")</f>
        <v/>
      </c>
      <c r="F746" s="1">
        <f>IF(Data!F746&gt;0,Data!F746,"")</f>
        <v/>
      </c>
      <c r="G746" s="1">
        <f>IF(Data!G746&gt;0,Data!G746,"")</f>
        <v/>
      </c>
      <c r="H746" s="1">
        <f>IF(Data!H746&gt;0,Data!H746,"")</f>
        <v/>
      </c>
      <c r="I746" s="1">
        <f>IF(Data!I746&gt;0,Data!I746,"")</f>
        <v/>
      </c>
      <c r="J746" s="1">
        <f>IF(Data!J746&gt;0,Data!J746,"")</f>
        <v/>
      </c>
      <c r="K746" s="1">
        <f>IF(Data!K746&gt;0,Data!K746,"")</f>
        <v/>
      </c>
      <c r="L746" s="1">
        <f>IF(Data!L746&gt;0,Data!L746,"")</f>
        <v/>
      </c>
      <c r="M746" s="1">
        <f>IF(Data!M746&gt;0,Data!M746,"")</f>
        <v/>
      </c>
      <c r="N746" s="1">
        <f>IF(Data!N746&gt;0,Data!N746,"")</f>
        <v/>
      </c>
      <c r="O746" s="1">
        <f>IF(Data!O746&gt;0,Data!O746,"")</f>
        <v/>
      </c>
      <c r="P746" s="1">
        <f>IF(Data!P746&gt;0,Data!P746,"")</f>
        <v/>
      </c>
      <c r="Q746" s="1">
        <f>IF(Data!Q746&gt;0,Data!Q746,"")</f>
        <v/>
      </c>
      <c r="R746" s="1">
        <f>IF(Data!R746&gt;0,Data!R746,"")</f>
        <v/>
      </c>
      <c r="S746" s="1">
        <f>IF(Data!S746&gt;0,Data!S746,"")</f>
        <v/>
      </c>
      <c r="V746" s="3">
        <f>IF(COUNT(D746,J746,K746,L746,M746,O746)&gt;0,AVERAGE(D746,J746,K746,L746,M746,O746),"")</f>
        <v/>
      </c>
      <c r="W746" s="3">
        <f>IF(COUNT(C746,F746,G746,N746,Q746)&gt;0,AVERAGE(C746,F746,G746,N746,Q746),"")</f>
        <v/>
      </c>
      <c r="X746" s="3">
        <f>IF(COUNT(B746,E746,H746,I746,P746,R746,S746)&gt;0,AVERAGE(B746,E746,H746,I746,P746,R746,S746),"")</f>
        <v/>
      </c>
      <c r="Y746" s="3" t="n"/>
      <c r="AJ746">
        <f>IFERROR(AVERAGEIF($A$4:$A$1004,AI746,$V$4:$V$1004),"")</f>
        <v/>
      </c>
      <c r="AK746">
        <f>IFERROR(AVERAGEIF($A$4:$A$1004,AI746,$W$4:$W$1004),"")</f>
        <v/>
      </c>
      <c r="AL746">
        <f>IFERROR(AVERAGEIF($A$4:$A$1004,AI746,$X$4:$X$1004),"")</f>
        <v/>
      </c>
    </row>
    <row r="747">
      <c r="A747" s="1">
        <f>IF(Data!A747&gt;0,Data!A747,"")</f>
        <v/>
      </c>
      <c r="B747" s="1">
        <f>IF(Data!B747&gt;0,Data!B747,"")</f>
        <v/>
      </c>
      <c r="C747" s="1">
        <f>IF(Data!C747&gt;0,Data!C747,"")</f>
        <v/>
      </c>
      <c r="D747" s="1">
        <f>IF(Data!D747&gt;0,Data!D747,"")</f>
        <v/>
      </c>
      <c r="E747" s="1">
        <f>IF(Data!E747&gt;0,Data!E747,"")</f>
        <v/>
      </c>
      <c r="F747" s="1">
        <f>IF(Data!F747&gt;0,Data!F747,"")</f>
        <v/>
      </c>
      <c r="G747" s="1">
        <f>IF(Data!G747&gt;0,Data!G747,"")</f>
        <v/>
      </c>
      <c r="H747" s="1">
        <f>IF(Data!H747&gt;0,Data!H747,"")</f>
        <v/>
      </c>
      <c r="I747" s="1">
        <f>IF(Data!I747&gt;0,Data!I747,"")</f>
        <v/>
      </c>
      <c r="J747" s="1">
        <f>IF(Data!J747&gt;0,Data!J747,"")</f>
        <v/>
      </c>
      <c r="K747" s="1">
        <f>IF(Data!K747&gt;0,Data!K747,"")</f>
        <v/>
      </c>
      <c r="L747" s="1">
        <f>IF(Data!L747&gt;0,Data!L747,"")</f>
        <v/>
      </c>
      <c r="M747" s="1">
        <f>IF(Data!M747&gt;0,Data!M747,"")</f>
        <v/>
      </c>
      <c r="N747" s="1">
        <f>IF(Data!N747&gt;0,Data!N747,"")</f>
        <v/>
      </c>
      <c r="O747" s="1">
        <f>IF(Data!O747&gt;0,Data!O747,"")</f>
        <v/>
      </c>
      <c r="P747" s="1">
        <f>IF(Data!P747&gt;0,Data!P747,"")</f>
        <v/>
      </c>
      <c r="Q747" s="1">
        <f>IF(Data!Q747&gt;0,Data!Q747,"")</f>
        <v/>
      </c>
      <c r="R747" s="1">
        <f>IF(Data!R747&gt;0,Data!R747,"")</f>
        <v/>
      </c>
      <c r="S747" s="1">
        <f>IF(Data!S747&gt;0,Data!S747,"")</f>
        <v/>
      </c>
      <c r="V747" s="3">
        <f>IF(COUNT(D747,J747,K747,L747,M747,O747)&gt;0,AVERAGE(D747,J747,K747,L747,M747,O747),"")</f>
        <v/>
      </c>
      <c r="W747" s="3">
        <f>IF(COUNT(C747,F747,G747,N747,Q747)&gt;0,AVERAGE(C747,F747,G747,N747,Q747),"")</f>
        <v/>
      </c>
      <c r="X747" s="3">
        <f>IF(COUNT(B747,E747,H747,I747,P747,R747,S747)&gt;0,AVERAGE(B747,E747,H747,I747,P747,R747,S747),"")</f>
        <v/>
      </c>
      <c r="Y747" s="3" t="n"/>
      <c r="AJ747">
        <f>IFERROR(AVERAGEIF($A$4:$A$1004,AI747,$V$4:$V$1004),"")</f>
        <v/>
      </c>
      <c r="AK747">
        <f>IFERROR(AVERAGEIF($A$4:$A$1004,AI747,$W$4:$W$1004),"")</f>
        <v/>
      </c>
      <c r="AL747">
        <f>IFERROR(AVERAGEIF($A$4:$A$1004,AI747,$X$4:$X$1004),"")</f>
        <v/>
      </c>
    </row>
    <row r="748">
      <c r="A748" s="1">
        <f>IF(Data!A748&gt;0,Data!A748,"")</f>
        <v/>
      </c>
      <c r="B748" s="1">
        <f>IF(Data!B748&gt;0,Data!B748,"")</f>
        <v/>
      </c>
      <c r="C748" s="1">
        <f>IF(Data!C748&gt;0,Data!C748,"")</f>
        <v/>
      </c>
      <c r="D748" s="1">
        <f>IF(Data!D748&gt;0,Data!D748,"")</f>
        <v/>
      </c>
      <c r="E748" s="1">
        <f>IF(Data!E748&gt;0,Data!E748,"")</f>
        <v/>
      </c>
      <c r="F748" s="1">
        <f>IF(Data!F748&gt;0,Data!F748,"")</f>
        <v/>
      </c>
      <c r="G748" s="1">
        <f>IF(Data!G748&gt;0,Data!G748,"")</f>
        <v/>
      </c>
      <c r="H748" s="1">
        <f>IF(Data!H748&gt;0,Data!H748,"")</f>
        <v/>
      </c>
      <c r="I748" s="1">
        <f>IF(Data!I748&gt;0,Data!I748,"")</f>
        <v/>
      </c>
      <c r="J748" s="1">
        <f>IF(Data!J748&gt;0,Data!J748,"")</f>
        <v/>
      </c>
      <c r="K748" s="1">
        <f>IF(Data!K748&gt;0,Data!K748,"")</f>
        <v/>
      </c>
      <c r="L748" s="1">
        <f>IF(Data!L748&gt;0,Data!L748,"")</f>
        <v/>
      </c>
      <c r="M748" s="1">
        <f>IF(Data!M748&gt;0,Data!M748,"")</f>
        <v/>
      </c>
      <c r="N748" s="1">
        <f>IF(Data!N748&gt;0,Data!N748,"")</f>
        <v/>
      </c>
      <c r="O748" s="1">
        <f>IF(Data!O748&gt;0,Data!O748,"")</f>
        <v/>
      </c>
      <c r="P748" s="1">
        <f>IF(Data!P748&gt;0,Data!P748,"")</f>
        <v/>
      </c>
      <c r="Q748" s="1">
        <f>IF(Data!Q748&gt;0,Data!Q748,"")</f>
        <v/>
      </c>
      <c r="R748" s="1">
        <f>IF(Data!R748&gt;0,Data!R748,"")</f>
        <v/>
      </c>
      <c r="S748" s="1">
        <f>IF(Data!S748&gt;0,Data!S748,"")</f>
        <v/>
      </c>
      <c r="V748" s="3">
        <f>IF(COUNT(D748,J748,K748,L748,M748,O748)&gt;0,AVERAGE(D748,J748,K748,L748,M748,O748),"")</f>
        <v/>
      </c>
      <c r="W748" s="3">
        <f>IF(COUNT(C748,F748,G748,N748,Q748)&gt;0,AVERAGE(C748,F748,G748,N748,Q748),"")</f>
        <v/>
      </c>
      <c r="X748" s="3">
        <f>IF(COUNT(B748,E748,H748,I748,P748,R748,S748)&gt;0,AVERAGE(B748,E748,H748,I748,P748,R748,S748),"")</f>
        <v/>
      </c>
      <c r="Y748" s="3" t="n"/>
      <c r="AJ748">
        <f>IFERROR(AVERAGEIF($A$4:$A$1004,AI748,$V$4:$V$1004),"")</f>
        <v/>
      </c>
      <c r="AK748">
        <f>IFERROR(AVERAGEIF($A$4:$A$1004,AI748,$W$4:$W$1004),"")</f>
        <v/>
      </c>
      <c r="AL748">
        <f>IFERROR(AVERAGEIF($A$4:$A$1004,AI748,$X$4:$X$1004),"")</f>
        <v/>
      </c>
    </row>
    <row r="749">
      <c r="A749" s="1">
        <f>IF(Data!A749&gt;0,Data!A749,"")</f>
        <v/>
      </c>
      <c r="B749" s="1">
        <f>IF(Data!B749&gt;0,Data!B749,"")</f>
        <v/>
      </c>
      <c r="C749" s="1">
        <f>IF(Data!C749&gt;0,Data!C749,"")</f>
        <v/>
      </c>
      <c r="D749" s="1">
        <f>IF(Data!D749&gt;0,Data!D749,"")</f>
        <v/>
      </c>
      <c r="E749" s="1">
        <f>IF(Data!E749&gt;0,Data!E749,"")</f>
        <v/>
      </c>
      <c r="F749" s="1">
        <f>IF(Data!F749&gt;0,Data!F749,"")</f>
        <v/>
      </c>
      <c r="G749" s="1">
        <f>IF(Data!G749&gt;0,Data!G749,"")</f>
        <v/>
      </c>
      <c r="H749" s="1">
        <f>IF(Data!H749&gt;0,Data!H749,"")</f>
        <v/>
      </c>
      <c r="I749" s="1">
        <f>IF(Data!I749&gt;0,Data!I749,"")</f>
        <v/>
      </c>
      <c r="J749" s="1">
        <f>IF(Data!J749&gt;0,Data!J749,"")</f>
        <v/>
      </c>
      <c r="K749" s="1">
        <f>IF(Data!K749&gt;0,Data!K749,"")</f>
        <v/>
      </c>
      <c r="L749" s="1">
        <f>IF(Data!L749&gt;0,Data!L749,"")</f>
        <v/>
      </c>
      <c r="M749" s="1">
        <f>IF(Data!M749&gt;0,Data!M749,"")</f>
        <v/>
      </c>
      <c r="N749" s="1">
        <f>IF(Data!N749&gt;0,Data!N749,"")</f>
        <v/>
      </c>
      <c r="O749" s="1">
        <f>IF(Data!O749&gt;0,Data!O749,"")</f>
        <v/>
      </c>
      <c r="P749" s="1">
        <f>IF(Data!P749&gt;0,Data!P749,"")</f>
        <v/>
      </c>
      <c r="Q749" s="1">
        <f>IF(Data!Q749&gt;0,Data!Q749,"")</f>
        <v/>
      </c>
      <c r="R749" s="1">
        <f>IF(Data!R749&gt;0,Data!R749,"")</f>
        <v/>
      </c>
      <c r="S749" s="1">
        <f>IF(Data!S749&gt;0,Data!S749,"")</f>
        <v/>
      </c>
      <c r="V749" s="3">
        <f>IF(COUNT(D749,J749,K749,L749,M749,O749)&gt;0,AVERAGE(D749,J749,K749,L749,M749,O749),"")</f>
        <v/>
      </c>
      <c r="W749" s="3">
        <f>IF(COUNT(C749,F749,G749,N749,Q749)&gt;0,AVERAGE(C749,F749,G749,N749,Q749),"")</f>
        <v/>
      </c>
      <c r="X749" s="3">
        <f>IF(COUNT(B749,E749,H749,I749,P749,R749,S749)&gt;0,AVERAGE(B749,E749,H749,I749,P749,R749,S749),"")</f>
        <v/>
      </c>
      <c r="Y749" s="3" t="n"/>
      <c r="AJ749">
        <f>IFERROR(AVERAGEIF($A$4:$A$1004,AI749,$V$4:$V$1004),"")</f>
        <v/>
      </c>
      <c r="AK749">
        <f>IFERROR(AVERAGEIF($A$4:$A$1004,AI749,$W$4:$W$1004),"")</f>
        <v/>
      </c>
      <c r="AL749">
        <f>IFERROR(AVERAGEIF($A$4:$A$1004,AI749,$X$4:$X$1004),"")</f>
        <v/>
      </c>
    </row>
    <row r="750">
      <c r="A750" s="1">
        <f>IF(Data!A750&gt;0,Data!A750,"")</f>
        <v/>
      </c>
      <c r="B750" s="1">
        <f>IF(Data!B750&gt;0,Data!B750,"")</f>
        <v/>
      </c>
      <c r="C750" s="1">
        <f>IF(Data!C750&gt;0,Data!C750,"")</f>
        <v/>
      </c>
      <c r="D750" s="1">
        <f>IF(Data!D750&gt;0,Data!D750,"")</f>
        <v/>
      </c>
      <c r="E750" s="1">
        <f>IF(Data!E750&gt;0,Data!E750,"")</f>
        <v/>
      </c>
      <c r="F750" s="1">
        <f>IF(Data!F750&gt;0,Data!F750,"")</f>
        <v/>
      </c>
      <c r="G750" s="1">
        <f>IF(Data!G750&gt;0,Data!G750,"")</f>
        <v/>
      </c>
      <c r="H750" s="1">
        <f>IF(Data!H750&gt;0,Data!H750,"")</f>
        <v/>
      </c>
      <c r="I750" s="1">
        <f>IF(Data!I750&gt;0,Data!I750,"")</f>
        <v/>
      </c>
      <c r="J750" s="1">
        <f>IF(Data!J750&gt;0,Data!J750,"")</f>
        <v/>
      </c>
      <c r="K750" s="1">
        <f>IF(Data!K750&gt;0,Data!K750,"")</f>
        <v/>
      </c>
      <c r="L750" s="1">
        <f>IF(Data!L750&gt;0,Data!L750,"")</f>
        <v/>
      </c>
      <c r="M750" s="1">
        <f>IF(Data!M750&gt;0,Data!M750,"")</f>
        <v/>
      </c>
      <c r="N750" s="1">
        <f>IF(Data!N750&gt;0,Data!N750,"")</f>
        <v/>
      </c>
      <c r="O750" s="1">
        <f>IF(Data!O750&gt;0,Data!O750,"")</f>
        <v/>
      </c>
      <c r="P750" s="1">
        <f>IF(Data!P750&gt;0,Data!P750,"")</f>
        <v/>
      </c>
      <c r="Q750" s="1">
        <f>IF(Data!Q750&gt;0,Data!Q750,"")</f>
        <v/>
      </c>
      <c r="R750" s="1">
        <f>IF(Data!R750&gt;0,Data!R750,"")</f>
        <v/>
      </c>
      <c r="S750" s="1">
        <f>IF(Data!S750&gt;0,Data!S750,"")</f>
        <v/>
      </c>
      <c r="V750" s="3">
        <f>IF(COUNT(D750,J750,K750,L750,M750,O750)&gt;0,AVERAGE(D750,J750,K750,L750,M750,O750),"")</f>
        <v/>
      </c>
      <c r="W750" s="3">
        <f>IF(COUNT(C750,F750,G750,N750,Q750)&gt;0,AVERAGE(C750,F750,G750,N750,Q750),"")</f>
        <v/>
      </c>
      <c r="X750" s="3">
        <f>IF(COUNT(B750,E750,H750,I750,P750,R750,S750)&gt;0,AVERAGE(B750,E750,H750,I750,P750,R750,S750),"")</f>
        <v/>
      </c>
      <c r="Y750" s="3" t="n"/>
      <c r="AJ750">
        <f>IFERROR(AVERAGEIF($A$4:$A$1004,AI750,$V$4:$V$1004),"")</f>
        <v/>
      </c>
      <c r="AK750">
        <f>IFERROR(AVERAGEIF($A$4:$A$1004,AI750,$W$4:$W$1004),"")</f>
        <v/>
      </c>
      <c r="AL750">
        <f>IFERROR(AVERAGEIF($A$4:$A$1004,AI750,$X$4:$X$1004),"")</f>
        <v/>
      </c>
    </row>
    <row r="751">
      <c r="A751" s="1">
        <f>IF(Data!A751&gt;0,Data!A751,"")</f>
        <v/>
      </c>
      <c r="B751" s="1">
        <f>IF(Data!B751&gt;0,Data!B751,"")</f>
        <v/>
      </c>
      <c r="C751" s="1">
        <f>IF(Data!C751&gt;0,Data!C751,"")</f>
        <v/>
      </c>
      <c r="D751" s="1">
        <f>IF(Data!D751&gt;0,Data!D751,"")</f>
        <v/>
      </c>
      <c r="E751" s="1">
        <f>IF(Data!E751&gt;0,Data!E751,"")</f>
        <v/>
      </c>
      <c r="F751" s="1">
        <f>IF(Data!F751&gt;0,Data!F751,"")</f>
        <v/>
      </c>
      <c r="G751" s="1">
        <f>IF(Data!G751&gt;0,Data!G751,"")</f>
        <v/>
      </c>
      <c r="H751" s="1">
        <f>IF(Data!H751&gt;0,Data!H751,"")</f>
        <v/>
      </c>
      <c r="I751" s="1">
        <f>IF(Data!I751&gt;0,Data!I751,"")</f>
        <v/>
      </c>
      <c r="J751" s="1">
        <f>IF(Data!J751&gt;0,Data!J751,"")</f>
        <v/>
      </c>
      <c r="K751" s="1">
        <f>IF(Data!K751&gt;0,Data!K751,"")</f>
        <v/>
      </c>
      <c r="L751" s="1">
        <f>IF(Data!L751&gt;0,Data!L751,"")</f>
        <v/>
      </c>
      <c r="M751" s="1">
        <f>IF(Data!M751&gt;0,Data!M751,"")</f>
        <v/>
      </c>
      <c r="N751" s="1">
        <f>IF(Data!N751&gt;0,Data!N751,"")</f>
        <v/>
      </c>
      <c r="O751" s="1">
        <f>IF(Data!O751&gt;0,Data!O751,"")</f>
        <v/>
      </c>
      <c r="P751" s="1">
        <f>IF(Data!P751&gt;0,Data!P751,"")</f>
        <v/>
      </c>
      <c r="Q751" s="1">
        <f>IF(Data!Q751&gt;0,Data!Q751,"")</f>
        <v/>
      </c>
      <c r="R751" s="1">
        <f>IF(Data!R751&gt;0,Data!R751,"")</f>
        <v/>
      </c>
      <c r="S751" s="1">
        <f>IF(Data!S751&gt;0,Data!S751,"")</f>
        <v/>
      </c>
      <c r="V751" s="3">
        <f>IF(COUNT(D751,J751,K751,L751,M751,O751)&gt;0,AVERAGE(D751,J751,K751,L751,M751,O751),"")</f>
        <v/>
      </c>
      <c r="W751" s="3">
        <f>IF(COUNT(C751,F751,G751,N751,Q751)&gt;0,AVERAGE(C751,F751,G751,N751,Q751),"")</f>
        <v/>
      </c>
      <c r="X751" s="3">
        <f>IF(COUNT(B751,E751,H751,I751,P751,R751,S751)&gt;0,AVERAGE(B751,E751,H751,I751,P751,R751,S751),"")</f>
        <v/>
      </c>
      <c r="Y751" s="3" t="n"/>
      <c r="AJ751">
        <f>IFERROR(AVERAGEIF($A$4:$A$1004,AI751,$V$4:$V$1004),"")</f>
        <v/>
      </c>
      <c r="AK751">
        <f>IFERROR(AVERAGEIF($A$4:$A$1004,AI751,$W$4:$W$1004),"")</f>
        <v/>
      </c>
      <c r="AL751">
        <f>IFERROR(AVERAGEIF($A$4:$A$1004,AI751,$X$4:$X$1004),"")</f>
        <v/>
      </c>
    </row>
    <row r="752">
      <c r="A752" s="1">
        <f>IF(Data!A752&gt;0,Data!A752,"")</f>
        <v/>
      </c>
      <c r="B752" s="1">
        <f>IF(Data!B752&gt;0,Data!B752,"")</f>
        <v/>
      </c>
      <c r="C752" s="1">
        <f>IF(Data!C752&gt;0,Data!C752,"")</f>
        <v/>
      </c>
      <c r="D752" s="1">
        <f>IF(Data!D752&gt;0,Data!D752,"")</f>
        <v/>
      </c>
      <c r="E752" s="1">
        <f>IF(Data!E752&gt;0,Data!E752,"")</f>
        <v/>
      </c>
      <c r="F752" s="1">
        <f>IF(Data!F752&gt;0,Data!F752,"")</f>
        <v/>
      </c>
      <c r="G752" s="1">
        <f>IF(Data!G752&gt;0,Data!G752,"")</f>
        <v/>
      </c>
      <c r="H752" s="1">
        <f>IF(Data!H752&gt;0,Data!H752,"")</f>
        <v/>
      </c>
      <c r="I752" s="1">
        <f>IF(Data!I752&gt;0,Data!I752,"")</f>
        <v/>
      </c>
      <c r="J752" s="1">
        <f>IF(Data!J752&gt;0,Data!J752,"")</f>
        <v/>
      </c>
      <c r="K752" s="1">
        <f>IF(Data!K752&gt;0,Data!K752,"")</f>
        <v/>
      </c>
      <c r="L752" s="1">
        <f>IF(Data!L752&gt;0,Data!L752,"")</f>
        <v/>
      </c>
      <c r="M752" s="1">
        <f>IF(Data!M752&gt;0,Data!M752,"")</f>
        <v/>
      </c>
      <c r="N752" s="1">
        <f>IF(Data!N752&gt;0,Data!N752,"")</f>
        <v/>
      </c>
      <c r="O752" s="1">
        <f>IF(Data!O752&gt;0,Data!O752,"")</f>
        <v/>
      </c>
      <c r="P752" s="1">
        <f>IF(Data!P752&gt;0,Data!P752,"")</f>
        <v/>
      </c>
      <c r="Q752" s="1">
        <f>IF(Data!Q752&gt;0,Data!Q752,"")</f>
        <v/>
      </c>
      <c r="R752" s="1">
        <f>IF(Data!R752&gt;0,Data!R752,"")</f>
        <v/>
      </c>
      <c r="S752" s="1">
        <f>IF(Data!S752&gt;0,Data!S752,"")</f>
        <v/>
      </c>
      <c r="V752" s="3">
        <f>IF(COUNT(D752,J752,K752,L752,M752,O752)&gt;0,AVERAGE(D752,J752,K752,L752,M752,O752),"")</f>
        <v/>
      </c>
      <c r="W752" s="3">
        <f>IF(COUNT(C752,F752,G752,N752,Q752)&gt;0,AVERAGE(C752,F752,G752,N752,Q752),"")</f>
        <v/>
      </c>
      <c r="X752" s="3">
        <f>IF(COUNT(B752,E752,H752,I752,P752,R752,S752)&gt;0,AVERAGE(B752,E752,H752,I752,P752,R752,S752),"")</f>
        <v/>
      </c>
      <c r="Y752" s="3" t="n"/>
      <c r="AJ752">
        <f>IFERROR(AVERAGEIF($A$4:$A$1004,AI752,$V$4:$V$1004),"")</f>
        <v/>
      </c>
      <c r="AK752">
        <f>IFERROR(AVERAGEIF($A$4:$A$1004,AI752,$W$4:$W$1004),"")</f>
        <v/>
      </c>
      <c r="AL752">
        <f>IFERROR(AVERAGEIF($A$4:$A$1004,AI752,$X$4:$X$1004),"")</f>
        <v/>
      </c>
    </row>
    <row r="753">
      <c r="A753" s="1">
        <f>IF(Data!A753&gt;0,Data!A753,"")</f>
        <v/>
      </c>
      <c r="B753" s="1">
        <f>IF(Data!B753&gt;0,Data!B753,"")</f>
        <v/>
      </c>
      <c r="C753" s="1">
        <f>IF(Data!C753&gt;0,Data!C753,"")</f>
        <v/>
      </c>
      <c r="D753" s="1">
        <f>IF(Data!D753&gt;0,Data!D753,"")</f>
        <v/>
      </c>
      <c r="E753" s="1">
        <f>IF(Data!E753&gt;0,Data!E753,"")</f>
        <v/>
      </c>
      <c r="F753" s="1">
        <f>IF(Data!F753&gt;0,Data!F753,"")</f>
        <v/>
      </c>
      <c r="G753" s="1">
        <f>IF(Data!G753&gt;0,Data!G753,"")</f>
        <v/>
      </c>
      <c r="H753" s="1">
        <f>IF(Data!H753&gt;0,Data!H753,"")</f>
        <v/>
      </c>
      <c r="I753" s="1">
        <f>IF(Data!I753&gt;0,Data!I753,"")</f>
        <v/>
      </c>
      <c r="J753" s="1">
        <f>IF(Data!J753&gt;0,Data!J753,"")</f>
        <v/>
      </c>
      <c r="K753" s="1">
        <f>IF(Data!K753&gt;0,Data!K753,"")</f>
        <v/>
      </c>
      <c r="L753" s="1">
        <f>IF(Data!L753&gt;0,Data!L753,"")</f>
        <v/>
      </c>
      <c r="M753" s="1">
        <f>IF(Data!M753&gt;0,Data!M753,"")</f>
        <v/>
      </c>
      <c r="N753" s="1">
        <f>IF(Data!N753&gt;0,Data!N753,"")</f>
        <v/>
      </c>
      <c r="O753" s="1">
        <f>IF(Data!O753&gt;0,Data!O753,"")</f>
        <v/>
      </c>
      <c r="P753" s="1">
        <f>IF(Data!P753&gt;0,Data!P753,"")</f>
        <v/>
      </c>
      <c r="Q753" s="1">
        <f>IF(Data!Q753&gt;0,Data!Q753,"")</f>
        <v/>
      </c>
      <c r="R753" s="1">
        <f>IF(Data!R753&gt;0,Data!R753,"")</f>
        <v/>
      </c>
      <c r="S753" s="1">
        <f>IF(Data!S753&gt;0,Data!S753,"")</f>
        <v/>
      </c>
      <c r="V753" s="3">
        <f>IF(COUNT(D753,J753,K753,L753,M753,O753)&gt;0,AVERAGE(D753,J753,K753,L753,M753,O753),"")</f>
        <v/>
      </c>
      <c r="W753" s="3">
        <f>IF(COUNT(C753,F753,G753,N753,Q753)&gt;0,AVERAGE(C753,F753,G753,N753,Q753),"")</f>
        <v/>
      </c>
      <c r="X753" s="3">
        <f>IF(COUNT(B753,E753,H753,I753,P753,R753,S753)&gt;0,AVERAGE(B753,E753,H753,I753,P753,R753,S753),"")</f>
        <v/>
      </c>
      <c r="Y753" s="3" t="n"/>
      <c r="AJ753">
        <f>IFERROR(AVERAGEIF($A$4:$A$1004,AI753,$V$4:$V$1004),"")</f>
        <v/>
      </c>
      <c r="AK753">
        <f>IFERROR(AVERAGEIF($A$4:$A$1004,AI753,$W$4:$W$1004),"")</f>
        <v/>
      </c>
      <c r="AL753">
        <f>IFERROR(AVERAGEIF($A$4:$A$1004,AI753,$X$4:$X$1004),"")</f>
        <v/>
      </c>
    </row>
    <row r="754">
      <c r="A754" s="1">
        <f>IF(Data!A754&gt;0,Data!A754,"")</f>
        <v/>
      </c>
      <c r="B754" s="1">
        <f>IF(Data!B754&gt;0,Data!B754,"")</f>
        <v/>
      </c>
      <c r="C754" s="1">
        <f>IF(Data!C754&gt;0,Data!C754,"")</f>
        <v/>
      </c>
      <c r="D754" s="1">
        <f>IF(Data!D754&gt;0,Data!D754,"")</f>
        <v/>
      </c>
      <c r="E754" s="1">
        <f>IF(Data!E754&gt;0,Data!E754,"")</f>
        <v/>
      </c>
      <c r="F754" s="1">
        <f>IF(Data!F754&gt;0,Data!F754,"")</f>
        <v/>
      </c>
      <c r="G754" s="1">
        <f>IF(Data!G754&gt;0,Data!G754,"")</f>
        <v/>
      </c>
      <c r="H754" s="1">
        <f>IF(Data!H754&gt;0,Data!H754,"")</f>
        <v/>
      </c>
      <c r="I754" s="1">
        <f>IF(Data!I754&gt;0,Data!I754,"")</f>
        <v/>
      </c>
      <c r="J754" s="1">
        <f>IF(Data!J754&gt;0,Data!J754,"")</f>
        <v/>
      </c>
      <c r="K754" s="1">
        <f>IF(Data!K754&gt;0,Data!K754,"")</f>
        <v/>
      </c>
      <c r="L754" s="1">
        <f>IF(Data!L754&gt;0,Data!L754,"")</f>
        <v/>
      </c>
      <c r="M754" s="1">
        <f>IF(Data!M754&gt;0,Data!M754,"")</f>
        <v/>
      </c>
      <c r="N754" s="1">
        <f>IF(Data!N754&gt;0,Data!N754,"")</f>
        <v/>
      </c>
      <c r="O754" s="1">
        <f>IF(Data!O754&gt;0,Data!O754,"")</f>
        <v/>
      </c>
      <c r="P754" s="1">
        <f>IF(Data!P754&gt;0,Data!P754,"")</f>
        <v/>
      </c>
      <c r="Q754" s="1">
        <f>IF(Data!Q754&gt;0,Data!Q754,"")</f>
        <v/>
      </c>
      <c r="R754" s="1">
        <f>IF(Data!R754&gt;0,Data!R754,"")</f>
        <v/>
      </c>
      <c r="S754" s="1">
        <f>IF(Data!S754&gt;0,Data!S754,"")</f>
        <v/>
      </c>
      <c r="V754" s="3">
        <f>IF(COUNT(D754,J754,K754,L754,M754,O754)&gt;0,AVERAGE(D754,J754,K754,L754,M754,O754),"")</f>
        <v/>
      </c>
      <c r="W754" s="3">
        <f>IF(COUNT(C754,F754,G754,N754,Q754)&gt;0,AVERAGE(C754,F754,G754,N754,Q754),"")</f>
        <v/>
      </c>
      <c r="X754" s="3">
        <f>IF(COUNT(B754,E754,H754,I754,P754,R754,S754)&gt;0,AVERAGE(B754,E754,H754,I754,P754,R754,S754),"")</f>
        <v/>
      </c>
      <c r="Y754" s="3" t="n"/>
      <c r="AJ754">
        <f>IFERROR(AVERAGEIF($A$4:$A$1004,AI754,$V$4:$V$1004),"")</f>
        <v/>
      </c>
      <c r="AK754">
        <f>IFERROR(AVERAGEIF($A$4:$A$1004,AI754,$W$4:$W$1004),"")</f>
        <v/>
      </c>
      <c r="AL754">
        <f>IFERROR(AVERAGEIF($A$4:$A$1004,AI754,$X$4:$X$1004),"")</f>
        <v/>
      </c>
    </row>
    <row r="755">
      <c r="A755" s="1">
        <f>IF(Data!A755&gt;0,Data!A755,"")</f>
        <v/>
      </c>
      <c r="B755" s="1">
        <f>IF(Data!B755&gt;0,Data!B755,"")</f>
        <v/>
      </c>
      <c r="C755" s="1">
        <f>IF(Data!C755&gt;0,Data!C755,"")</f>
        <v/>
      </c>
      <c r="D755" s="1">
        <f>IF(Data!D755&gt;0,Data!D755,"")</f>
        <v/>
      </c>
      <c r="E755" s="1">
        <f>IF(Data!E755&gt;0,Data!E755,"")</f>
        <v/>
      </c>
      <c r="F755" s="1">
        <f>IF(Data!F755&gt;0,Data!F755,"")</f>
        <v/>
      </c>
      <c r="G755" s="1">
        <f>IF(Data!G755&gt;0,Data!G755,"")</f>
        <v/>
      </c>
      <c r="H755" s="1">
        <f>IF(Data!H755&gt;0,Data!H755,"")</f>
        <v/>
      </c>
      <c r="I755" s="1">
        <f>IF(Data!I755&gt;0,Data!I755,"")</f>
        <v/>
      </c>
      <c r="J755" s="1">
        <f>IF(Data!J755&gt;0,Data!J755,"")</f>
        <v/>
      </c>
      <c r="K755" s="1">
        <f>IF(Data!K755&gt;0,Data!K755,"")</f>
        <v/>
      </c>
      <c r="L755" s="1">
        <f>IF(Data!L755&gt;0,Data!L755,"")</f>
        <v/>
      </c>
      <c r="M755" s="1">
        <f>IF(Data!M755&gt;0,Data!M755,"")</f>
        <v/>
      </c>
      <c r="N755" s="1">
        <f>IF(Data!N755&gt;0,Data!N755,"")</f>
        <v/>
      </c>
      <c r="O755" s="1">
        <f>IF(Data!O755&gt;0,Data!O755,"")</f>
        <v/>
      </c>
      <c r="P755" s="1">
        <f>IF(Data!P755&gt;0,Data!P755,"")</f>
        <v/>
      </c>
      <c r="Q755" s="1">
        <f>IF(Data!Q755&gt;0,Data!Q755,"")</f>
        <v/>
      </c>
      <c r="R755" s="1">
        <f>IF(Data!R755&gt;0,Data!R755,"")</f>
        <v/>
      </c>
      <c r="S755" s="1">
        <f>IF(Data!S755&gt;0,Data!S755,"")</f>
        <v/>
      </c>
      <c r="V755" s="3">
        <f>IF(COUNT(D755,J755,K755,L755,M755,O755)&gt;0,AVERAGE(D755,J755,K755,L755,M755,O755),"")</f>
        <v/>
      </c>
      <c r="W755" s="3">
        <f>IF(COUNT(C755,F755,G755,N755,Q755)&gt;0,AVERAGE(C755,F755,G755,N755,Q755),"")</f>
        <v/>
      </c>
      <c r="X755" s="3">
        <f>IF(COUNT(B755,E755,H755,I755,P755,R755,S755)&gt;0,AVERAGE(B755,E755,H755,I755,P755,R755,S755),"")</f>
        <v/>
      </c>
      <c r="Y755" s="3" t="n"/>
      <c r="AJ755">
        <f>IFERROR(AVERAGEIF($A$4:$A$1004,AI755,$V$4:$V$1004),"")</f>
        <v/>
      </c>
      <c r="AK755">
        <f>IFERROR(AVERAGEIF($A$4:$A$1004,AI755,$W$4:$W$1004),"")</f>
        <v/>
      </c>
      <c r="AL755">
        <f>IFERROR(AVERAGEIF($A$4:$A$1004,AI755,$X$4:$X$1004),"")</f>
        <v/>
      </c>
    </row>
    <row r="756">
      <c r="A756" s="1">
        <f>IF(Data!A756&gt;0,Data!A756,"")</f>
        <v/>
      </c>
      <c r="B756" s="1">
        <f>IF(Data!B756&gt;0,Data!B756,"")</f>
        <v/>
      </c>
      <c r="C756" s="1">
        <f>IF(Data!C756&gt;0,Data!C756,"")</f>
        <v/>
      </c>
      <c r="D756" s="1">
        <f>IF(Data!D756&gt;0,Data!D756,"")</f>
        <v/>
      </c>
      <c r="E756" s="1">
        <f>IF(Data!E756&gt;0,Data!E756,"")</f>
        <v/>
      </c>
      <c r="F756" s="1">
        <f>IF(Data!F756&gt;0,Data!F756,"")</f>
        <v/>
      </c>
      <c r="G756" s="1">
        <f>IF(Data!G756&gt;0,Data!G756,"")</f>
        <v/>
      </c>
      <c r="H756" s="1">
        <f>IF(Data!H756&gt;0,Data!H756,"")</f>
        <v/>
      </c>
      <c r="I756" s="1">
        <f>IF(Data!I756&gt;0,Data!I756,"")</f>
        <v/>
      </c>
      <c r="J756" s="1">
        <f>IF(Data!J756&gt;0,Data!J756,"")</f>
        <v/>
      </c>
      <c r="K756" s="1">
        <f>IF(Data!K756&gt;0,Data!K756,"")</f>
        <v/>
      </c>
      <c r="L756" s="1">
        <f>IF(Data!L756&gt;0,Data!L756,"")</f>
        <v/>
      </c>
      <c r="M756" s="1">
        <f>IF(Data!M756&gt;0,Data!M756,"")</f>
        <v/>
      </c>
      <c r="N756" s="1">
        <f>IF(Data!N756&gt;0,Data!N756,"")</f>
        <v/>
      </c>
      <c r="O756" s="1">
        <f>IF(Data!O756&gt;0,Data!O756,"")</f>
        <v/>
      </c>
      <c r="P756" s="1">
        <f>IF(Data!P756&gt;0,Data!P756,"")</f>
        <v/>
      </c>
      <c r="Q756" s="1">
        <f>IF(Data!Q756&gt;0,Data!Q756,"")</f>
        <v/>
      </c>
      <c r="R756" s="1">
        <f>IF(Data!R756&gt;0,Data!R756,"")</f>
        <v/>
      </c>
      <c r="S756" s="1">
        <f>IF(Data!S756&gt;0,Data!S756,"")</f>
        <v/>
      </c>
      <c r="V756" s="3">
        <f>IF(COUNT(D756,J756,K756,L756,M756,O756)&gt;0,AVERAGE(D756,J756,K756,L756,M756,O756),"")</f>
        <v/>
      </c>
      <c r="W756" s="3">
        <f>IF(COUNT(C756,F756,G756,N756,Q756)&gt;0,AVERAGE(C756,F756,G756,N756,Q756),"")</f>
        <v/>
      </c>
      <c r="X756" s="3">
        <f>IF(COUNT(B756,E756,H756,I756,P756,R756,S756)&gt;0,AVERAGE(B756,E756,H756,I756,P756,R756,S756),"")</f>
        <v/>
      </c>
      <c r="Y756" s="3" t="n"/>
      <c r="AJ756">
        <f>IFERROR(AVERAGEIF($A$4:$A$1004,AI756,$V$4:$V$1004),"")</f>
        <v/>
      </c>
      <c r="AK756">
        <f>IFERROR(AVERAGEIF($A$4:$A$1004,AI756,$W$4:$W$1004),"")</f>
        <v/>
      </c>
      <c r="AL756">
        <f>IFERROR(AVERAGEIF($A$4:$A$1004,AI756,$X$4:$X$1004),"")</f>
        <v/>
      </c>
    </row>
    <row r="757">
      <c r="A757" s="1">
        <f>IF(Data!A757&gt;0,Data!A757,"")</f>
        <v/>
      </c>
      <c r="B757" s="1">
        <f>IF(Data!B757&gt;0,Data!B757,"")</f>
        <v/>
      </c>
      <c r="C757" s="1">
        <f>IF(Data!C757&gt;0,Data!C757,"")</f>
        <v/>
      </c>
      <c r="D757" s="1">
        <f>IF(Data!D757&gt;0,Data!D757,"")</f>
        <v/>
      </c>
      <c r="E757" s="1">
        <f>IF(Data!E757&gt;0,Data!E757,"")</f>
        <v/>
      </c>
      <c r="F757" s="1">
        <f>IF(Data!F757&gt;0,Data!F757,"")</f>
        <v/>
      </c>
      <c r="G757" s="1">
        <f>IF(Data!G757&gt;0,Data!G757,"")</f>
        <v/>
      </c>
      <c r="H757" s="1">
        <f>IF(Data!H757&gt;0,Data!H757,"")</f>
        <v/>
      </c>
      <c r="I757" s="1">
        <f>IF(Data!I757&gt;0,Data!I757,"")</f>
        <v/>
      </c>
      <c r="J757" s="1">
        <f>IF(Data!J757&gt;0,Data!J757,"")</f>
        <v/>
      </c>
      <c r="K757" s="1">
        <f>IF(Data!K757&gt;0,Data!K757,"")</f>
        <v/>
      </c>
      <c r="L757" s="1">
        <f>IF(Data!L757&gt;0,Data!L757,"")</f>
        <v/>
      </c>
      <c r="M757" s="1">
        <f>IF(Data!M757&gt;0,Data!M757,"")</f>
        <v/>
      </c>
      <c r="N757" s="1">
        <f>IF(Data!N757&gt;0,Data!N757,"")</f>
        <v/>
      </c>
      <c r="O757" s="1">
        <f>IF(Data!O757&gt;0,Data!O757,"")</f>
        <v/>
      </c>
      <c r="P757" s="1">
        <f>IF(Data!P757&gt;0,Data!P757,"")</f>
        <v/>
      </c>
      <c r="Q757" s="1">
        <f>IF(Data!Q757&gt;0,Data!Q757,"")</f>
        <v/>
      </c>
      <c r="R757" s="1">
        <f>IF(Data!R757&gt;0,Data!R757,"")</f>
        <v/>
      </c>
      <c r="S757" s="1">
        <f>IF(Data!S757&gt;0,Data!S757,"")</f>
        <v/>
      </c>
      <c r="V757" s="3">
        <f>IF(COUNT(D757,J757,K757,L757,M757,O757)&gt;0,AVERAGE(D757,J757,K757,L757,M757,O757),"")</f>
        <v/>
      </c>
      <c r="W757" s="3">
        <f>IF(COUNT(C757,F757,G757,N757,Q757)&gt;0,AVERAGE(C757,F757,G757,N757,Q757),"")</f>
        <v/>
      </c>
      <c r="X757" s="3">
        <f>IF(COUNT(B757,E757,H757,I757,P757,R757,S757)&gt;0,AVERAGE(B757,E757,H757,I757,P757,R757,S757),"")</f>
        <v/>
      </c>
      <c r="Y757" s="3" t="n"/>
      <c r="AJ757">
        <f>IFERROR(AVERAGEIF($A$4:$A$1004,AI757,$V$4:$V$1004),"")</f>
        <v/>
      </c>
      <c r="AK757">
        <f>IFERROR(AVERAGEIF($A$4:$A$1004,AI757,$W$4:$W$1004),"")</f>
        <v/>
      </c>
      <c r="AL757">
        <f>IFERROR(AVERAGEIF($A$4:$A$1004,AI757,$X$4:$X$1004),"")</f>
        <v/>
      </c>
    </row>
    <row r="758">
      <c r="A758" s="1">
        <f>IF(Data!A758&gt;0,Data!A758,"")</f>
        <v/>
      </c>
      <c r="B758" s="1">
        <f>IF(Data!B758&gt;0,Data!B758,"")</f>
        <v/>
      </c>
      <c r="C758" s="1">
        <f>IF(Data!C758&gt;0,Data!C758,"")</f>
        <v/>
      </c>
      <c r="D758" s="1">
        <f>IF(Data!D758&gt;0,Data!D758,"")</f>
        <v/>
      </c>
      <c r="E758" s="1">
        <f>IF(Data!E758&gt;0,Data!E758,"")</f>
        <v/>
      </c>
      <c r="F758" s="1">
        <f>IF(Data!F758&gt;0,Data!F758,"")</f>
        <v/>
      </c>
      <c r="G758" s="1">
        <f>IF(Data!G758&gt;0,Data!G758,"")</f>
        <v/>
      </c>
      <c r="H758" s="1">
        <f>IF(Data!H758&gt;0,Data!H758,"")</f>
        <v/>
      </c>
      <c r="I758" s="1">
        <f>IF(Data!I758&gt;0,Data!I758,"")</f>
        <v/>
      </c>
      <c r="J758" s="1">
        <f>IF(Data!J758&gt;0,Data!J758,"")</f>
        <v/>
      </c>
      <c r="K758" s="1">
        <f>IF(Data!K758&gt;0,Data!K758,"")</f>
        <v/>
      </c>
      <c r="L758" s="1">
        <f>IF(Data!L758&gt;0,Data!L758,"")</f>
        <v/>
      </c>
      <c r="M758" s="1">
        <f>IF(Data!M758&gt;0,Data!M758,"")</f>
        <v/>
      </c>
      <c r="N758" s="1">
        <f>IF(Data!N758&gt;0,Data!N758,"")</f>
        <v/>
      </c>
      <c r="O758" s="1">
        <f>IF(Data!O758&gt;0,Data!O758,"")</f>
        <v/>
      </c>
      <c r="P758" s="1">
        <f>IF(Data!P758&gt;0,Data!P758,"")</f>
        <v/>
      </c>
      <c r="Q758" s="1">
        <f>IF(Data!Q758&gt;0,Data!Q758,"")</f>
        <v/>
      </c>
      <c r="R758" s="1">
        <f>IF(Data!R758&gt;0,Data!R758,"")</f>
        <v/>
      </c>
      <c r="S758" s="1">
        <f>IF(Data!S758&gt;0,Data!S758,"")</f>
        <v/>
      </c>
      <c r="V758" s="3">
        <f>IF(COUNT(D758,J758,K758,L758,M758,O758)&gt;0,AVERAGE(D758,J758,K758,L758,M758,O758),"")</f>
        <v/>
      </c>
      <c r="W758" s="3">
        <f>IF(COUNT(C758,F758,G758,N758,Q758)&gt;0,AVERAGE(C758,F758,G758,N758,Q758),"")</f>
        <v/>
      </c>
      <c r="X758" s="3">
        <f>IF(COUNT(B758,E758,H758,I758,P758,R758,S758)&gt;0,AVERAGE(B758,E758,H758,I758,P758,R758,S758),"")</f>
        <v/>
      </c>
      <c r="Y758" s="3" t="n"/>
      <c r="AJ758">
        <f>IFERROR(AVERAGEIF($A$4:$A$1004,AI758,$V$4:$V$1004),"")</f>
        <v/>
      </c>
      <c r="AK758">
        <f>IFERROR(AVERAGEIF($A$4:$A$1004,AI758,$W$4:$W$1004),"")</f>
        <v/>
      </c>
      <c r="AL758">
        <f>IFERROR(AVERAGEIF($A$4:$A$1004,AI758,$X$4:$X$1004),"")</f>
        <v/>
      </c>
    </row>
    <row r="759">
      <c r="A759" s="1">
        <f>IF(Data!A759&gt;0,Data!A759,"")</f>
        <v/>
      </c>
      <c r="B759" s="1">
        <f>IF(Data!B759&gt;0,Data!B759,"")</f>
        <v/>
      </c>
      <c r="C759" s="1">
        <f>IF(Data!C759&gt;0,Data!C759,"")</f>
        <v/>
      </c>
      <c r="D759" s="1">
        <f>IF(Data!D759&gt;0,Data!D759,"")</f>
        <v/>
      </c>
      <c r="E759" s="1">
        <f>IF(Data!E759&gt;0,Data!E759,"")</f>
        <v/>
      </c>
      <c r="F759" s="1">
        <f>IF(Data!F759&gt;0,Data!F759,"")</f>
        <v/>
      </c>
      <c r="G759" s="1">
        <f>IF(Data!G759&gt;0,Data!G759,"")</f>
        <v/>
      </c>
      <c r="H759" s="1">
        <f>IF(Data!H759&gt;0,Data!H759,"")</f>
        <v/>
      </c>
      <c r="I759" s="1">
        <f>IF(Data!I759&gt;0,Data!I759,"")</f>
        <v/>
      </c>
      <c r="J759" s="1">
        <f>IF(Data!J759&gt;0,Data!J759,"")</f>
        <v/>
      </c>
      <c r="K759" s="1">
        <f>IF(Data!K759&gt;0,Data!K759,"")</f>
        <v/>
      </c>
      <c r="L759" s="1">
        <f>IF(Data!L759&gt;0,Data!L759,"")</f>
        <v/>
      </c>
      <c r="M759" s="1">
        <f>IF(Data!M759&gt;0,Data!M759,"")</f>
        <v/>
      </c>
      <c r="N759" s="1">
        <f>IF(Data!N759&gt;0,Data!N759,"")</f>
        <v/>
      </c>
      <c r="O759" s="1">
        <f>IF(Data!O759&gt;0,Data!O759,"")</f>
        <v/>
      </c>
      <c r="P759" s="1">
        <f>IF(Data!P759&gt;0,Data!P759,"")</f>
        <v/>
      </c>
      <c r="Q759" s="1">
        <f>IF(Data!Q759&gt;0,Data!Q759,"")</f>
        <v/>
      </c>
      <c r="R759" s="1">
        <f>IF(Data!R759&gt;0,Data!R759,"")</f>
        <v/>
      </c>
      <c r="S759" s="1">
        <f>IF(Data!S759&gt;0,Data!S759,"")</f>
        <v/>
      </c>
      <c r="V759" s="3">
        <f>IF(COUNT(D759,J759,K759,L759,M759,O759)&gt;0,AVERAGE(D759,J759,K759,L759,M759,O759),"")</f>
        <v/>
      </c>
      <c r="W759" s="3">
        <f>IF(COUNT(C759,F759,G759,N759,Q759)&gt;0,AVERAGE(C759,F759,G759,N759,Q759),"")</f>
        <v/>
      </c>
      <c r="X759" s="3">
        <f>IF(COUNT(B759,E759,H759,I759,P759,R759,S759)&gt;0,AVERAGE(B759,E759,H759,I759,P759,R759,S759),"")</f>
        <v/>
      </c>
      <c r="Y759" s="3" t="n"/>
      <c r="AJ759">
        <f>IFERROR(AVERAGEIF($A$4:$A$1004,AI759,$V$4:$V$1004),"")</f>
        <v/>
      </c>
      <c r="AK759">
        <f>IFERROR(AVERAGEIF($A$4:$A$1004,AI759,$W$4:$W$1004),"")</f>
        <v/>
      </c>
      <c r="AL759">
        <f>IFERROR(AVERAGEIF($A$4:$A$1004,AI759,$X$4:$X$1004),"")</f>
        <v/>
      </c>
    </row>
    <row r="760">
      <c r="A760" s="1">
        <f>IF(Data!A760&gt;0,Data!A760,"")</f>
        <v/>
      </c>
      <c r="B760" s="1">
        <f>IF(Data!B760&gt;0,Data!B760,"")</f>
        <v/>
      </c>
      <c r="C760" s="1">
        <f>IF(Data!C760&gt;0,Data!C760,"")</f>
        <v/>
      </c>
      <c r="D760" s="1">
        <f>IF(Data!D760&gt;0,Data!D760,"")</f>
        <v/>
      </c>
      <c r="E760" s="1">
        <f>IF(Data!E760&gt;0,Data!E760,"")</f>
        <v/>
      </c>
      <c r="F760" s="1">
        <f>IF(Data!F760&gt;0,Data!F760,"")</f>
        <v/>
      </c>
      <c r="G760" s="1">
        <f>IF(Data!G760&gt;0,Data!G760,"")</f>
        <v/>
      </c>
      <c r="H760" s="1">
        <f>IF(Data!H760&gt;0,Data!H760,"")</f>
        <v/>
      </c>
      <c r="I760" s="1">
        <f>IF(Data!I760&gt;0,Data!I760,"")</f>
        <v/>
      </c>
      <c r="J760" s="1">
        <f>IF(Data!J760&gt;0,Data!J760,"")</f>
        <v/>
      </c>
      <c r="K760" s="1">
        <f>IF(Data!K760&gt;0,Data!K760,"")</f>
        <v/>
      </c>
      <c r="L760" s="1">
        <f>IF(Data!L760&gt;0,Data!L760,"")</f>
        <v/>
      </c>
      <c r="M760" s="1">
        <f>IF(Data!M760&gt;0,Data!M760,"")</f>
        <v/>
      </c>
      <c r="N760" s="1">
        <f>IF(Data!N760&gt;0,Data!N760,"")</f>
        <v/>
      </c>
      <c r="O760" s="1">
        <f>IF(Data!O760&gt;0,Data!O760,"")</f>
        <v/>
      </c>
      <c r="P760" s="1">
        <f>IF(Data!P760&gt;0,Data!P760,"")</f>
        <v/>
      </c>
      <c r="Q760" s="1">
        <f>IF(Data!Q760&gt;0,Data!Q760,"")</f>
        <v/>
      </c>
      <c r="R760" s="1">
        <f>IF(Data!R760&gt;0,Data!R760,"")</f>
        <v/>
      </c>
      <c r="S760" s="1">
        <f>IF(Data!S760&gt;0,Data!S760,"")</f>
        <v/>
      </c>
      <c r="V760" s="3">
        <f>IF(COUNT(D760,J760,K760,L760,M760,O760)&gt;0,AVERAGE(D760,J760,K760,L760,M760,O760),"")</f>
        <v/>
      </c>
      <c r="W760" s="3">
        <f>IF(COUNT(C760,F760,G760,N760,Q760)&gt;0,AVERAGE(C760,F760,G760,N760,Q760),"")</f>
        <v/>
      </c>
      <c r="X760" s="3">
        <f>IF(COUNT(B760,E760,H760,I760,P760,R760,S760)&gt;0,AVERAGE(B760,E760,H760,I760,P760,R760,S760),"")</f>
        <v/>
      </c>
      <c r="Y760" s="3" t="n"/>
      <c r="AJ760">
        <f>IFERROR(AVERAGEIF($A$4:$A$1004,AI760,$V$4:$V$1004),"")</f>
        <v/>
      </c>
      <c r="AK760">
        <f>IFERROR(AVERAGEIF($A$4:$A$1004,AI760,$W$4:$W$1004),"")</f>
        <v/>
      </c>
      <c r="AL760">
        <f>IFERROR(AVERAGEIF($A$4:$A$1004,AI760,$X$4:$X$1004),"")</f>
        <v/>
      </c>
    </row>
    <row r="761">
      <c r="A761" s="1">
        <f>IF(Data!A761&gt;0,Data!A761,"")</f>
        <v/>
      </c>
      <c r="B761" s="1">
        <f>IF(Data!B761&gt;0,Data!B761,"")</f>
        <v/>
      </c>
      <c r="C761" s="1">
        <f>IF(Data!C761&gt;0,Data!C761,"")</f>
        <v/>
      </c>
      <c r="D761" s="1">
        <f>IF(Data!D761&gt;0,Data!D761,"")</f>
        <v/>
      </c>
      <c r="E761" s="1">
        <f>IF(Data!E761&gt;0,Data!E761,"")</f>
        <v/>
      </c>
      <c r="F761" s="1">
        <f>IF(Data!F761&gt;0,Data!F761,"")</f>
        <v/>
      </c>
      <c r="G761" s="1">
        <f>IF(Data!G761&gt;0,Data!G761,"")</f>
        <v/>
      </c>
      <c r="H761" s="1">
        <f>IF(Data!H761&gt;0,Data!H761,"")</f>
        <v/>
      </c>
      <c r="I761" s="1">
        <f>IF(Data!I761&gt;0,Data!I761,"")</f>
        <v/>
      </c>
      <c r="J761" s="1">
        <f>IF(Data!J761&gt;0,Data!J761,"")</f>
        <v/>
      </c>
      <c r="K761" s="1">
        <f>IF(Data!K761&gt;0,Data!K761,"")</f>
        <v/>
      </c>
      <c r="L761" s="1">
        <f>IF(Data!L761&gt;0,Data!L761,"")</f>
        <v/>
      </c>
      <c r="M761" s="1">
        <f>IF(Data!M761&gt;0,Data!M761,"")</f>
        <v/>
      </c>
      <c r="N761" s="1">
        <f>IF(Data!N761&gt;0,Data!N761,"")</f>
        <v/>
      </c>
      <c r="O761" s="1">
        <f>IF(Data!O761&gt;0,Data!O761,"")</f>
        <v/>
      </c>
      <c r="P761" s="1">
        <f>IF(Data!P761&gt;0,Data!P761,"")</f>
        <v/>
      </c>
      <c r="Q761" s="1">
        <f>IF(Data!Q761&gt;0,Data!Q761,"")</f>
        <v/>
      </c>
      <c r="R761" s="1">
        <f>IF(Data!R761&gt;0,Data!R761,"")</f>
        <v/>
      </c>
      <c r="S761" s="1">
        <f>IF(Data!S761&gt;0,Data!S761,"")</f>
        <v/>
      </c>
      <c r="V761" s="3">
        <f>IF(COUNT(D761,J761,K761,L761,M761,O761)&gt;0,AVERAGE(D761,J761,K761,L761,M761,O761),"")</f>
        <v/>
      </c>
      <c r="W761" s="3">
        <f>IF(COUNT(C761,F761,G761,N761,Q761)&gt;0,AVERAGE(C761,F761,G761,N761,Q761),"")</f>
        <v/>
      </c>
      <c r="X761" s="3">
        <f>IF(COUNT(B761,E761,H761,I761,P761,R761,S761)&gt;0,AVERAGE(B761,E761,H761,I761,P761,R761,S761),"")</f>
        <v/>
      </c>
      <c r="Y761" s="3" t="n"/>
      <c r="AJ761">
        <f>IFERROR(AVERAGEIF($A$4:$A$1004,AI761,$V$4:$V$1004),"")</f>
        <v/>
      </c>
      <c r="AK761">
        <f>IFERROR(AVERAGEIF($A$4:$A$1004,AI761,$W$4:$W$1004),"")</f>
        <v/>
      </c>
      <c r="AL761">
        <f>IFERROR(AVERAGEIF($A$4:$A$1004,AI761,$X$4:$X$1004),"")</f>
        <v/>
      </c>
    </row>
    <row r="762">
      <c r="A762" s="1">
        <f>IF(Data!A762&gt;0,Data!A762,"")</f>
        <v/>
      </c>
      <c r="B762" s="1">
        <f>IF(Data!B762&gt;0,Data!B762,"")</f>
        <v/>
      </c>
      <c r="C762" s="1">
        <f>IF(Data!C762&gt;0,Data!C762,"")</f>
        <v/>
      </c>
      <c r="D762" s="1">
        <f>IF(Data!D762&gt;0,Data!D762,"")</f>
        <v/>
      </c>
      <c r="E762" s="1">
        <f>IF(Data!E762&gt;0,Data!E762,"")</f>
        <v/>
      </c>
      <c r="F762" s="1">
        <f>IF(Data!F762&gt;0,Data!F762,"")</f>
        <v/>
      </c>
      <c r="G762" s="1">
        <f>IF(Data!G762&gt;0,Data!G762,"")</f>
        <v/>
      </c>
      <c r="H762" s="1">
        <f>IF(Data!H762&gt;0,Data!H762,"")</f>
        <v/>
      </c>
      <c r="I762" s="1">
        <f>IF(Data!I762&gt;0,Data!I762,"")</f>
        <v/>
      </c>
      <c r="J762" s="1">
        <f>IF(Data!J762&gt;0,Data!J762,"")</f>
        <v/>
      </c>
      <c r="K762" s="1">
        <f>IF(Data!K762&gt;0,Data!K762,"")</f>
        <v/>
      </c>
      <c r="L762" s="1">
        <f>IF(Data!L762&gt;0,Data!L762,"")</f>
        <v/>
      </c>
      <c r="M762" s="1">
        <f>IF(Data!M762&gt;0,Data!M762,"")</f>
        <v/>
      </c>
      <c r="N762" s="1">
        <f>IF(Data!N762&gt;0,Data!N762,"")</f>
        <v/>
      </c>
      <c r="O762" s="1">
        <f>IF(Data!O762&gt;0,Data!O762,"")</f>
        <v/>
      </c>
      <c r="P762" s="1">
        <f>IF(Data!P762&gt;0,Data!P762,"")</f>
        <v/>
      </c>
      <c r="Q762" s="1">
        <f>IF(Data!Q762&gt;0,Data!Q762,"")</f>
        <v/>
      </c>
      <c r="R762" s="1">
        <f>IF(Data!R762&gt;0,Data!R762,"")</f>
        <v/>
      </c>
      <c r="S762" s="1">
        <f>IF(Data!S762&gt;0,Data!S762,"")</f>
        <v/>
      </c>
      <c r="V762" s="3">
        <f>IF(COUNT(D762,J762,K762,L762,M762,O762)&gt;0,AVERAGE(D762,J762,K762,L762,M762,O762),"")</f>
        <v/>
      </c>
      <c r="W762" s="3">
        <f>IF(COUNT(C762,F762,G762,N762,Q762)&gt;0,AVERAGE(C762,F762,G762,N762,Q762),"")</f>
        <v/>
      </c>
      <c r="X762" s="3">
        <f>IF(COUNT(B762,E762,H762,I762,P762,R762,S762)&gt;0,AVERAGE(B762,E762,H762,I762,P762,R762,S762),"")</f>
        <v/>
      </c>
      <c r="Y762" s="3" t="n"/>
      <c r="AJ762">
        <f>IFERROR(AVERAGEIF($A$4:$A$1004,AI762,$V$4:$V$1004),"")</f>
        <v/>
      </c>
      <c r="AK762">
        <f>IFERROR(AVERAGEIF($A$4:$A$1004,AI762,$W$4:$W$1004),"")</f>
        <v/>
      </c>
      <c r="AL762">
        <f>IFERROR(AVERAGEIF($A$4:$A$1004,AI762,$X$4:$X$1004),"")</f>
        <v/>
      </c>
    </row>
    <row r="763">
      <c r="A763" s="1">
        <f>IF(Data!A763&gt;0,Data!A763,"")</f>
        <v/>
      </c>
      <c r="B763" s="1">
        <f>IF(Data!B763&gt;0,Data!B763,"")</f>
        <v/>
      </c>
      <c r="C763" s="1">
        <f>IF(Data!C763&gt;0,Data!C763,"")</f>
        <v/>
      </c>
      <c r="D763" s="1">
        <f>IF(Data!D763&gt;0,Data!D763,"")</f>
        <v/>
      </c>
      <c r="E763" s="1">
        <f>IF(Data!E763&gt;0,Data!E763,"")</f>
        <v/>
      </c>
      <c r="F763" s="1">
        <f>IF(Data!F763&gt;0,Data!F763,"")</f>
        <v/>
      </c>
      <c r="G763" s="1">
        <f>IF(Data!G763&gt;0,Data!G763,"")</f>
        <v/>
      </c>
      <c r="H763" s="1">
        <f>IF(Data!H763&gt;0,Data!H763,"")</f>
        <v/>
      </c>
      <c r="I763" s="1">
        <f>IF(Data!I763&gt;0,Data!I763,"")</f>
        <v/>
      </c>
      <c r="J763" s="1">
        <f>IF(Data!J763&gt;0,Data!J763,"")</f>
        <v/>
      </c>
      <c r="K763" s="1">
        <f>IF(Data!K763&gt;0,Data!K763,"")</f>
        <v/>
      </c>
      <c r="L763" s="1">
        <f>IF(Data!L763&gt;0,Data!L763,"")</f>
        <v/>
      </c>
      <c r="M763" s="1">
        <f>IF(Data!M763&gt;0,Data!M763,"")</f>
        <v/>
      </c>
      <c r="N763" s="1">
        <f>IF(Data!N763&gt;0,Data!N763,"")</f>
        <v/>
      </c>
      <c r="O763" s="1">
        <f>IF(Data!O763&gt;0,Data!O763,"")</f>
        <v/>
      </c>
      <c r="P763" s="1">
        <f>IF(Data!P763&gt;0,Data!P763,"")</f>
        <v/>
      </c>
      <c r="Q763" s="1">
        <f>IF(Data!Q763&gt;0,Data!Q763,"")</f>
        <v/>
      </c>
      <c r="R763" s="1">
        <f>IF(Data!R763&gt;0,Data!R763,"")</f>
        <v/>
      </c>
      <c r="S763" s="1">
        <f>IF(Data!S763&gt;0,Data!S763,"")</f>
        <v/>
      </c>
      <c r="V763" s="3">
        <f>IF(COUNT(D763,J763,K763,L763,M763,O763)&gt;0,AVERAGE(D763,J763,K763,L763,M763,O763),"")</f>
        <v/>
      </c>
      <c r="W763" s="3">
        <f>IF(COUNT(C763,F763,G763,N763,Q763)&gt;0,AVERAGE(C763,F763,G763,N763,Q763),"")</f>
        <v/>
      </c>
      <c r="X763" s="3">
        <f>IF(COUNT(B763,E763,H763,I763,P763,R763,S763)&gt;0,AVERAGE(B763,E763,H763,I763,P763,R763,S763),"")</f>
        <v/>
      </c>
      <c r="Y763" s="3" t="n"/>
      <c r="AJ763">
        <f>IFERROR(AVERAGEIF($A$4:$A$1004,AI763,$V$4:$V$1004),"")</f>
        <v/>
      </c>
      <c r="AK763">
        <f>IFERROR(AVERAGEIF($A$4:$A$1004,AI763,$W$4:$W$1004),"")</f>
        <v/>
      </c>
      <c r="AL763">
        <f>IFERROR(AVERAGEIF($A$4:$A$1004,AI763,$X$4:$X$1004),"")</f>
        <v/>
      </c>
    </row>
    <row r="764">
      <c r="A764" s="1">
        <f>IF(Data!A764&gt;0,Data!A764,"")</f>
        <v/>
      </c>
      <c r="B764" s="1">
        <f>IF(Data!B764&gt;0,Data!B764,"")</f>
        <v/>
      </c>
      <c r="C764" s="1">
        <f>IF(Data!C764&gt;0,Data!C764,"")</f>
        <v/>
      </c>
      <c r="D764" s="1">
        <f>IF(Data!D764&gt;0,Data!D764,"")</f>
        <v/>
      </c>
      <c r="E764" s="1">
        <f>IF(Data!E764&gt;0,Data!E764,"")</f>
        <v/>
      </c>
      <c r="F764" s="1">
        <f>IF(Data!F764&gt;0,Data!F764,"")</f>
        <v/>
      </c>
      <c r="G764" s="1">
        <f>IF(Data!G764&gt;0,Data!G764,"")</f>
        <v/>
      </c>
      <c r="H764" s="1">
        <f>IF(Data!H764&gt;0,Data!H764,"")</f>
        <v/>
      </c>
      <c r="I764" s="1">
        <f>IF(Data!I764&gt;0,Data!I764,"")</f>
        <v/>
      </c>
      <c r="J764" s="1">
        <f>IF(Data!J764&gt;0,Data!J764,"")</f>
        <v/>
      </c>
      <c r="K764" s="1">
        <f>IF(Data!K764&gt;0,Data!K764,"")</f>
        <v/>
      </c>
      <c r="L764" s="1">
        <f>IF(Data!L764&gt;0,Data!L764,"")</f>
        <v/>
      </c>
      <c r="M764" s="1">
        <f>IF(Data!M764&gt;0,Data!M764,"")</f>
        <v/>
      </c>
      <c r="N764" s="1">
        <f>IF(Data!N764&gt;0,Data!N764,"")</f>
        <v/>
      </c>
      <c r="O764" s="1">
        <f>IF(Data!O764&gt;0,Data!O764,"")</f>
        <v/>
      </c>
      <c r="P764" s="1">
        <f>IF(Data!P764&gt;0,Data!P764,"")</f>
        <v/>
      </c>
      <c r="Q764" s="1">
        <f>IF(Data!Q764&gt;0,Data!Q764,"")</f>
        <v/>
      </c>
      <c r="R764" s="1">
        <f>IF(Data!R764&gt;0,Data!R764,"")</f>
        <v/>
      </c>
      <c r="S764" s="1">
        <f>IF(Data!S764&gt;0,Data!S764,"")</f>
        <v/>
      </c>
      <c r="V764" s="3">
        <f>IF(COUNT(D764,J764,K764,L764,M764,O764)&gt;0,AVERAGE(D764,J764,K764,L764,M764,O764),"")</f>
        <v/>
      </c>
      <c r="W764" s="3">
        <f>IF(COUNT(C764,F764,G764,N764,Q764)&gt;0,AVERAGE(C764,F764,G764,N764,Q764),"")</f>
        <v/>
      </c>
      <c r="X764" s="3">
        <f>IF(COUNT(B764,E764,H764,I764,P764,R764,S764)&gt;0,AVERAGE(B764,E764,H764,I764,P764,R764,S764),"")</f>
        <v/>
      </c>
      <c r="Y764" s="3" t="n"/>
      <c r="AJ764">
        <f>IFERROR(AVERAGEIF($A$4:$A$1004,AI764,$V$4:$V$1004),"")</f>
        <v/>
      </c>
      <c r="AK764">
        <f>IFERROR(AVERAGEIF($A$4:$A$1004,AI764,$W$4:$W$1004),"")</f>
        <v/>
      </c>
      <c r="AL764">
        <f>IFERROR(AVERAGEIF($A$4:$A$1004,AI764,$X$4:$X$1004),"")</f>
        <v/>
      </c>
    </row>
    <row r="765">
      <c r="A765" s="1">
        <f>IF(Data!A765&gt;0,Data!A765,"")</f>
        <v/>
      </c>
      <c r="B765" s="1">
        <f>IF(Data!B765&gt;0,Data!B765,"")</f>
        <v/>
      </c>
      <c r="C765" s="1">
        <f>IF(Data!C765&gt;0,Data!C765,"")</f>
        <v/>
      </c>
      <c r="D765" s="1">
        <f>IF(Data!D765&gt;0,Data!D765,"")</f>
        <v/>
      </c>
      <c r="E765" s="1">
        <f>IF(Data!E765&gt;0,Data!E765,"")</f>
        <v/>
      </c>
      <c r="F765" s="1">
        <f>IF(Data!F765&gt;0,Data!F765,"")</f>
        <v/>
      </c>
      <c r="G765" s="1">
        <f>IF(Data!G765&gt;0,Data!G765,"")</f>
        <v/>
      </c>
      <c r="H765" s="1">
        <f>IF(Data!H765&gt;0,Data!H765,"")</f>
        <v/>
      </c>
      <c r="I765" s="1">
        <f>IF(Data!I765&gt;0,Data!I765,"")</f>
        <v/>
      </c>
      <c r="J765" s="1">
        <f>IF(Data!J765&gt;0,Data!J765,"")</f>
        <v/>
      </c>
      <c r="K765" s="1">
        <f>IF(Data!K765&gt;0,Data!K765,"")</f>
        <v/>
      </c>
      <c r="L765" s="1">
        <f>IF(Data!L765&gt;0,Data!L765,"")</f>
        <v/>
      </c>
      <c r="M765" s="1">
        <f>IF(Data!M765&gt;0,Data!M765,"")</f>
        <v/>
      </c>
      <c r="N765" s="1">
        <f>IF(Data!N765&gt;0,Data!N765,"")</f>
        <v/>
      </c>
      <c r="O765" s="1">
        <f>IF(Data!O765&gt;0,Data!O765,"")</f>
        <v/>
      </c>
      <c r="P765" s="1">
        <f>IF(Data!P765&gt;0,Data!P765,"")</f>
        <v/>
      </c>
      <c r="Q765" s="1">
        <f>IF(Data!Q765&gt;0,Data!Q765,"")</f>
        <v/>
      </c>
      <c r="R765" s="1">
        <f>IF(Data!R765&gt;0,Data!R765,"")</f>
        <v/>
      </c>
      <c r="S765" s="1">
        <f>IF(Data!S765&gt;0,Data!S765,"")</f>
        <v/>
      </c>
      <c r="V765" s="3">
        <f>IF(COUNT(D765,J765,K765,L765,M765,O765)&gt;0,AVERAGE(D765,J765,K765,L765,M765,O765),"")</f>
        <v/>
      </c>
      <c r="W765" s="3">
        <f>IF(COUNT(C765,F765,G765,N765,Q765)&gt;0,AVERAGE(C765,F765,G765,N765,Q765),"")</f>
        <v/>
      </c>
      <c r="X765" s="3">
        <f>IF(COUNT(B765,E765,H765,I765,P765,R765,S765)&gt;0,AVERAGE(B765,E765,H765,I765,P765,R765,S765),"")</f>
        <v/>
      </c>
      <c r="Y765" s="3" t="n"/>
      <c r="AJ765">
        <f>IFERROR(AVERAGEIF($A$4:$A$1004,AI765,$V$4:$V$1004),"")</f>
        <v/>
      </c>
      <c r="AK765">
        <f>IFERROR(AVERAGEIF($A$4:$A$1004,AI765,$W$4:$W$1004),"")</f>
        <v/>
      </c>
      <c r="AL765">
        <f>IFERROR(AVERAGEIF($A$4:$A$1004,AI765,$X$4:$X$1004),"")</f>
        <v/>
      </c>
    </row>
    <row r="766">
      <c r="A766" s="1">
        <f>IF(Data!A766&gt;0,Data!A766,"")</f>
        <v/>
      </c>
      <c r="B766" s="1">
        <f>IF(Data!B766&gt;0,Data!B766,"")</f>
        <v/>
      </c>
      <c r="C766" s="1">
        <f>IF(Data!C766&gt;0,Data!C766,"")</f>
        <v/>
      </c>
      <c r="D766" s="1">
        <f>IF(Data!D766&gt;0,Data!D766,"")</f>
        <v/>
      </c>
      <c r="E766" s="1">
        <f>IF(Data!E766&gt;0,Data!E766,"")</f>
        <v/>
      </c>
      <c r="F766" s="1">
        <f>IF(Data!F766&gt;0,Data!F766,"")</f>
        <v/>
      </c>
      <c r="G766" s="1">
        <f>IF(Data!G766&gt;0,Data!G766,"")</f>
        <v/>
      </c>
      <c r="H766" s="1">
        <f>IF(Data!H766&gt;0,Data!H766,"")</f>
        <v/>
      </c>
      <c r="I766" s="1">
        <f>IF(Data!I766&gt;0,Data!I766,"")</f>
        <v/>
      </c>
      <c r="J766" s="1">
        <f>IF(Data!J766&gt;0,Data!J766,"")</f>
        <v/>
      </c>
      <c r="K766" s="1">
        <f>IF(Data!K766&gt;0,Data!K766,"")</f>
        <v/>
      </c>
      <c r="L766" s="1">
        <f>IF(Data!L766&gt;0,Data!L766,"")</f>
        <v/>
      </c>
      <c r="M766" s="1">
        <f>IF(Data!M766&gt;0,Data!M766,"")</f>
        <v/>
      </c>
      <c r="N766" s="1">
        <f>IF(Data!N766&gt;0,Data!N766,"")</f>
        <v/>
      </c>
      <c r="O766" s="1">
        <f>IF(Data!O766&gt;0,Data!O766,"")</f>
        <v/>
      </c>
      <c r="P766" s="1">
        <f>IF(Data!P766&gt;0,Data!P766,"")</f>
        <v/>
      </c>
      <c r="Q766" s="1">
        <f>IF(Data!Q766&gt;0,Data!Q766,"")</f>
        <v/>
      </c>
      <c r="R766" s="1">
        <f>IF(Data!R766&gt;0,Data!R766,"")</f>
        <v/>
      </c>
      <c r="S766" s="1">
        <f>IF(Data!S766&gt;0,Data!S766,"")</f>
        <v/>
      </c>
      <c r="V766" s="3">
        <f>IF(COUNT(D766,J766,K766,L766,M766,O766)&gt;0,AVERAGE(D766,J766,K766,L766,M766,O766),"")</f>
        <v/>
      </c>
      <c r="W766" s="3">
        <f>IF(COUNT(C766,F766,G766,N766,Q766)&gt;0,AVERAGE(C766,F766,G766,N766,Q766),"")</f>
        <v/>
      </c>
      <c r="X766" s="3">
        <f>IF(COUNT(B766,E766,H766,I766,P766,R766,S766)&gt;0,AVERAGE(B766,E766,H766,I766,P766,R766,S766),"")</f>
        <v/>
      </c>
      <c r="Y766" s="3" t="n"/>
      <c r="AJ766">
        <f>IFERROR(AVERAGEIF($A$4:$A$1004,AI766,$V$4:$V$1004),"")</f>
        <v/>
      </c>
      <c r="AK766">
        <f>IFERROR(AVERAGEIF($A$4:$A$1004,AI766,$W$4:$W$1004),"")</f>
        <v/>
      </c>
      <c r="AL766">
        <f>IFERROR(AVERAGEIF($A$4:$A$1004,AI766,$X$4:$X$1004),"")</f>
        <v/>
      </c>
    </row>
    <row r="767">
      <c r="A767" s="1">
        <f>IF(Data!A767&gt;0,Data!A767,"")</f>
        <v/>
      </c>
      <c r="B767" s="1">
        <f>IF(Data!B767&gt;0,Data!B767,"")</f>
        <v/>
      </c>
      <c r="C767" s="1">
        <f>IF(Data!C767&gt;0,Data!C767,"")</f>
        <v/>
      </c>
      <c r="D767" s="1">
        <f>IF(Data!D767&gt;0,Data!D767,"")</f>
        <v/>
      </c>
      <c r="E767" s="1">
        <f>IF(Data!E767&gt;0,Data!E767,"")</f>
        <v/>
      </c>
      <c r="F767" s="1">
        <f>IF(Data!F767&gt;0,Data!F767,"")</f>
        <v/>
      </c>
      <c r="G767" s="1">
        <f>IF(Data!G767&gt;0,Data!G767,"")</f>
        <v/>
      </c>
      <c r="H767" s="1">
        <f>IF(Data!H767&gt;0,Data!H767,"")</f>
        <v/>
      </c>
      <c r="I767" s="1">
        <f>IF(Data!I767&gt;0,Data!I767,"")</f>
        <v/>
      </c>
      <c r="J767" s="1">
        <f>IF(Data!J767&gt;0,Data!J767,"")</f>
        <v/>
      </c>
      <c r="K767" s="1">
        <f>IF(Data!K767&gt;0,Data!K767,"")</f>
        <v/>
      </c>
      <c r="L767" s="1">
        <f>IF(Data!L767&gt;0,Data!L767,"")</f>
        <v/>
      </c>
      <c r="M767" s="1">
        <f>IF(Data!M767&gt;0,Data!M767,"")</f>
        <v/>
      </c>
      <c r="N767" s="1">
        <f>IF(Data!N767&gt;0,Data!N767,"")</f>
        <v/>
      </c>
      <c r="O767" s="1">
        <f>IF(Data!O767&gt;0,Data!O767,"")</f>
        <v/>
      </c>
      <c r="P767" s="1">
        <f>IF(Data!P767&gt;0,Data!P767,"")</f>
        <v/>
      </c>
      <c r="Q767" s="1">
        <f>IF(Data!Q767&gt;0,Data!Q767,"")</f>
        <v/>
      </c>
      <c r="R767" s="1">
        <f>IF(Data!R767&gt;0,Data!R767,"")</f>
        <v/>
      </c>
      <c r="S767" s="1">
        <f>IF(Data!S767&gt;0,Data!S767,"")</f>
        <v/>
      </c>
      <c r="V767" s="3">
        <f>IF(COUNT(D767,J767,K767,L767,M767,O767)&gt;0,AVERAGE(D767,J767,K767,L767,M767,O767),"")</f>
        <v/>
      </c>
      <c r="W767" s="3">
        <f>IF(COUNT(C767,F767,G767,N767,Q767)&gt;0,AVERAGE(C767,F767,G767,N767,Q767),"")</f>
        <v/>
      </c>
      <c r="X767" s="3">
        <f>IF(COUNT(B767,E767,H767,I767,P767,R767,S767)&gt;0,AVERAGE(B767,E767,H767,I767,P767,R767,S767),"")</f>
        <v/>
      </c>
      <c r="Y767" s="3" t="n"/>
      <c r="AJ767">
        <f>IFERROR(AVERAGEIF($A$4:$A$1004,AI767,$V$4:$V$1004),"")</f>
        <v/>
      </c>
      <c r="AK767">
        <f>IFERROR(AVERAGEIF($A$4:$A$1004,AI767,$W$4:$W$1004),"")</f>
        <v/>
      </c>
      <c r="AL767">
        <f>IFERROR(AVERAGEIF($A$4:$A$1004,AI767,$X$4:$X$1004),"")</f>
        <v/>
      </c>
    </row>
    <row r="768">
      <c r="A768" s="1">
        <f>IF(Data!A768&gt;0,Data!A768,"")</f>
        <v/>
      </c>
      <c r="B768" s="1">
        <f>IF(Data!B768&gt;0,Data!B768,"")</f>
        <v/>
      </c>
      <c r="C768" s="1">
        <f>IF(Data!C768&gt;0,Data!C768,"")</f>
        <v/>
      </c>
      <c r="D768" s="1">
        <f>IF(Data!D768&gt;0,Data!D768,"")</f>
        <v/>
      </c>
      <c r="E768" s="1">
        <f>IF(Data!E768&gt;0,Data!E768,"")</f>
        <v/>
      </c>
      <c r="F768" s="1">
        <f>IF(Data!F768&gt;0,Data!F768,"")</f>
        <v/>
      </c>
      <c r="G768" s="1">
        <f>IF(Data!G768&gt;0,Data!G768,"")</f>
        <v/>
      </c>
      <c r="H768" s="1">
        <f>IF(Data!H768&gt;0,Data!H768,"")</f>
        <v/>
      </c>
      <c r="I768" s="1">
        <f>IF(Data!I768&gt;0,Data!I768,"")</f>
        <v/>
      </c>
      <c r="J768" s="1">
        <f>IF(Data!J768&gt;0,Data!J768,"")</f>
        <v/>
      </c>
      <c r="K768" s="1">
        <f>IF(Data!K768&gt;0,Data!K768,"")</f>
        <v/>
      </c>
      <c r="L768" s="1">
        <f>IF(Data!L768&gt;0,Data!L768,"")</f>
        <v/>
      </c>
      <c r="M768" s="1">
        <f>IF(Data!M768&gt;0,Data!M768,"")</f>
        <v/>
      </c>
      <c r="N768" s="1">
        <f>IF(Data!N768&gt;0,Data!N768,"")</f>
        <v/>
      </c>
      <c r="O768" s="1">
        <f>IF(Data!O768&gt;0,Data!O768,"")</f>
        <v/>
      </c>
      <c r="P768" s="1">
        <f>IF(Data!P768&gt;0,Data!P768,"")</f>
        <v/>
      </c>
      <c r="Q768" s="1">
        <f>IF(Data!Q768&gt;0,Data!Q768,"")</f>
        <v/>
      </c>
      <c r="R768" s="1">
        <f>IF(Data!R768&gt;0,Data!R768,"")</f>
        <v/>
      </c>
      <c r="S768" s="1">
        <f>IF(Data!S768&gt;0,Data!S768,"")</f>
        <v/>
      </c>
      <c r="V768" s="3">
        <f>IF(COUNT(D768,J768,K768,L768,M768,O768)&gt;0,AVERAGE(D768,J768,K768,L768,M768,O768),"")</f>
        <v/>
      </c>
      <c r="W768" s="3">
        <f>IF(COUNT(C768,F768,G768,N768,Q768)&gt;0,AVERAGE(C768,F768,G768,N768,Q768),"")</f>
        <v/>
      </c>
      <c r="X768" s="3">
        <f>IF(COUNT(B768,E768,H768,I768,P768,R768,S768)&gt;0,AVERAGE(B768,E768,H768,I768,P768,R768,S768),"")</f>
        <v/>
      </c>
      <c r="Y768" s="3" t="n"/>
      <c r="AJ768">
        <f>IFERROR(AVERAGEIF($A$4:$A$1004,AI768,$V$4:$V$1004),"")</f>
        <v/>
      </c>
      <c r="AK768">
        <f>IFERROR(AVERAGEIF($A$4:$A$1004,AI768,$W$4:$W$1004),"")</f>
        <v/>
      </c>
      <c r="AL768">
        <f>IFERROR(AVERAGEIF($A$4:$A$1004,AI768,$X$4:$X$1004),"")</f>
        <v/>
      </c>
    </row>
    <row r="769">
      <c r="A769" s="1">
        <f>IF(Data!A769&gt;0,Data!A769,"")</f>
        <v/>
      </c>
      <c r="B769" s="1">
        <f>IF(Data!B769&gt;0,Data!B769,"")</f>
        <v/>
      </c>
      <c r="C769" s="1">
        <f>IF(Data!C769&gt;0,Data!C769,"")</f>
        <v/>
      </c>
      <c r="D769" s="1">
        <f>IF(Data!D769&gt;0,Data!D769,"")</f>
        <v/>
      </c>
      <c r="E769" s="1">
        <f>IF(Data!E769&gt;0,Data!E769,"")</f>
        <v/>
      </c>
      <c r="F769" s="1">
        <f>IF(Data!F769&gt;0,Data!F769,"")</f>
        <v/>
      </c>
      <c r="G769" s="1">
        <f>IF(Data!G769&gt;0,Data!G769,"")</f>
        <v/>
      </c>
      <c r="H769" s="1">
        <f>IF(Data!H769&gt;0,Data!H769,"")</f>
        <v/>
      </c>
      <c r="I769" s="1">
        <f>IF(Data!I769&gt;0,Data!I769,"")</f>
        <v/>
      </c>
      <c r="J769" s="1">
        <f>IF(Data!J769&gt;0,Data!J769,"")</f>
        <v/>
      </c>
      <c r="K769" s="1">
        <f>IF(Data!K769&gt;0,Data!K769,"")</f>
        <v/>
      </c>
      <c r="L769" s="1">
        <f>IF(Data!L769&gt;0,Data!L769,"")</f>
        <v/>
      </c>
      <c r="M769" s="1">
        <f>IF(Data!M769&gt;0,Data!M769,"")</f>
        <v/>
      </c>
      <c r="N769" s="1">
        <f>IF(Data!N769&gt;0,Data!N769,"")</f>
        <v/>
      </c>
      <c r="O769" s="1">
        <f>IF(Data!O769&gt;0,Data!O769,"")</f>
        <v/>
      </c>
      <c r="P769" s="1">
        <f>IF(Data!P769&gt;0,Data!P769,"")</f>
        <v/>
      </c>
      <c r="Q769" s="1">
        <f>IF(Data!Q769&gt;0,Data!Q769,"")</f>
        <v/>
      </c>
      <c r="R769" s="1">
        <f>IF(Data!R769&gt;0,Data!R769,"")</f>
        <v/>
      </c>
      <c r="S769" s="1">
        <f>IF(Data!S769&gt;0,Data!S769,"")</f>
        <v/>
      </c>
      <c r="V769" s="3">
        <f>IF(COUNT(D769,J769,K769,L769,M769,O769)&gt;0,AVERAGE(D769,J769,K769,L769,M769,O769),"")</f>
        <v/>
      </c>
      <c r="W769" s="3">
        <f>IF(COUNT(C769,F769,G769,N769,Q769)&gt;0,AVERAGE(C769,F769,G769,N769,Q769),"")</f>
        <v/>
      </c>
      <c r="X769" s="3">
        <f>IF(COUNT(B769,E769,H769,I769,P769,R769,S769)&gt;0,AVERAGE(B769,E769,H769,I769,P769,R769,S769),"")</f>
        <v/>
      </c>
      <c r="Y769" s="3" t="n"/>
      <c r="AJ769">
        <f>IFERROR(AVERAGEIF($A$4:$A$1004,AI769,$V$4:$V$1004),"")</f>
        <v/>
      </c>
      <c r="AK769">
        <f>IFERROR(AVERAGEIF($A$4:$A$1004,AI769,$W$4:$W$1004),"")</f>
        <v/>
      </c>
      <c r="AL769">
        <f>IFERROR(AVERAGEIF($A$4:$A$1004,AI769,$X$4:$X$1004),"")</f>
        <v/>
      </c>
    </row>
    <row r="770">
      <c r="A770" s="1">
        <f>IF(Data!A770&gt;0,Data!A770,"")</f>
        <v/>
      </c>
      <c r="B770" s="1">
        <f>IF(Data!B770&gt;0,Data!B770,"")</f>
        <v/>
      </c>
      <c r="C770" s="1">
        <f>IF(Data!C770&gt;0,Data!C770,"")</f>
        <v/>
      </c>
      <c r="D770" s="1">
        <f>IF(Data!D770&gt;0,Data!D770,"")</f>
        <v/>
      </c>
      <c r="E770" s="1">
        <f>IF(Data!E770&gt;0,Data!E770,"")</f>
        <v/>
      </c>
      <c r="F770" s="1">
        <f>IF(Data!F770&gt;0,Data!F770,"")</f>
        <v/>
      </c>
      <c r="G770" s="1">
        <f>IF(Data!G770&gt;0,Data!G770,"")</f>
        <v/>
      </c>
      <c r="H770" s="1">
        <f>IF(Data!H770&gt;0,Data!H770,"")</f>
        <v/>
      </c>
      <c r="I770" s="1">
        <f>IF(Data!I770&gt;0,Data!I770,"")</f>
        <v/>
      </c>
      <c r="J770" s="1">
        <f>IF(Data!J770&gt;0,Data!J770,"")</f>
        <v/>
      </c>
      <c r="K770" s="1">
        <f>IF(Data!K770&gt;0,Data!K770,"")</f>
        <v/>
      </c>
      <c r="L770" s="1">
        <f>IF(Data!L770&gt;0,Data!L770,"")</f>
        <v/>
      </c>
      <c r="M770" s="1">
        <f>IF(Data!M770&gt;0,Data!M770,"")</f>
        <v/>
      </c>
      <c r="N770" s="1">
        <f>IF(Data!N770&gt;0,Data!N770,"")</f>
        <v/>
      </c>
      <c r="O770" s="1">
        <f>IF(Data!O770&gt;0,Data!O770,"")</f>
        <v/>
      </c>
      <c r="P770" s="1">
        <f>IF(Data!P770&gt;0,Data!P770,"")</f>
        <v/>
      </c>
      <c r="Q770" s="1">
        <f>IF(Data!Q770&gt;0,Data!Q770,"")</f>
        <v/>
      </c>
      <c r="R770" s="1">
        <f>IF(Data!R770&gt;0,Data!R770,"")</f>
        <v/>
      </c>
      <c r="S770" s="1">
        <f>IF(Data!S770&gt;0,Data!S770,"")</f>
        <v/>
      </c>
      <c r="V770" s="3">
        <f>IF(COUNT(D770,J770,K770,L770,M770,O770)&gt;0,AVERAGE(D770,J770,K770,L770,M770,O770),"")</f>
        <v/>
      </c>
      <c r="W770" s="3">
        <f>IF(COUNT(C770,F770,G770,N770,Q770)&gt;0,AVERAGE(C770,F770,G770,N770,Q770),"")</f>
        <v/>
      </c>
      <c r="X770" s="3">
        <f>IF(COUNT(B770,E770,H770,I770,P770,R770,S770)&gt;0,AVERAGE(B770,E770,H770,I770,P770,R770,S770),"")</f>
        <v/>
      </c>
      <c r="Y770" s="3" t="n"/>
      <c r="AJ770">
        <f>IFERROR(AVERAGEIF($A$4:$A$1004,AI770,$V$4:$V$1004),"")</f>
        <v/>
      </c>
      <c r="AK770">
        <f>IFERROR(AVERAGEIF($A$4:$A$1004,AI770,$W$4:$W$1004),"")</f>
        <v/>
      </c>
      <c r="AL770">
        <f>IFERROR(AVERAGEIF($A$4:$A$1004,AI770,$X$4:$X$1004),"")</f>
        <v/>
      </c>
    </row>
    <row r="771">
      <c r="A771" s="1">
        <f>IF(Data!A771&gt;0,Data!A771,"")</f>
        <v/>
      </c>
      <c r="B771" s="1">
        <f>IF(Data!B771&gt;0,Data!B771,"")</f>
        <v/>
      </c>
      <c r="C771" s="1">
        <f>IF(Data!C771&gt;0,Data!C771,"")</f>
        <v/>
      </c>
      <c r="D771" s="1">
        <f>IF(Data!D771&gt;0,Data!D771,"")</f>
        <v/>
      </c>
      <c r="E771" s="1">
        <f>IF(Data!E771&gt;0,Data!E771,"")</f>
        <v/>
      </c>
      <c r="F771" s="1">
        <f>IF(Data!F771&gt;0,Data!F771,"")</f>
        <v/>
      </c>
      <c r="G771" s="1">
        <f>IF(Data!G771&gt;0,Data!G771,"")</f>
        <v/>
      </c>
      <c r="H771" s="1">
        <f>IF(Data!H771&gt;0,Data!H771,"")</f>
        <v/>
      </c>
      <c r="I771" s="1">
        <f>IF(Data!I771&gt;0,Data!I771,"")</f>
        <v/>
      </c>
      <c r="J771" s="1">
        <f>IF(Data!J771&gt;0,Data!J771,"")</f>
        <v/>
      </c>
      <c r="K771" s="1">
        <f>IF(Data!K771&gt;0,Data!K771,"")</f>
        <v/>
      </c>
      <c r="L771" s="1">
        <f>IF(Data!L771&gt;0,Data!L771,"")</f>
        <v/>
      </c>
      <c r="M771" s="1">
        <f>IF(Data!M771&gt;0,Data!M771,"")</f>
        <v/>
      </c>
      <c r="N771" s="1">
        <f>IF(Data!N771&gt;0,Data!N771,"")</f>
        <v/>
      </c>
      <c r="O771" s="1">
        <f>IF(Data!O771&gt;0,Data!O771,"")</f>
        <v/>
      </c>
      <c r="P771" s="1">
        <f>IF(Data!P771&gt;0,Data!P771,"")</f>
        <v/>
      </c>
      <c r="Q771" s="1">
        <f>IF(Data!Q771&gt;0,Data!Q771,"")</f>
        <v/>
      </c>
      <c r="R771" s="1">
        <f>IF(Data!R771&gt;0,Data!R771,"")</f>
        <v/>
      </c>
      <c r="S771" s="1">
        <f>IF(Data!S771&gt;0,Data!S771,"")</f>
        <v/>
      </c>
      <c r="V771" s="3">
        <f>IF(COUNT(D771,J771,K771,L771,M771,O771)&gt;0,AVERAGE(D771,J771,K771,L771,M771,O771),"")</f>
        <v/>
      </c>
      <c r="W771" s="3">
        <f>IF(COUNT(C771,F771,G771,N771,Q771)&gt;0,AVERAGE(C771,F771,G771,N771,Q771),"")</f>
        <v/>
      </c>
      <c r="X771" s="3">
        <f>IF(COUNT(B771,E771,H771,I771,P771,R771,S771)&gt;0,AVERAGE(B771,E771,H771,I771,P771,R771,S771),"")</f>
        <v/>
      </c>
      <c r="Y771" s="3" t="n"/>
      <c r="AJ771">
        <f>IFERROR(AVERAGEIF($A$4:$A$1004,AI771,$V$4:$V$1004),"")</f>
        <v/>
      </c>
      <c r="AK771">
        <f>IFERROR(AVERAGEIF($A$4:$A$1004,AI771,$W$4:$W$1004),"")</f>
        <v/>
      </c>
      <c r="AL771">
        <f>IFERROR(AVERAGEIF($A$4:$A$1004,AI771,$X$4:$X$1004),"")</f>
        <v/>
      </c>
    </row>
    <row r="772">
      <c r="A772" s="1">
        <f>IF(Data!A772&gt;0,Data!A772,"")</f>
        <v/>
      </c>
      <c r="B772" s="1">
        <f>IF(Data!B772&gt;0,Data!B772,"")</f>
        <v/>
      </c>
      <c r="C772" s="1">
        <f>IF(Data!C772&gt;0,Data!C772,"")</f>
        <v/>
      </c>
      <c r="D772" s="1">
        <f>IF(Data!D772&gt;0,Data!D772,"")</f>
        <v/>
      </c>
      <c r="E772" s="1">
        <f>IF(Data!E772&gt;0,Data!E772,"")</f>
        <v/>
      </c>
      <c r="F772" s="1">
        <f>IF(Data!F772&gt;0,Data!F772,"")</f>
        <v/>
      </c>
      <c r="G772" s="1">
        <f>IF(Data!G772&gt;0,Data!G772,"")</f>
        <v/>
      </c>
      <c r="H772" s="1">
        <f>IF(Data!H772&gt;0,Data!H772,"")</f>
        <v/>
      </c>
      <c r="I772" s="1">
        <f>IF(Data!I772&gt;0,Data!I772,"")</f>
        <v/>
      </c>
      <c r="J772" s="1">
        <f>IF(Data!J772&gt;0,Data!J772,"")</f>
        <v/>
      </c>
      <c r="K772" s="1">
        <f>IF(Data!K772&gt;0,Data!K772,"")</f>
        <v/>
      </c>
      <c r="L772" s="1">
        <f>IF(Data!L772&gt;0,Data!L772,"")</f>
        <v/>
      </c>
      <c r="M772" s="1">
        <f>IF(Data!M772&gt;0,Data!M772,"")</f>
        <v/>
      </c>
      <c r="N772" s="1">
        <f>IF(Data!N772&gt;0,Data!N772,"")</f>
        <v/>
      </c>
      <c r="O772" s="1">
        <f>IF(Data!O772&gt;0,Data!O772,"")</f>
        <v/>
      </c>
      <c r="P772" s="1">
        <f>IF(Data!P772&gt;0,Data!P772,"")</f>
        <v/>
      </c>
      <c r="Q772" s="1">
        <f>IF(Data!Q772&gt;0,Data!Q772,"")</f>
        <v/>
      </c>
      <c r="R772" s="1">
        <f>IF(Data!R772&gt;0,Data!R772,"")</f>
        <v/>
      </c>
      <c r="S772" s="1">
        <f>IF(Data!S772&gt;0,Data!S772,"")</f>
        <v/>
      </c>
      <c r="V772" s="3">
        <f>IF(COUNT(D772,J772,K772,L772,M772,O772)&gt;0,AVERAGE(D772,J772,K772,L772,M772,O772),"")</f>
        <v/>
      </c>
      <c r="W772" s="3">
        <f>IF(COUNT(C772,F772,G772,N772,Q772)&gt;0,AVERAGE(C772,F772,G772,N772,Q772),"")</f>
        <v/>
      </c>
      <c r="X772" s="3">
        <f>IF(COUNT(B772,E772,H772,I772,P772,R772,S772)&gt;0,AVERAGE(B772,E772,H772,I772,P772,R772,S772),"")</f>
        <v/>
      </c>
      <c r="Y772" s="3" t="n"/>
      <c r="AJ772">
        <f>IFERROR(AVERAGEIF($A$4:$A$1004,AI772,$V$4:$V$1004),"")</f>
        <v/>
      </c>
      <c r="AK772">
        <f>IFERROR(AVERAGEIF($A$4:$A$1004,AI772,$W$4:$W$1004),"")</f>
        <v/>
      </c>
      <c r="AL772">
        <f>IFERROR(AVERAGEIF($A$4:$A$1004,AI772,$X$4:$X$1004),"")</f>
        <v/>
      </c>
    </row>
    <row r="773">
      <c r="A773" s="1">
        <f>IF(Data!A773&gt;0,Data!A773,"")</f>
        <v/>
      </c>
      <c r="B773" s="1">
        <f>IF(Data!B773&gt;0,Data!B773,"")</f>
        <v/>
      </c>
      <c r="C773" s="1">
        <f>IF(Data!C773&gt;0,Data!C773,"")</f>
        <v/>
      </c>
      <c r="D773" s="1">
        <f>IF(Data!D773&gt;0,Data!D773,"")</f>
        <v/>
      </c>
      <c r="E773" s="1">
        <f>IF(Data!E773&gt;0,Data!E773,"")</f>
        <v/>
      </c>
      <c r="F773" s="1">
        <f>IF(Data!F773&gt;0,Data!F773,"")</f>
        <v/>
      </c>
      <c r="G773" s="1">
        <f>IF(Data!G773&gt;0,Data!G773,"")</f>
        <v/>
      </c>
      <c r="H773" s="1">
        <f>IF(Data!H773&gt;0,Data!H773,"")</f>
        <v/>
      </c>
      <c r="I773" s="1">
        <f>IF(Data!I773&gt;0,Data!I773,"")</f>
        <v/>
      </c>
      <c r="J773" s="1">
        <f>IF(Data!J773&gt;0,Data!J773,"")</f>
        <v/>
      </c>
      <c r="K773" s="1">
        <f>IF(Data!K773&gt;0,Data!K773,"")</f>
        <v/>
      </c>
      <c r="L773" s="1">
        <f>IF(Data!L773&gt;0,Data!L773,"")</f>
        <v/>
      </c>
      <c r="M773" s="1">
        <f>IF(Data!M773&gt;0,Data!M773,"")</f>
        <v/>
      </c>
      <c r="N773" s="1">
        <f>IF(Data!N773&gt;0,Data!N773,"")</f>
        <v/>
      </c>
      <c r="O773" s="1">
        <f>IF(Data!O773&gt;0,Data!O773,"")</f>
        <v/>
      </c>
      <c r="P773" s="1">
        <f>IF(Data!P773&gt;0,Data!P773,"")</f>
        <v/>
      </c>
      <c r="Q773" s="1">
        <f>IF(Data!Q773&gt;0,Data!Q773,"")</f>
        <v/>
      </c>
      <c r="R773" s="1">
        <f>IF(Data!R773&gt;0,Data!R773,"")</f>
        <v/>
      </c>
      <c r="S773" s="1">
        <f>IF(Data!S773&gt;0,Data!S773,"")</f>
        <v/>
      </c>
      <c r="V773" s="3">
        <f>IF(COUNT(D773,J773,K773,L773,M773,O773)&gt;0,AVERAGE(D773,J773,K773,L773,M773,O773),"")</f>
        <v/>
      </c>
      <c r="W773" s="3">
        <f>IF(COUNT(C773,F773,G773,N773,Q773)&gt;0,AVERAGE(C773,F773,G773,N773,Q773),"")</f>
        <v/>
      </c>
      <c r="X773" s="3">
        <f>IF(COUNT(B773,E773,H773,I773,P773,R773,S773)&gt;0,AVERAGE(B773,E773,H773,I773,P773,R773,S773),"")</f>
        <v/>
      </c>
      <c r="Y773" s="3" t="n"/>
      <c r="AJ773">
        <f>IFERROR(AVERAGEIF($A$4:$A$1004,AI773,$V$4:$V$1004),"")</f>
        <v/>
      </c>
      <c r="AK773">
        <f>IFERROR(AVERAGEIF($A$4:$A$1004,AI773,$W$4:$W$1004),"")</f>
        <v/>
      </c>
      <c r="AL773">
        <f>IFERROR(AVERAGEIF($A$4:$A$1004,AI773,$X$4:$X$1004),"")</f>
        <v/>
      </c>
    </row>
    <row r="774">
      <c r="A774" s="1">
        <f>IF(Data!A774&gt;0,Data!A774,"")</f>
        <v/>
      </c>
      <c r="B774" s="1">
        <f>IF(Data!B774&gt;0,Data!B774,"")</f>
        <v/>
      </c>
      <c r="C774" s="1">
        <f>IF(Data!C774&gt;0,Data!C774,"")</f>
        <v/>
      </c>
      <c r="D774" s="1">
        <f>IF(Data!D774&gt;0,Data!D774,"")</f>
        <v/>
      </c>
      <c r="E774" s="1">
        <f>IF(Data!E774&gt;0,Data!E774,"")</f>
        <v/>
      </c>
      <c r="F774" s="1">
        <f>IF(Data!F774&gt;0,Data!F774,"")</f>
        <v/>
      </c>
      <c r="G774" s="1">
        <f>IF(Data!G774&gt;0,Data!G774,"")</f>
        <v/>
      </c>
      <c r="H774" s="1">
        <f>IF(Data!H774&gt;0,Data!H774,"")</f>
        <v/>
      </c>
      <c r="I774" s="1">
        <f>IF(Data!I774&gt;0,Data!I774,"")</f>
        <v/>
      </c>
      <c r="J774" s="1">
        <f>IF(Data!J774&gt;0,Data!J774,"")</f>
        <v/>
      </c>
      <c r="K774" s="1">
        <f>IF(Data!K774&gt;0,Data!K774,"")</f>
        <v/>
      </c>
      <c r="L774" s="1">
        <f>IF(Data!L774&gt;0,Data!L774,"")</f>
        <v/>
      </c>
      <c r="M774" s="1">
        <f>IF(Data!M774&gt;0,Data!M774,"")</f>
        <v/>
      </c>
      <c r="N774" s="1">
        <f>IF(Data!N774&gt;0,Data!N774,"")</f>
        <v/>
      </c>
      <c r="O774" s="1">
        <f>IF(Data!O774&gt;0,Data!O774,"")</f>
        <v/>
      </c>
      <c r="P774" s="1">
        <f>IF(Data!P774&gt;0,Data!P774,"")</f>
        <v/>
      </c>
      <c r="Q774" s="1">
        <f>IF(Data!Q774&gt;0,Data!Q774,"")</f>
        <v/>
      </c>
      <c r="R774" s="1">
        <f>IF(Data!R774&gt;0,Data!R774,"")</f>
        <v/>
      </c>
      <c r="S774" s="1">
        <f>IF(Data!S774&gt;0,Data!S774,"")</f>
        <v/>
      </c>
      <c r="V774" s="3">
        <f>IF(COUNT(D774,J774,K774,L774,M774,O774)&gt;0,AVERAGE(D774,J774,K774,L774,M774,O774),"")</f>
        <v/>
      </c>
      <c r="W774" s="3">
        <f>IF(COUNT(C774,F774,G774,N774,Q774)&gt;0,AVERAGE(C774,F774,G774,N774,Q774),"")</f>
        <v/>
      </c>
      <c r="X774" s="3">
        <f>IF(COUNT(B774,E774,H774,I774,P774,R774,S774)&gt;0,AVERAGE(B774,E774,H774,I774,P774,R774,S774),"")</f>
        <v/>
      </c>
      <c r="Y774" s="3" t="n"/>
      <c r="AJ774">
        <f>IFERROR(AVERAGEIF($A$4:$A$1004,AI774,$V$4:$V$1004),"")</f>
        <v/>
      </c>
      <c r="AK774">
        <f>IFERROR(AVERAGEIF($A$4:$A$1004,AI774,$W$4:$W$1004),"")</f>
        <v/>
      </c>
      <c r="AL774">
        <f>IFERROR(AVERAGEIF($A$4:$A$1004,AI774,$X$4:$X$1004),"")</f>
        <v/>
      </c>
    </row>
    <row r="775">
      <c r="A775" s="1">
        <f>IF(Data!A775&gt;0,Data!A775,"")</f>
        <v/>
      </c>
      <c r="B775" s="1">
        <f>IF(Data!B775&gt;0,Data!B775,"")</f>
        <v/>
      </c>
      <c r="C775" s="1">
        <f>IF(Data!C775&gt;0,Data!C775,"")</f>
        <v/>
      </c>
      <c r="D775" s="1">
        <f>IF(Data!D775&gt;0,Data!D775,"")</f>
        <v/>
      </c>
      <c r="E775" s="1">
        <f>IF(Data!E775&gt;0,Data!E775,"")</f>
        <v/>
      </c>
      <c r="F775" s="1">
        <f>IF(Data!F775&gt;0,Data!F775,"")</f>
        <v/>
      </c>
      <c r="G775" s="1">
        <f>IF(Data!G775&gt;0,Data!G775,"")</f>
        <v/>
      </c>
      <c r="H775" s="1">
        <f>IF(Data!H775&gt;0,Data!H775,"")</f>
        <v/>
      </c>
      <c r="I775" s="1">
        <f>IF(Data!I775&gt;0,Data!I775,"")</f>
        <v/>
      </c>
      <c r="J775" s="1">
        <f>IF(Data!J775&gt;0,Data!J775,"")</f>
        <v/>
      </c>
      <c r="K775" s="1">
        <f>IF(Data!K775&gt;0,Data!K775,"")</f>
        <v/>
      </c>
      <c r="L775" s="1">
        <f>IF(Data!L775&gt;0,Data!L775,"")</f>
        <v/>
      </c>
      <c r="M775" s="1">
        <f>IF(Data!M775&gt;0,Data!M775,"")</f>
        <v/>
      </c>
      <c r="N775" s="1">
        <f>IF(Data!N775&gt;0,Data!N775,"")</f>
        <v/>
      </c>
      <c r="O775" s="1">
        <f>IF(Data!O775&gt;0,Data!O775,"")</f>
        <v/>
      </c>
      <c r="P775" s="1">
        <f>IF(Data!P775&gt;0,Data!P775,"")</f>
        <v/>
      </c>
      <c r="Q775" s="1">
        <f>IF(Data!Q775&gt;0,Data!Q775,"")</f>
        <v/>
      </c>
      <c r="R775" s="1">
        <f>IF(Data!R775&gt;0,Data!R775,"")</f>
        <v/>
      </c>
      <c r="S775" s="1">
        <f>IF(Data!S775&gt;0,Data!S775,"")</f>
        <v/>
      </c>
      <c r="V775" s="3">
        <f>IF(COUNT(D775,J775,K775,L775,M775,O775)&gt;0,AVERAGE(D775,J775,K775,L775,M775,O775),"")</f>
        <v/>
      </c>
      <c r="W775" s="3">
        <f>IF(COUNT(C775,F775,G775,N775,Q775)&gt;0,AVERAGE(C775,F775,G775,N775,Q775),"")</f>
        <v/>
      </c>
      <c r="X775" s="3">
        <f>IF(COUNT(B775,E775,H775,I775,P775,R775,S775)&gt;0,AVERAGE(B775,E775,H775,I775,P775,R775,S775),"")</f>
        <v/>
      </c>
      <c r="Y775" s="3" t="n"/>
      <c r="AJ775">
        <f>IFERROR(AVERAGEIF($A$4:$A$1004,AI775,$V$4:$V$1004),"")</f>
        <v/>
      </c>
      <c r="AK775">
        <f>IFERROR(AVERAGEIF($A$4:$A$1004,AI775,$W$4:$W$1004),"")</f>
        <v/>
      </c>
      <c r="AL775">
        <f>IFERROR(AVERAGEIF($A$4:$A$1004,AI775,$X$4:$X$1004),"")</f>
        <v/>
      </c>
    </row>
    <row r="776">
      <c r="A776" s="1">
        <f>IF(Data!A776&gt;0,Data!A776,"")</f>
        <v/>
      </c>
      <c r="B776" s="1">
        <f>IF(Data!B776&gt;0,Data!B776,"")</f>
        <v/>
      </c>
      <c r="C776" s="1">
        <f>IF(Data!C776&gt;0,Data!C776,"")</f>
        <v/>
      </c>
      <c r="D776" s="1">
        <f>IF(Data!D776&gt;0,Data!D776,"")</f>
        <v/>
      </c>
      <c r="E776" s="1">
        <f>IF(Data!E776&gt;0,Data!E776,"")</f>
        <v/>
      </c>
      <c r="F776" s="1">
        <f>IF(Data!F776&gt;0,Data!F776,"")</f>
        <v/>
      </c>
      <c r="G776" s="1">
        <f>IF(Data!G776&gt;0,Data!G776,"")</f>
        <v/>
      </c>
      <c r="H776" s="1">
        <f>IF(Data!H776&gt;0,Data!H776,"")</f>
        <v/>
      </c>
      <c r="I776" s="1">
        <f>IF(Data!I776&gt;0,Data!I776,"")</f>
        <v/>
      </c>
      <c r="J776" s="1">
        <f>IF(Data!J776&gt;0,Data!J776,"")</f>
        <v/>
      </c>
      <c r="K776" s="1">
        <f>IF(Data!K776&gt;0,Data!K776,"")</f>
        <v/>
      </c>
      <c r="L776" s="1">
        <f>IF(Data!L776&gt;0,Data!L776,"")</f>
        <v/>
      </c>
      <c r="M776" s="1">
        <f>IF(Data!M776&gt;0,Data!M776,"")</f>
        <v/>
      </c>
      <c r="N776" s="1">
        <f>IF(Data!N776&gt;0,Data!N776,"")</f>
        <v/>
      </c>
      <c r="O776" s="1">
        <f>IF(Data!O776&gt;0,Data!O776,"")</f>
        <v/>
      </c>
      <c r="P776" s="1">
        <f>IF(Data!P776&gt;0,Data!P776,"")</f>
        <v/>
      </c>
      <c r="Q776" s="1">
        <f>IF(Data!Q776&gt;0,Data!Q776,"")</f>
        <v/>
      </c>
      <c r="R776" s="1">
        <f>IF(Data!R776&gt;0,Data!R776,"")</f>
        <v/>
      </c>
      <c r="S776" s="1">
        <f>IF(Data!S776&gt;0,Data!S776,"")</f>
        <v/>
      </c>
      <c r="V776" s="3">
        <f>IF(COUNT(D776,J776,K776,L776,M776,O776)&gt;0,AVERAGE(D776,J776,K776,L776,M776,O776),"")</f>
        <v/>
      </c>
      <c r="W776" s="3">
        <f>IF(COUNT(C776,F776,G776,N776,Q776)&gt;0,AVERAGE(C776,F776,G776,N776,Q776),"")</f>
        <v/>
      </c>
      <c r="X776" s="3">
        <f>IF(COUNT(B776,E776,H776,I776,P776,R776,S776)&gt;0,AVERAGE(B776,E776,H776,I776,P776,R776,S776),"")</f>
        <v/>
      </c>
      <c r="Y776" s="3" t="n"/>
      <c r="AJ776">
        <f>IFERROR(AVERAGEIF($A$4:$A$1004,AI776,$V$4:$V$1004),"")</f>
        <v/>
      </c>
      <c r="AK776">
        <f>IFERROR(AVERAGEIF($A$4:$A$1004,AI776,$W$4:$W$1004),"")</f>
        <v/>
      </c>
      <c r="AL776">
        <f>IFERROR(AVERAGEIF($A$4:$A$1004,AI776,$X$4:$X$1004),"")</f>
        <v/>
      </c>
    </row>
    <row r="777">
      <c r="A777" s="1">
        <f>IF(Data!A777&gt;0,Data!A777,"")</f>
        <v/>
      </c>
      <c r="B777" s="1">
        <f>IF(Data!B777&gt;0,Data!B777,"")</f>
        <v/>
      </c>
      <c r="C777" s="1">
        <f>IF(Data!C777&gt;0,Data!C777,"")</f>
        <v/>
      </c>
      <c r="D777" s="1">
        <f>IF(Data!D777&gt;0,Data!D777,"")</f>
        <v/>
      </c>
      <c r="E777" s="1">
        <f>IF(Data!E777&gt;0,Data!E777,"")</f>
        <v/>
      </c>
      <c r="F777" s="1">
        <f>IF(Data!F777&gt;0,Data!F777,"")</f>
        <v/>
      </c>
      <c r="G777" s="1">
        <f>IF(Data!G777&gt;0,Data!G777,"")</f>
        <v/>
      </c>
      <c r="H777" s="1">
        <f>IF(Data!H777&gt;0,Data!H777,"")</f>
        <v/>
      </c>
      <c r="I777" s="1">
        <f>IF(Data!I777&gt;0,Data!I777,"")</f>
        <v/>
      </c>
      <c r="J777" s="1">
        <f>IF(Data!J777&gt;0,Data!J777,"")</f>
        <v/>
      </c>
      <c r="K777" s="1">
        <f>IF(Data!K777&gt;0,Data!K777,"")</f>
        <v/>
      </c>
      <c r="L777" s="1">
        <f>IF(Data!L777&gt;0,Data!L777,"")</f>
        <v/>
      </c>
      <c r="M777" s="1">
        <f>IF(Data!M777&gt;0,Data!M777,"")</f>
        <v/>
      </c>
      <c r="N777" s="1">
        <f>IF(Data!N777&gt;0,Data!N777,"")</f>
        <v/>
      </c>
      <c r="O777" s="1">
        <f>IF(Data!O777&gt;0,Data!O777,"")</f>
        <v/>
      </c>
      <c r="P777" s="1">
        <f>IF(Data!P777&gt;0,Data!P777,"")</f>
        <v/>
      </c>
      <c r="Q777" s="1">
        <f>IF(Data!Q777&gt;0,Data!Q777,"")</f>
        <v/>
      </c>
      <c r="R777" s="1">
        <f>IF(Data!R777&gt;0,Data!R777,"")</f>
        <v/>
      </c>
      <c r="S777" s="1">
        <f>IF(Data!S777&gt;0,Data!S777,"")</f>
        <v/>
      </c>
      <c r="V777" s="3">
        <f>IF(COUNT(D777,J777,K777,L777,M777,O777)&gt;0,AVERAGE(D777,J777,K777,L777,M777,O777),"")</f>
        <v/>
      </c>
      <c r="W777" s="3">
        <f>IF(COUNT(C777,F777,G777,N777,Q777)&gt;0,AVERAGE(C777,F777,G777,N777,Q777),"")</f>
        <v/>
      </c>
      <c r="X777" s="3">
        <f>IF(COUNT(B777,E777,H777,I777,P777,R777,S777)&gt;0,AVERAGE(B777,E777,H777,I777,P777,R777,S777),"")</f>
        <v/>
      </c>
      <c r="Y777" s="3" t="n"/>
      <c r="AJ777">
        <f>IFERROR(AVERAGEIF($A$4:$A$1004,AI777,$V$4:$V$1004),"")</f>
        <v/>
      </c>
      <c r="AK777">
        <f>IFERROR(AVERAGEIF($A$4:$A$1004,AI777,$W$4:$W$1004),"")</f>
        <v/>
      </c>
      <c r="AL777">
        <f>IFERROR(AVERAGEIF($A$4:$A$1004,AI777,$X$4:$X$1004),"")</f>
        <v/>
      </c>
    </row>
    <row r="778">
      <c r="A778" s="1">
        <f>IF(Data!A778&gt;0,Data!A778,"")</f>
        <v/>
      </c>
      <c r="B778" s="1">
        <f>IF(Data!B778&gt;0,Data!B778,"")</f>
        <v/>
      </c>
      <c r="C778" s="1">
        <f>IF(Data!C778&gt;0,Data!C778,"")</f>
        <v/>
      </c>
      <c r="D778" s="1">
        <f>IF(Data!D778&gt;0,Data!D778,"")</f>
        <v/>
      </c>
      <c r="E778" s="1">
        <f>IF(Data!E778&gt;0,Data!E778,"")</f>
        <v/>
      </c>
      <c r="F778" s="1">
        <f>IF(Data!F778&gt;0,Data!F778,"")</f>
        <v/>
      </c>
      <c r="G778" s="1">
        <f>IF(Data!G778&gt;0,Data!G778,"")</f>
        <v/>
      </c>
      <c r="H778" s="1">
        <f>IF(Data!H778&gt;0,Data!H778,"")</f>
        <v/>
      </c>
      <c r="I778" s="1">
        <f>IF(Data!I778&gt;0,Data!I778,"")</f>
        <v/>
      </c>
      <c r="J778" s="1">
        <f>IF(Data!J778&gt;0,Data!J778,"")</f>
        <v/>
      </c>
      <c r="K778" s="1">
        <f>IF(Data!K778&gt;0,Data!K778,"")</f>
        <v/>
      </c>
      <c r="L778" s="1">
        <f>IF(Data!L778&gt;0,Data!L778,"")</f>
        <v/>
      </c>
      <c r="M778" s="1">
        <f>IF(Data!M778&gt;0,Data!M778,"")</f>
        <v/>
      </c>
      <c r="N778" s="1">
        <f>IF(Data!N778&gt;0,Data!N778,"")</f>
        <v/>
      </c>
      <c r="O778" s="1">
        <f>IF(Data!O778&gt;0,Data!O778,"")</f>
        <v/>
      </c>
      <c r="P778" s="1">
        <f>IF(Data!P778&gt;0,Data!P778,"")</f>
        <v/>
      </c>
      <c r="Q778" s="1">
        <f>IF(Data!Q778&gt;0,Data!Q778,"")</f>
        <v/>
      </c>
      <c r="R778" s="1">
        <f>IF(Data!R778&gt;0,Data!R778,"")</f>
        <v/>
      </c>
      <c r="S778" s="1">
        <f>IF(Data!S778&gt;0,Data!S778,"")</f>
        <v/>
      </c>
      <c r="V778" s="3">
        <f>IF(COUNT(D778,J778,K778,L778,M778,O778)&gt;0,AVERAGE(D778,J778,K778,L778,M778,O778),"")</f>
        <v/>
      </c>
      <c r="W778" s="3">
        <f>IF(COUNT(C778,F778,G778,N778,Q778)&gt;0,AVERAGE(C778,F778,G778,N778,Q778),"")</f>
        <v/>
      </c>
      <c r="X778" s="3">
        <f>IF(COUNT(B778,E778,H778,I778,P778,R778,S778)&gt;0,AVERAGE(B778,E778,H778,I778,P778,R778,S778),"")</f>
        <v/>
      </c>
      <c r="Y778" s="3" t="n"/>
      <c r="AJ778">
        <f>IFERROR(AVERAGEIF($A$4:$A$1004,AI778,$V$4:$V$1004),"")</f>
        <v/>
      </c>
      <c r="AK778">
        <f>IFERROR(AVERAGEIF($A$4:$A$1004,AI778,$W$4:$W$1004),"")</f>
        <v/>
      </c>
      <c r="AL778">
        <f>IFERROR(AVERAGEIF($A$4:$A$1004,AI778,$X$4:$X$1004),"")</f>
        <v/>
      </c>
    </row>
    <row r="779">
      <c r="A779" s="1">
        <f>IF(Data!A779&gt;0,Data!A779,"")</f>
        <v/>
      </c>
      <c r="B779" s="1">
        <f>IF(Data!B779&gt;0,Data!B779,"")</f>
        <v/>
      </c>
      <c r="C779" s="1">
        <f>IF(Data!C779&gt;0,Data!C779,"")</f>
        <v/>
      </c>
      <c r="D779" s="1">
        <f>IF(Data!D779&gt;0,Data!D779,"")</f>
        <v/>
      </c>
      <c r="E779" s="1">
        <f>IF(Data!E779&gt;0,Data!E779,"")</f>
        <v/>
      </c>
      <c r="F779" s="1">
        <f>IF(Data!F779&gt;0,Data!F779,"")</f>
        <v/>
      </c>
      <c r="G779" s="1">
        <f>IF(Data!G779&gt;0,Data!G779,"")</f>
        <v/>
      </c>
      <c r="H779" s="1">
        <f>IF(Data!H779&gt;0,Data!H779,"")</f>
        <v/>
      </c>
      <c r="I779" s="1">
        <f>IF(Data!I779&gt;0,Data!I779,"")</f>
        <v/>
      </c>
      <c r="J779" s="1">
        <f>IF(Data!J779&gt;0,Data!J779,"")</f>
        <v/>
      </c>
      <c r="K779" s="1">
        <f>IF(Data!K779&gt;0,Data!K779,"")</f>
        <v/>
      </c>
      <c r="L779" s="1">
        <f>IF(Data!L779&gt;0,Data!L779,"")</f>
        <v/>
      </c>
      <c r="M779" s="1">
        <f>IF(Data!M779&gt;0,Data!M779,"")</f>
        <v/>
      </c>
      <c r="N779" s="1">
        <f>IF(Data!N779&gt;0,Data!N779,"")</f>
        <v/>
      </c>
      <c r="O779" s="1">
        <f>IF(Data!O779&gt;0,Data!O779,"")</f>
        <v/>
      </c>
      <c r="P779" s="1">
        <f>IF(Data!P779&gt;0,Data!P779,"")</f>
        <v/>
      </c>
      <c r="Q779" s="1">
        <f>IF(Data!Q779&gt;0,Data!Q779,"")</f>
        <v/>
      </c>
      <c r="R779" s="1">
        <f>IF(Data!R779&gt;0,Data!R779,"")</f>
        <v/>
      </c>
      <c r="S779" s="1">
        <f>IF(Data!S779&gt;0,Data!S779,"")</f>
        <v/>
      </c>
      <c r="V779" s="3">
        <f>IF(COUNT(D779,J779,K779,L779,M779,O779)&gt;0,AVERAGE(D779,J779,K779,L779,M779,O779),"")</f>
        <v/>
      </c>
      <c r="W779" s="3">
        <f>IF(COUNT(C779,F779,G779,N779,Q779)&gt;0,AVERAGE(C779,F779,G779,N779,Q779),"")</f>
        <v/>
      </c>
      <c r="X779" s="3">
        <f>IF(COUNT(B779,E779,H779,I779,P779,R779,S779)&gt;0,AVERAGE(B779,E779,H779,I779,P779,R779,S779),"")</f>
        <v/>
      </c>
      <c r="Y779" s="3" t="n"/>
      <c r="AJ779">
        <f>IFERROR(AVERAGEIF($A$4:$A$1004,AI779,$V$4:$V$1004),"")</f>
        <v/>
      </c>
      <c r="AK779">
        <f>IFERROR(AVERAGEIF($A$4:$A$1004,AI779,$W$4:$W$1004),"")</f>
        <v/>
      </c>
      <c r="AL779">
        <f>IFERROR(AVERAGEIF($A$4:$A$1004,AI779,$X$4:$X$1004),"")</f>
        <v/>
      </c>
    </row>
    <row r="780">
      <c r="A780" s="1">
        <f>IF(Data!A780&gt;0,Data!A780,"")</f>
        <v/>
      </c>
      <c r="B780" s="1">
        <f>IF(Data!B780&gt;0,Data!B780,"")</f>
        <v/>
      </c>
      <c r="C780" s="1">
        <f>IF(Data!C780&gt;0,Data!C780,"")</f>
        <v/>
      </c>
      <c r="D780" s="1">
        <f>IF(Data!D780&gt;0,Data!D780,"")</f>
        <v/>
      </c>
      <c r="E780" s="1">
        <f>IF(Data!E780&gt;0,Data!E780,"")</f>
        <v/>
      </c>
      <c r="F780" s="1">
        <f>IF(Data!F780&gt;0,Data!F780,"")</f>
        <v/>
      </c>
      <c r="G780" s="1">
        <f>IF(Data!G780&gt;0,Data!G780,"")</f>
        <v/>
      </c>
      <c r="H780" s="1">
        <f>IF(Data!H780&gt;0,Data!H780,"")</f>
        <v/>
      </c>
      <c r="I780" s="1">
        <f>IF(Data!I780&gt;0,Data!I780,"")</f>
        <v/>
      </c>
      <c r="J780" s="1">
        <f>IF(Data!J780&gt;0,Data!J780,"")</f>
        <v/>
      </c>
      <c r="K780" s="1">
        <f>IF(Data!K780&gt;0,Data!K780,"")</f>
        <v/>
      </c>
      <c r="L780" s="1">
        <f>IF(Data!L780&gt;0,Data!L780,"")</f>
        <v/>
      </c>
      <c r="M780" s="1">
        <f>IF(Data!M780&gt;0,Data!M780,"")</f>
        <v/>
      </c>
      <c r="N780" s="1">
        <f>IF(Data!N780&gt;0,Data!N780,"")</f>
        <v/>
      </c>
      <c r="O780" s="1">
        <f>IF(Data!O780&gt;0,Data!O780,"")</f>
        <v/>
      </c>
      <c r="P780" s="1">
        <f>IF(Data!P780&gt;0,Data!P780,"")</f>
        <v/>
      </c>
      <c r="Q780" s="1">
        <f>IF(Data!Q780&gt;0,Data!Q780,"")</f>
        <v/>
      </c>
      <c r="R780" s="1">
        <f>IF(Data!R780&gt;0,Data!R780,"")</f>
        <v/>
      </c>
      <c r="S780" s="1">
        <f>IF(Data!S780&gt;0,Data!S780,"")</f>
        <v/>
      </c>
      <c r="V780" s="3">
        <f>IF(COUNT(D780,J780,K780,L780,M780,O780)&gt;0,AVERAGE(D780,J780,K780,L780,M780,O780),"")</f>
        <v/>
      </c>
      <c r="W780" s="3">
        <f>IF(COUNT(C780,F780,G780,N780,Q780)&gt;0,AVERAGE(C780,F780,G780,N780,Q780),"")</f>
        <v/>
      </c>
      <c r="X780" s="3">
        <f>IF(COUNT(B780,E780,H780,I780,P780,R780,S780)&gt;0,AVERAGE(B780,E780,H780,I780,P780,R780,S780),"")</f>
        <v/>
      </c>
      <c r="Y780" s="3" t="n"/>
      <c r="AJ780">
        <f>IFERROR(AVERAGEIF($A$4:$A$1004,AI780,$V$4:$V$1004),"")</f>
        <v/>
      </c>
      <c r="AK780">
        <f>IFERROR(AVERAGEIF($A$4:$A$1004,AI780,$W$4:$W$1004),"")</f>
        <v/>
      </c>
      <c r="AL780">
        <f>IFERROR(AVERAGEIF($A$4:$A$1004,AI780,$X$4:$X$1004),"")</f>
        <v/>
      </c>
    </row>
    <row r="781">
      <c r="A781" s="1">
        <f>IF(Data!A781&gt;0,Data!A781,"")</f>
        <v/>
      </c>
      <c r="B781" s="1">
        <f>IF(Data!B781&gt;0,Data!B781,"")</f>
        <v/>
      </c>
      <c r="C781" s="1">
        <f>IF(Data!C781&gt;0,Data!C781,"")</f>
        <v/>
      </c>
      <c r="D781" s="1">
        <f>IF(Data!D781&gt;0,Data!D781,"")</f>
        <v/>
      </c>
      <c r="E781" s="1">
        <f>IF(Data!E781&gt;0,Data!E781,"")</f>
        <v/>
      </c>
      <c r="F781" s="1">
        <f>IF(Data!F781&gt;0,Data!F781,"")</f>
        <v/>
      </c>
      <c r="G781" s="1">
        <f>IF(Data!G781&gt;0,Data!G781,"")</f>
        <v/>
      </c>
      <c r="H781" s="1">
        <f>IF(Data!H781&gt;0,Data!H781,"")</f>
        <v/>
      </c>
      <c r="I781" s="1">
        <f>IF(Data!I781&gt;0,Data!I781,"")</f>
        <v/>
      </c>
      <c r="J781" s="1">
        <f>IF(Data!J781&gt;0,Data!J781,"")</f>
        <v/>
      </c>
      <c r="K781" s="1">
        <f>IF(Data!K781&gt;0,Data!K781,"")</f>
        <v/>
      </c>
      <c r="L781" s="1">
        <f>IF(Data!L781&gt;0,Data!L781,"")</f>
        <v/>
      </c>
      <c r="M781" s="1">
        <f>IF(Data!M781&gt;0,Data!M781,"")</f>
        <v/>
      </c>
      <c r="N781" s="1">
        <f>IF(Data!N781&gt;0,Data!N781,"")</f>
        <v/>
      </c>
      <c r="O781" s="1">
        <f>IF(Data!O781&gt;0,Data!O781,"")</f>
        <v/>
      </c>
      <c r="P781" s="1">
        <f>IF(Data!P781&gt;0,Data!P781,"")</f>
        <v/>
      </c>
      <c r="Q781" s="1">
        <f>IF(Data!Q781&gt;0,Data!Q781,"")</f>
        <v/>
      </c>
      <c r="R781" s="1">
        <f>IF(Data!R781&gt;0,Data!R781,"")</f>
        <v/>
      </c>
      <c r="S781" s="1">
        <f>IF(Data!S781&gt;0,Data!S781,"")</f>
        <v/>
      </c>
      <c r="V781" s="3">
        <f>IF(COUNT(D781,J781,K781,L781,M781,O781)&gt;0,AVERAGE(D781,J781,K781,L781,M781,O781),"")</f>
        <v/>
      </c>
      <c r="W781" s="3">
        <f>IF(COUNT(C781,F781,G781,N781,Q781)&gt;0,AVERAGE(C781,F781,G781,N781,Q781),"")</f>
        <v/>
      </c>
      <c r="X781" s="3">
        <f>IF(COUNT(B781,E781,H781,I781,P781,R781,S781)&gt;0,AVERAGE(B781,E781,H781,I781,P781,R781,S781),"")</f>
        <v/>
      </c>
      <c r="Y781" s="3" t="n"/>
      <c r="AJ781">
        <f>IFERROR(AVERAGEIF($A$4:$A$1004,AI781,$V$4:$V$1004),"")</f>
        <v/>
      </c>
      <c r="AK781">
        <f>IFERROR(AVERAGEIF($A$4:$A$1004,AI781,$W$4:$W$1004),"")</f>
        <v/>
      </c>
      <c r="AL781">
        <f>IFERROR(AVERAGEIF($A$4:$A$1004,AI781,$X$4:$X$1004),"")</f>
        <v/>
      </c>
    </row>
    <row r="782">
      <c r="A782" s="1">
        <f>IF(Data!A782&gt;0,Data!A782,"")</f>
        <v/>
      </c>
      <c r="B782" s="1">
        <f>IF(Data!B782&gt;0,Data!B782,"")</f>
        <v/>
      </c>
      <c r="C782" s="1">
        <f>IF(Data!C782&gt;0,Data!C782,"")</f>
        <v/>
      </c>
      <c r="D782" s="1">
        <f>IF(Data!D782&gt;0,Data!D782,"")</f>
        <v/>
      </c>
      <c r="E782" s="1">
        <f>IF(Data!E782&gt;0,Data!E782,"")</f>
        <v/>
      </c>
      <c r="F782" s="1">
        <f>IF(Data!F782&gt;0,Data!F782,"")</f>
        <v/>
      </c>
      <c r="G782" s="1">
        <f>IF(Data!G782&gt;0,Data!G782,"")</f>
        <v/>
      </c>
      <c r="H782" s="1">
        <f>IF(Data!H782&gt;0,Data!H782,"")</f>
        <v/>
      </c>
      <c r="I782" s="1">
        <f>IF(Data!I782&gt;0,Data!I782,"")</f>
        <v/>
      </c>
      <c r="J782" s="1">
        <f>IF(Data!J782&gt;0,Data!J782,"")</f>
        <v/>
      </c>
      <c r="K782" s="1">
        <f>IF(Data!K782&gt;0,Data!K782,"")</f>
        <v/>
      </c>
      <c r="L782" s="1">
        <f>IF(Data!L782&gt;0,Data!L782,"")</f>
        <v/>
      </c>
      <c r="M782" s="1">
        <f>IF(Data!M782&gt;0,Data!M782,"")</f>
        <v/>
      </c>
      <c r="N782" s="1">
        <f>IF(Data!N782&gt;0,Data!N782,"")</f>
        <v/>
      </c>
      <c r="O782" s="1">
        <f>IF(Data!O782&gt;0,Data!O782,"")</f>
        <v/>
      </c>
      <c r="P782" s="1">
        <f>IF(Data!P782&gt;0,Data!P782,"")</f>
        <v/>
      </c>
      <c r="Q782" s="1">
        <f>IF(Data!Q782&gt;0,Data!Q782,"")</f>
        <v/>
      </c>
      <c r="R782" s="1">
        <f>IF(Data!R782&gt;0,Data!R782,"")</f>
        <v/>
      </c>
      <c r="S782" s="1">
        <f>IF(Data!S782&gt;0,Data!S782,"")</f>
        <v/>
      </c>
      <c r="V782" s="3">
        <f>IF(COUNT(D782,J782,K782,L782,M782,O782)&gt;0,AVERAGE(D782,J782,K782,L782,M782,O782),"")</f>
        <v/>
      </c>
      <c r="W782" s="3">
        <f>IF(COUNT(C782,F782,G782,N782,Q782)&gt;0,AVERAGE(C782,F782,G782,N782,Q782),"")</f>
        <v/>
      </c>
      <c r="X782" s="3">
        <f>IF(COUNT(B782,E782,H782,I782,P782,R782,S782)&gt;0,AVERAGE(B782,E782,H782,I782,P782,R782,S782),"")</f>
        <v/>
      </c>
      <c r="Y782" s="3" t="n"/>
      <c r="AJ782">
        <f>IFERROR(AVERAGEIF($A$4:$A$1004,AI782,$V$4:$V$1004),"")</f>
        <v/>
      </c>
      <c r="AK782">
        <f>IFERROR(AVERAGEIF($A$4:$A$1004,AI782,$W$4:$W$1004),"")</f>
        <v/>
      </c>
      <c r="AL782">
        <f>IFERROR(AVERAGEIF($A$4:$A$1004,AI782,$X$4:$X$1004),"")</f>
        <v/>
      </c>
    </row>
    <row r="783">
      <c r="A783" s="1">
        <f>IF(Data!A783&gt;0,Data!A783,"")</f>
        <v/>
      </c>
      <c r="B783" s="1">
        <f>IF(Data!B783&gt;0,Data!B783,"")</f>
        <v/>
      </c>
      <c r="C783" s="1">
        <f>IF(Data!C783&gt;0,Data!C783,"")</f>
        <v/>
      </c>
      <c r="D783" s="1">
        <f>IF(Data!D783&gt;0,Data!D783,"")</f>
        <v/>
      </c>
      <c r="E783" s="1">
        <f>IF(Data!E783&gt;0,Data!E783,"")</f>
        <v/>
      </c>
      <c r="F783" s="1">
        <f>IF(Data!F783&gt;0,Data!F783,"")</f>
        <v/>
      </c>
      <c r="G783" s="1">
        <f>IF(Data!G783&gt;0,Data!G783,"")</f>
        <v/>
      </c>
      <c r="H783" s="1">
        <f>IF(Data!H783&gt;0,Data!H783,"")</f>
        <v/>
      </c>
      <c r="I783" s="1">
        <f>IF(Data!I783&gt;0,Data!I783,"")</f>
        <v/>
      </c>
      <c r="J783" s="1">
        <f>IF(Data!J783&gt;0,Data!J783,"")</f>
        <v/>
      </c>
      <c r="K783" s="1">
        <f>IF(Data!K783&gt;0,Data!K783,"")</f>
        <v/>
      </c>
      <c r="L783" s="1">
        <f>IF(Data!L783&gt;0,Data!L783,"")</f>
        <v/>
      </c>
      <c r="M783" s="1">
        <f>IF(Data!M783&gt;0,Data!M783,"")</f>
        <v/>
      </c>
      <c r="N783" s="1">
        <f>IF(Data!N783&gt;0,Data!N783,"")</f>
        <v/>
      </c>
      <c r="O783" s="1">
        <f>IF(Data!O783&gt;0,Data!O783,"")</f>
        <v/>
      </c>
      <c r="P783" s="1">
        <f>IF(Data!P783&gt;0,Data!P783,"")</f>
        <v/>
      </c>
      <c r="Q783" s="1">
        <f>IF(Data!Q783&gt;0,Data!Q783,"")</f>
        <v/>
      </c>
      <c r="R783" s="1">
        <f>IF(Data!R783&gt;0,Data!R783,"")</f>
        <v/>
      </c>
      <c r="S783" s="1">
        <f>IF(Data!S783&gt;0,Data!S783,"")</f>
        <v/>
      </c>
      <c r="V783" s="3">
        <f>IF(COUNT(D783,J783,K783,L783,M783,O783)&gt;0,AVERAGE(D783,J783,K783,L783,M783,O783),"")</f>
        <v/>
      </c>
      <c r="W783" s="3">
        <f>IF(COUNT(C783,F783,G783,N783,Q783)&gt;0,AVERAGE(C783,F783,G783,N783,Q783),"")</f>
        <v/>
      </c>
      <c r="X783" s="3">
        <f>IF(COUNT(B783,E783,H783,I783,P783,R783,S783)&gt;0,AVERAGE(B783,E783,H783,I783,P783,R783,S783),"")</f>
        <v/>
      </c>
      <c r="Y783" s="3" t="n"/>
      <c r="AJ783">
        <f>IFERROR(AVERAGEIF($A$4:$A$1004,AI783,$V$4:$V$1004),"")</f>
        <v/>
      </c>
      <c r="AK783">
        <f>IFERROR(AVERAGEIF($A$4:$A$1004,AI783,$W$4:$W$1004),"")</f>
        <v/>
      </c>
      <c r="AL783">
        <f>IFERROR(AVERAGEIF($A$4:$A$1004,AI783,$X$4:$X$1004),"")</f>
        <v/>
      </c>
    </row>
    <row r="784">
      <c r="A784" s="1">
        <f>IF(Data!A784&gt;0,Data!A784,"")</f>
        <v/>
      </c>
      <c r="B784" s="1">
        <f>IF(Data!B784&gt;0,Data!B784,"")</f>
        <v/>
      </c>
      <c r="C784" s="1">
        <f>IF(Data!C784&gt;0,Data!C784,"")</f>
        <v/>
      </c>
      <c r="D784" s="1">
        <f>IF(Data!D784&gt;0,Data!D784,"")</f>
        <v/>
      </c>
      <c r="E784" s="1">
        <f>IF(Data!E784&gt;0,Data!E784,"")</f>
        <v/>
      </c>
      <c r="F784" s="1">
        <f>IF(Data!F784&gt;0,Data!F784,"")</f>
        <v/>
      </c>
      <c r="G784" s="1">
        <f>IF(Data!G784&gt;0,Data!G784,"")</f>
        <v/>
      </c>
      <c r="H784" s="1">
        <f>IF(Data!H784&gt;0,Data!H784,"")</f>
        <v/>
      </c>
      <c r="I784" s="1">
        <f>IF(Data!I784&gt;0,Data!I784,"")</f>
        <v/>
      </c>
      <c r="J784" s="1">
        <f>IF(Data!J784&gt;0,Data!J784,"")</f>
        <v/>
      </c>
      <c r="K784" s="1">
        <f>IF(Data!K784&gt;0,Data!K784,"")</f>
        <v/>
      </c>
      <c r="L784" s="1">
        <f>IF(Data!L784&gt;0,Data!L784,"")</f>
        <v/>
      </c>
      <c r="M784" s="1">
        <f>IF(Data!M784&gt;0,Data!M784,"")</f>
        <v/>
      </c>
      <c r="N784" s="1">
        <f>IF(Data!N784&gt;0,Data!N784,"")</f>
        <v/>
      </c>
      <c r="O784" s="1">
        <f>IF(Data!O784&gt;0,Data!O784,"")</f>
        <v/>
      </c>
      <c r="P784" s="1">
        <f>IF(Data!P784&gt;0,Data!P784,"")</f>
        <v/>
      </c>
      <c r="Q784" s="1">
        <f>IF(Data!Q784&gt;0,Data!Q784,"")</f>
        <v/>
      </c>
      <c r="R784" s="1">
        <f>IF(Data!R784&gt;0,Data!R784,"")</f>
        <v/>
      </c>
      <c r="S784" s="1">
        <f>IF(Data!S784&gt;0,Data!S784,"")</f>
        <v/>
      </c>
      <c r="V784" s="3">
        <f>IF(COUNT(D784,J784,K784,L784,M784,O784)&gt;0,AVERAGE(D784,J784,K784,L784,M784,O784),"")</f>
        <v/>
      </c>
      <c r="W784" s="3">
        <f>IF(COUNT(C784,F784,G784,N784,Q784)&gt;0,AVERAGE(C784,F784,G784,N784,Q784),"")</f>
        <v/>
      </c>
      <c r="X784" s="3">
        <f>IF(COUNT(B784,E784,H784,I784,P784,R784,S784)&gt;0,AVERAGE(B784,E784,H784,I784,P784,R784,S784),"")</f>
        <v/>
      </c>
      <c r="Y784" s="3" t="n"/>
      <c r="AJ784">
        <f>IFERROR(AVERAGEIF($A$4:$A$1004,AI784,$V$4:$V$1004),"")</f>
        <v/>
      </c>
      <c r="AK784">
        <f>IFERROR(AVERAGEIF($A$4:$A$1004,AI784,$W$4:$W$1004),"")</f>
        <v/>
      </c>
      <c r="AL784">
        <f>IFERROR(AVERAGEIF($A$4:$A$1004,AI784,$X$4:$X$1004),"")</f>
        <v/>
      </c>
    </row>
    <row r="785">
      <c r="A785" s="1">
        <f>IF(Data!A785&gt;0,Data!A785,"")</f>
        <v/>
      </c>
      <c r="B785" s="1">
        <f>IF(Data!B785&gt;0,Data!B785,"")</f>
        <v/>
      </c>
      <c r="C785" s="1">
        <f>IF(Data!C785&gt;0,Data!C785,"")</f>
        <v/>
      </c>
      <c r="D785" s="1">
        <f>IF(Data!D785&gt;0,Data!D785,"")</f>
        <v/>
      </c>
      <c r="E785" s="1">
        <f>IF(Data!E785&gt;0,Data!E785,"")</f>
        <v/>
      </c>
      <c r="F785" s="1">
        <f>IF(Data!F785&gt;0,Data!F785,"")</f>
        <v/>
      </c>
      <c r="G785" s="1">
        <f>IF(Data!G785&gt;0,Data!G785,"")</f>
        <v/>
      </c>
      <c r="H785" s="1">
        <f>IF(Data!H785&gt;0,Data!H785,"")</f>
        <v/>
      </c>
      <c r="I785" s="1">
        <f>IF(Data!I785&gt;0,Data!I785,"")</f>
        <v/>
      </c>
      <c r="J785" s="1">
        <f>IF(Data!J785&gt;0,Data!J785,"")</f>
        <v/>
      </c>
      <c r="K785" s="1">
        <f>IF(Data!K785&gt;0,Data!K785,"")</f>
        <v/>
      </c>
      <c r="L785" s="1">
        <f>IF(Data!L785&gt;0,Data!L785,"")</f>
        <v/>
      </c>
      <c r="M785" s="1">
        <f>IF(Data!M785&gt;0,Data!M785,"")</f>
        <v/>
      </c>
      <c r="N785" s="1">
        <f>IF(Data!N785&gt;0,Data!N785,"")</f>
        <v/>
      </c>
      <c r="O785" s="1">
        <f>IF(Data!O785&gt;0,Data!O785,"")</f>
        <v/>
      </c>
      <c r="P785" s="1">
        <f>IF(Data!P785&gt;0,Data!P785,"")</f>
        <v/>
      </c>
      <c r="Q785" s="1">
        <f>IF(Data!Q785&gt;0,Data!Q785,"")</f>
        <v/>
      </c>
      <c r="R785" s="1">
        <f>IF(Data!R785&gt;0,Data!R785,"")</f>
        <v/>
      </c>
      <c r="S785" s="1">
        <f>IF(Data!S785&gt;0,Data!S785,"")</f>
        <v/>
      </c>
      <c r="V785" s="3">
        <f>IF(COUNT(D785,J785,K785,L785,M785,O785)&gt;0,AVERAGE(D785,J785,K785,L785,M785,O785),"")</f>
        <v/>
      </c>
      <c r="W785" s="3">
        <f>IF(COUNT(C785,F785,G785,N785,Q785)&gt;0,AVERAGE(C785,F785,G785,N785,Q785),"")</f>
        <v/>
      </c>
      <c r="X785" s="3">
        <f>IF(COUNT(B785,E785,H785,I785,P785,R785,S785)&gt;0,AVERAGE(B785,E785,H785,I785,P785,R785,S785),"")</f>
        <v/>
      </c>
      <c r="Y785" s="3" t="n"/>
      <c r="AJ785">
        <f>IFERROR(AVERAGEIF($A$4:$A$1004,AI785,$V$4:$V$1004),"")</f>
        <v/>
      </c>
      <c r="AK785">
        <f>IFERROR(AVERAGEIF($A$4:$A$1004,AI785,$W$4:$W$1004),"")</f>
        <v/>
      </c>
      <c r="AL785">
        <f>IFERROR(AVERAGEIF($A$4:$A$1004,AI785,$X$4:$X$1004),"")</f>
        <v/>
      </c>
    </row>
    <row r="786">
      <c r="A786" s="1">
        <f>IF(Data!A786&gt;0,Data!A786,"")</f>
        <v/>
      </c>
      <c r="B786" s="1">
        <f>IF(Data!B786&gt;0,Data!B786,"")</f>
        <v/>
      </c>
      <c r="C786" s="1">
        <f>IF(Data!C786&gt;0,Data!C786,"")</f>
        <v/>
      </c>
      <c r="D786" s="1">
        <f>IF(Data!D786&gt;0,Data!D786,"")</f>
        <v/>
      </c>
      <c r="E786" s="1">
        <f>IF(Data!E786&gt;0,Data!E786,"")</f>
        <v/>
      </c>
      <c r="F786" s="1">
        <f>IF(Data!F786&gt;0,Data!F786,"")</f>
        <v/>
      </c>
      <c r="G786" s="1">
        <f>IF(Data!G786&gt;0,Data!G786,"")</f>
        <v/>
      </c>
      <c r="H786" s="1">
        <f>IF(Data!H786&gt;0,Data!H786,"")</f>
        <v/>
      </c>
      <c r="I786" s="1">
        <f>IF(Data!I786&gt;0,Data!I786,"")</f>
        <v/>
      </c>
      <c r="J786" s="1">
        <f>IF(Data!J786&gt;0,Data!J786,"")</f>
        <v/>
      </c>
      <c r="K786" s="1">
        <f>IF(Data!K786&gt;0,Data!K786,"")</f>
        <v/>
      </c>
      <c r="L786" s="1">
        <f>IF(Data!L786&gt;0,Data!L786,"")</f>
        <v/>
      </c>
      <c r="M786" s="1">
        <f>IF(Data!M786&gt;0,Data!M786,"")</f>
        <v/>
      </c>
      <c r="N786" s="1">
        <f>IF(Data!N786&gt;0,Data!N786,"")</f>
        <v/>
      </c>
      <c r="O786" s="1">
        <f>IF(Data!O786&gt;0,Data!O786,"")</f>
        <v/>
      </c>
      <c r="P786" s="1">
        <f>IF(Data!P786&gt;0,Data!P786,"")</f>
        <v/>
      </c>
      <c r="Q786" s="1">
        <f>IF(Data!Q786&gt;0,Data!Q786,"")</f>
        <v/>
      </c>
      <c r="R786" s="1">
        <f>IF(Data!R786&gt;0,Data!R786,"")</f>
        <v/>
      </c>
      <c r="S786" s="1">
        <f>IF(Data!S786&gt;0,Data!S786,"")</f>
        <v/>
      </c>
      <c r="V786" s="3">
        <f>IF(COUNT(D786,J786,K786,L786,M786,O786)&gt;0,AVERAGE(D786,J786,K786,L786,M786,O786),"")</f>
        <v/>
      </c>
      <c r="W786" s="3">
        <f>IF(COUNT(C786,F786,G786,N786,Q786)&gt;0,AVERAGE(C786,F786,G786,N786,Q786),"")</f>
        <v/>
      </c>
      <c r="X786" s="3">
        <f>IF(COUNT(B786,E786,H786,I786,P786,R786,S786)&gt;0,AVERAGE(B786,E786,H786,I786,P786,R786,S786),"")</f>
        <v/>
      </c>
      <c r="Y786" s="3" t="n"/>
      <c r="AJ786">
        <f>IFERROR(AVERAGEIF($A$4:$A$1004,AI786,$V$4:$V$1004),"")</f>
        <v/>
      </c>
      <c r="AK786">
        <f>IFERROR(AVERAGEIF($A$4:$A$1004,AI786,$W$4:$W$1004),"")</f>
        <v/>
      </c>
      <c r="AL786">
        <f>IFERROR(AVERAGEIF($A$4:$A$1004,AI786,$X$4:$X$1004),"")</f>
        <v/>
      </c>
    </row>
    <row r="787">
      <c r="A787" s="1">
        <f>IF(Data!A787&gt;0,Data!A787,"")</f>
        <v/>
      </c>
      <c r="B787" s="1">
        <f>IF(Data!B787&gt;0,Data!B787,"")</f>
        <v/>
      </c>
      <c r="C787" s="1">
        <f>IF(Data!C787&gt;0,Data!C787,"")</f>
        <v/>
      </c>
      <c r="D787" s="1">
        <f>IF(Data!D787&gt;0,Data!D787,"")</f>
        <v/>
      </c>
      <c r="E787" s="1">
        <f>IF(Data!E787&gt;0,Data!E787,"")</f>
        <v/>
      </c>
      <c r="F787" s="1">
        <f>IF(Data!F787&gt;0,Data!F787,"")</f>
        <v/>
      </c>
      <c r="G787" s="1">
        <f>IF(Data!G787&gt;0,Data!G787,"")</f>
        <v/>
      </c>
      <c r="H787" s="1">
        <f>IF(Data!H787&gt;0,Data!H787,"")</f>
        <v/>
      </c>
      <c r="I787" s="1">
        <f>IF(Data!I787&gt;0,Data!I787,"")</f>
        <v/>
      </c>
      <c r="J787" s="1">
        <f>IF(Data!J787&gt;0,Data!J787,"")</f>
        <v/>
      </c>
      <c r="K787" s="1">
        <f>IF(Data!K787&gt;0,Data!K787,"")</f>
        <v/>
      </c>
      <c r="L787" s="1">
        <f>IF(Data!L787&gt;0,Data!L787,"")</f>
        <v/>
      </c>
      <c r="M787" s="1">
        <f>IF(Data!M787&gt;0,Data!M787,"")</f>
        <v/>
      </c>
      <c r="N787" s="1">
        <f>IF(Data!N787&gt;0,Data!N787,"")</f>
        <v/>
      </c>
      <c r="O787" s="1">
        <f>IF(Data!O787&gt;0,Data!O787,"")</f>
        <v/>
      </c>
      <c r="P787" s="1">
        <f>IF(Data!P787&gt;0,Data!P787,"")</f>
        <v/>
      </c>
      <c r="Q787" s="1">
        <f>IF(Data!Q787&gt;0,Data!Q787,"")</f>
        <v/>
      </c>
      <c r="R787" s="1">
        <f>IF(Data!R787&gt;0,Data!R787,"")</f>
        <v/>
      </c>
      <c r="S787" s="1">
        <f>IF(Data!S787&gt;0,Data!S787,"")</f>
        <v/>
      </c>
      <c r="V787" s="3">
        <f>IF(COUNT(D787,J787,K787,L787,M787,O787)&gt;0,AVERAGE(D787,J787,K787,L787,M787,O787),"")</f>
        <v/>
      </c>
      <c r="W787" s="3">
        <f>IF(COUNT(C787,F787,G787,N787,Q787)&gt;0,AVERAGE(C787,F787,G787,N787,Q787),"")</f>
        <v/>
      </c>
      <c r="X787" s="3">
        <f>IF(COUNT(B787,E787,H787,I787,P787,R787,S787)&gt;0,AVERAGE(B787,E787,H787,I787,P787,R787,S787),"")</f>
        <v/>
      </c>
      <c r="Y787" s="3" t="n"/>
      <c r="AJ787">
        <f>IFERROR(AVERAGEIF($A$4:$A$1004,AI787,$V$4:$V$1004),"")</f>
        <v/>
      </c>
      <c r="AK787">
        <f>IFERROR(AVERAGEIF($A$4:$A$1004,AI787,$W$4:$W$1004),"")</f>
        <v/>
      </c>
      <c r="AL787">
        <f>IFERROR(AVERAGEIF($A$4:$A$1004,AI787,$X$4:$X$1004),"")</f>
        <v/>
      </c>
    </row>
    <row r="788">
      <c r="A788" s="1">
        <f>IF(Data!A788&gt;0,Data!A788,"")</f>
        <v/>
      </c>
      <c r="B788" s="1">
        <f>IF(Data!B788&gt;0,Data!B788,"")</f>
        <v/>
      </c>
      <c r="C788" s="1">
        <f>IF(Data!C788&gt;0,Data!C788,"")</f>
        <v/>
      </c>
      <c r="D788" s="1">
        <f>IF(Data!D788&gt;0,Data!D788,"")</f>
        <v/>
      </c>
      <c r="E788" s="1">
        <f>IF(Data!E788&gt;0,Data!E788,"")</f>
        <v/>
      </c>
      <c r="F788" s="1">
        <f>IF(Data!F788&gt;0,Data!F788,"")</f>
        <v/>
      </c>
      <c r="G788" s="1">
        <f>IF(Data!G788&gt;0,Data!G788,"")</f>
        <v/>
      </c>
      <c r="H788" s="1">
        <f>IF(Data!H788&gt;0,Data!H788,"")</f>
        <v/>
      </c>
      <c r="I788" s="1">
        <f>IF(Data!I788&gt;0,Data!I788,"")</f>
        <v/>
      </c>
      <c r="J788" s="1">
        <f>IF(Data!J788&gt;0,Data!J788,"")</f>
        <v/>
      </c>
      <c r="K788" s="1">
        <f>IF(Data!K788&gt;0,Data!K788,"")</f>
        <v/>
      </c>
      <c r="L788" s="1">
        <f>IF(Data!L788&gt;0,Data!L788,"")</f>
        <v/>
      </c>
      <c r="M788" s="1">
        <f>IF(Data!M788&gt;0,Data!M788,"")</f>
        <v/>
      </c>
      <c r="N788" s="1">
        <f>IF(Data!N788&gt;0,Data!N788,"")</f>
        <v/>
      </c>
      <c r="O788" s="1">
        <f>IF(Data!O788&gt;0,Data!O788,"")</f>
        <v/>
      </c>
      <c r="P788" s="1">
        <f>IF(Data!P788&gt;0,Data!P788,"")</f>
        <v/>
      </c>
      <c r="Q788" s="1">
        <f>IF(Data!Q788&gt;0,Data!Q788,"")</f>
        <v/>
      </c>
      <c r="R788" s="1">
        <f>IF(Data!R788&gt;0,Data!R788,"")</f>
        <v/>
      </c>
      <c r="S788" s="1">
        <f>IF(Data!S788&gt;0,Data!S788,"")</f>
        <v/>
      </c>
      <c r="V788" s="3">
        <f>IF(COUNT(D788,J788,K788,L788,M788,O788)&gt;0,AVERAGE(D788,J788,K788,L788,M788,O788),"")</f>
        <v/>
      </c>
      <c r="W788" s="3">
        <f>IF(COUNT(C788,F788,G788,N788,Q788)&gt;0,AVERAGE(C788,F788,G788,N788,Q788),"")</f>
        <v/>
      </c>
      <c r="X788" s="3">
        <f>IF(COUNT(B788,E788,H788,I788,P788,R788,S788)&gt;0,AVERAGE(B788,E788,H788,I788,P788,R788,S788),"")</f>
        <v/>
      </c>
      <c r="Y788" s="3" t="n"/>
      <c r="AJ788">
        <f>IFERROR(AVERAGEIF($A$4:$A$1004,AI788,$V$4:$V$1004),"")</f>
        <v/>
      </c>
      <c r="AK788">
        <f>IFERROR(AVERAGEIF($A$4:$A$1004,AI788,$W$4:$W$1004),"")</f>
        <v/>
      </c>
      <c r="AL788">
        <f>IFERROR(AVERAGEIF($A$4:$A$1004,AI788,$X$4:$X$1004),"")</f>
        <v/>
      </c>
    </row>
    <row r="789">
      <c r="A789" s="1">
        <f>IF(Data!A789&gt;0,Data!A789,"")</f>
        <v/>
      </c>
      <c r="B789" s="1">
        <f>IF(Data!B789&gt;0,Data!B789,"")</f>
        <v/>
      </c>
      <c r="C789" s="1">
        <f>IF(Data!C789&gt;0,Data!C789,"")</f>
        <v/>
      </c>
      <c r="D789" s="1">
        <f>IF(Data!D789&gt;0,Data!D789,"")</f>
        <v/>
      </c>
      <c r="E789" s="1">
        <f>IF(Data!E789&gt;0,Data!E789,"")</f>
        <v/>
      </c>
      <c r="F789" s="1">
        <f>IF(Data!F789&gt;0,Data!F789,"")</f>
        <v/>
      </c>
      <c r="G789" s="1">
        <f>IF(Data!G789&gt;0,Data!G789,"")</f>
        <v/>
      </c>
      <c r="H789" s="1">
        <f>IF(Data!H789&gt;0,Data!H789,"")</f>
        <v/>
      </c>
      <c r="I789" s="1">
        <f>IF(Data!I789&gt;0,Data!I789,"")</f>
        <v/>
      </c>
      <c r="J789" s="1">
        <f>IF(Data!J789&gt;0,Data!J789,"")</f>
        <v/>
      </c>
      <c r="K789" s="1">
        <f>IF(Data!K789&gt;0,Data!K789,"")</f>
        <v/>
      </c>
      <c r="L789" s="1">
        <f>IF(Data!L789&gt;0,Data!L789,"")</f>
        <v/>
      </c>
      <c r="M789" s="1">
        <f>IF(Data!M789&gt;0,Data!M789,"")</f>
        <v/>
      </c>
      <c r="N789" s="1">
        <f>IF(Data!N789&gt;0,Data!N789,"")</f>
        <v/>
      </c>
      <c r="O789" s="1">
        <f>IF(Data!O789&gt;0,Data!O789,"")</f>
        <v/>
      </c>
      <c r="P789" s="1">
        <f>IF(Data!P789&gt;0,Data!P789,"")</f>
        <v/>
      </c>
      <c r="Q789" s="1">
        <f>IF(Data!Q789&gt;0,Data!Q789,"")</f>
        <v/>
      </c>
      <c r="R789" s="1">
        <f>IF(Data!R789&gt;0,Data!R789,"")</f>
        <v/>
      </c>
      <c r="S789" s="1">
        <f>IF(Data!S789&gt;0,Data!S789,"")</f>
        <v/>
      </c>
      <c r="V789" s="3">
        <f>IF(COUNT(D789,J789,K789,L789,M789,O789)&gt;0,AVERAGE(D789,J789,K789,L789,M789,O789),"")</f>
        <v/>
      </c>
      <c r="W789" s="3">
        <f>IF(COUNT(C789,F789,G789,N789,Q789)&gt;0,AVERAGE(C789,F789,G789,N789,Q789),"")</f>
        <v/>
      </c>
      <c r="X789" s="3">
        <f>IF(COUNT(B789,E789,H789,I789,P789,R789,S789)&gt;0,AVERAGE(B789,E789,H789,I789,P789,R789,S789),"")</f>
        <v/>
      </c>
      <c r="Y789" s="3" t="n"/>
      <c r="AJ789">
        <f>IFERROR(AVERAGEIF($A$4:$A$1004,AI789,$V$4:$V$1004),"")</f>
        <v/>
      </c>
      <c r="AK789">
        <f>IFERROR(AVERAGEIF($A$4:$A$1004,AI789,$W$4:$W$1004),"")</f>
        <v/>
      </c>
      <c r="AL789">
        <f>IFERROR(AVERAGEIF($A$4:$A$1004,AI789,$X$4:$X$1004),"")</f>
        <v/>
      </c>
    </row>
    <row r="790">
      <c r="A790" s="1">
        <f>IF(Data!A790&gt;0,Data!A790,"")</f>
        <v/>
      </c>
      <c r="B790" s="1">
        <f>IF(Data!B790&gt;0,Data!B790,"")</f>
        <v/>
      </c>
      <c r="C790" s="1">
        <f>IF(Data!C790&gt;0,Data!C790,"")</f>
        <v/>
      </c>
      <c r="D790" s="1">
        <f>IF(Data!D790&gt;0,Data!D790,"")</f>
        <v/>
      </c>
      <c r="E790" s="1">
        <f>IF(Data!E790&gt;0,Data!E790,"")</f>
        <v/>
      </c>
      <c r="F790" s="1">
        <f>IF(Data!F790&gt;0,Data!F790,"")</f>
        <v/>
      </c>
      <c r="G790" s="1">
        <f>IF(Data!G790&gt;0,Data!G790,"")</f>
        <v/>
      </c>
      <c r="H790" s="1">
        <f>IF(Data!H790&gt;0,Data!H790,"")</f>
        <v/>
      </c>
      <c r="I790" s="1">
        <f>IF(Data!I790&gt;0,Data!I790,"")</f>
        <v/>
      </c>
      <c r="J790" s="1">
        <f>IF(Data!J790&gt;0,Data!J790,"")</f>
        <v/>
      </c>
      <c r="K790" s="1">
        <f>IF(Data!K790&gt;0,Data!K790,"")</f>
        <v/>
      </c>
      <c r="L790" s="1">
        <f>IF(Data!L790&gt;0,Data!L790,"")</f>
        <v/>
      </c>
      <c r="M790" s="1">
        <f>IF(Data!M790&gt;0,Data!M790,"")</f>
        <v/>
      </c>
      <c r="N790" s="1">
        <f>IF(Data!N790&gt;0,Data!N790,"")</f>
        <v/>
      </c>
      <c r="O790" s="1">
        <f>IF(Data!O790&gt;0,Data!O790,"")</f>
        <v/>
      </c>
      <c r="P790" s="1">
        <f>IF(Data!P790&gt;0,Data!P790,"")</f>
        <v/>
      </c>
      <c r="Q790" s="1">
        <f>IF(Data!Q790&gt;0,Data!Q790,"")</f>
        <v/>
      </c>
      <c r="R790" s="1">
        <f>IF(Data!R790&gt;0,Data!R790,"")</f>
        <v/>
      </c>
      <c r="S790" s="1">
        <f>IF(Data!S790&gt;0,Data!S790,"")</f>
        <v/>
      </c>
      <c r="V790" s="3">
        <f>IF(COUNT(D790,J790,K790,L790,M790,O790)&gt;0,AVERAGE(D790,J790,K790,L790,M790,O790),"")</f>
        <v/>
      </c>
      <c r="W790" s="3">
        <f>IF(COUNT(C790,F790,G790,N790,Q790)&gt;0,AVERAGE(C790,F790,G790,N790,Q790),"")</f>
        <v/>
      </c>
      <c r="X790" s="3">
        <f>IF(COUNT(B790,E790,H790,I790,P790,R790,S790)&gt;0,AVERAGE(B790,E790,H790,I790,P790,R790,S790),"")</f>
        <v/>
      </c>
      <c r="Y790" s="3" t="n"/>
      <c r="AJ790">
        <f>IFERROR(AVERAGEIF($A$4:$A$1004,AI790,$V$4:$V$1004),"")</f>
        <v/>
      </c>
      <c r="AK790">
        <f>IFERROR(AVERAGEIF($A$4:$A$1004,AI790,$W$4:$W$1004),"")</f>
        <v/>
      </c>
      <c r="AL790">
        <f>IFERROR(AVERAGEIF($A$4:$A$1004,AI790,$X$4:$X$1004),"")</f>
        <v/>
      </c>
    </row>
    <row r="791">
      <c r="A791" s="1">
        <f>IF(Data!A791&gt;0,Data!A791,"")</f>
        <v/>
      </c>
      <c r="B791" s="1">
        <f>IF(Data!B791&gt;0,Data!B791,"")</f>
        <v/>
      </c>
      <c r="C791" s="1">
        <f>IF(Data!C791&gt;0,Data!C791,"")</f>
        <v/>
      </c>
      <c r="D791" s="1">
        <f>IF(Data!D791&gt;0,Data!D791,"")</f>
        <v/>
      </c>
      <c r="E791" s="1">
        <f>IF(Data!E791&gt;0,Data!E791,"")</f>
        <v/>
      </c>
      <c r="F791" s="1">
        <f>IF(Data!F791&gt;0,Data!F791,"")</f>
        <v/>
      </c>
      <c r="G791" s="1">
        <f>IF(Data!G791&gt;0,Data!G791,"")</f>
        <v/>
      </c>
      <c r="H791" s="1">
        <f>IF(Data!H791&gt;0,Data!H791,"")</f>
        <v/>
      </c>
      <c r="I791" s="1">
        <f>IF(Data!I791&gt;0,Data!I791,"")</f>
        <v/>
      </c>
      <c r="J791" s="1">
        <f>IF(Data!J791&gt;0,Data!J791,"")</f>
        <v/>
      </c>
      <c r="K791" s="1">
        <f>IF(Data!K791&gt;0,Data!K791,"")</f>
        <v/>
      </c>
      <c r="L791" s="1">
        <f>IF(Data!L791&gt;0,Data!L791,"")</f>
        <v/>
      </c>
      <c r="M791" s="1">
        <f>IF(Data!M791&gt;0,Data!M791,"")</f>
        <v/>
      </c>
      <c r="N791" s="1">
        <f>IF(Data!N791&gt;0,Data!N791,"")</f>
        <v/>
      </c>
      <c r="O791" s="1">
        <f>IF(Data!O791&gt;0,Data!O791,"")</f>
        <v/>
      </c>
      <c r="P791" s="1">
        <f>IF(Data!P791&gt;0,Data!P791,"")</f>
        <v/>
      </c>
      <c r="Q791" s="1">
        <f>IF(Data!Q791&gt;0,Data!Q791,"")</f>
        <v/>
      </c>
      <c r="R791" s="1">
        <f>IF(Data!R791&gt;0,Data!R791,"")</f>
        <v/>
      </c>
      <c r="S791" s="1">
        <f>IF(Data!S791&gt;0,Data!S791,"")</f>
        <v/>
      </c>
      <c r="V791" s="3">
        <f>IF(COUNT(D791,J791,K791,L791,M791,O791)&gt;0,AVERAGE(D791,J791,K791,L791,M791,O791),"")</f>
        <v/>
      </c>
      <c r="W791" s="3">
        <f>IF(COUNT(C791,F791,G791,N791,Q791)&gt;0,AVERAGE(C791,F791,G791,N791,Q791),"")</f>
        <v/>
      </c>
      <c r="X791" s="3">
        <f>IF(COUNT(B791,E791,H791,I791,P791,R791,S791)&gt;0,AVERAGE(B791,E791,H791,I791,P791,R791,S791),"")</f>
        <v/>
      </c>
      <c r="Y791" s="3" t="n"/>
      <c r="AJ791">
        <f>IFERROR(AVERAGEIF($A$4:$A$1004,AI791,$V$4:$V$1004),"")</f>
        <v/>
      </c>
      <c r="AK791">
        <f>IFERROR(AVERAGEIF($A$4:$A$1004,AI791,$W$4:$W$1004),"")</f>
        <v/>
      </c>
      <c r="AL791">
        <f>IFERROR(AVERAGEIF($A$4:$A$1004,AI791,$X$4:$X$1004),"")</f>
        <v/>
      </c>
    </row>
    <row r="792">
      <c r="A792" s="1">
        <f>IF(Data!A792&gt;0,Data!A792,"")</f>
        <v/>
      </c>
      <c r="B792" s="1">
        <f>IF(Data!B792&gt;0,Data!B792,"")</f>
        <v/>
      </c>
      <c r="C792" s="1">
        <f>IF(Data!C792&gt;0,Data!C792,"")</f>
        <v/>
      </c>
      <c r="D792" s="1">
        <f>IF(Data!D792&gt;0,Data!D792,"")</f>
        <v/>
      </c>
      <c r="E792" s="1">
        <f>IF(Data!E792&gt;0,Data!E792,"")</f>
        <v/>
      </c>
      <c r="F792" s="1">
        <f>IF(Data!F792&gt;0,Data!F792,"")</f>
        <v/>
      </c>
      <c r="G792" s="1">
        <f>IF(Data!G792&gt;0,Data!G792,"")</f>
        <v/>
      </c>
      <c r="H792" s="1">
        <f>IF(Data!H792&gt;0,Data!H792,"")</f>
        <v/>
      </c>
      <c r="I792" s="1">
        <f>IF(Data!I792&gt;0,Data!I792,"")</f>
        <v/>
      </c>
      <c r="J792" s="1">
        <f>IF(Data!J792&gt;0,Data!J792,"")</f>
        <v/>
      </c>
      <c r="K792" s="1">
        <f>IF(Data!K792&gt;0,Data!K792,"")</f>
        <v/>
      </c>
      <c r="L792" s="1">
        <f>IF(Data!L792&gt;0,Data!L792,"")</f>
        <v/>
      </c>
      <c r="M792" s="1">
        <f>IF(Data!M792&gt;0,Data!M792,"")</f>
        <v/>
      </c>
      <c r="N792" s="1">
        <f>IF(Data!N792&gt;0,Data!N792,"")</f>
        <v/>
      </c>
      <c r="O792" s="1">
        <f>IF(Data!O792&gt;0,Data!O792,"")</f>
        <v/>
      </c>
      <c r="P792" s="1">
        <f>IF(Data!P792&gt;0,Data!P792,"")</f>
        <v/>
      </c>
      <c r="Q792" s="1">
        <f>IF(Data!Q792&gt;0,Data!Q792,"")</f>
        <v/>
      </c>
      <c r="R792" s="1">
        <f>IF(Data!R792&gt;0,Data!R792,"")</f>
        <v/>
      </c>
      <c r="S792" s="1">
        <f>IF(Data!S792&gt;0,Data!S792,"")</f>
        <v/>
      </c>
      <c r="V792" s="3">
        <f>IF(COUNT(D792,J792,K792,L792,M792,O792)&gt;0,AVERAGE(D792,J792,K792,L792,M792,O792),"")</f>
        <v/>
      </c>
      <c r="W792" s="3">
        <f>IF(COUNT(C792,F792,G792,N792,Q792)&gt;0,AVERAGE(C792,F792,G792,N792,Q792),"")</f>
        <v/>
      </c>
      <c r="X792" s="3">
        <f>IF(COUNT(B792,E792,H792,I792,P792,R792,S792)&gt;0,AVERAGE(B792,E792,H792,I792,P792,R792,S792),"")</f>
        <v/>
      </c>
      <c r="Y792" s="3" t="n"/>
      <c r="AJ792">
        <f>IFERROR(AVERAGEIF($A$4:$A$1004,AI792,$V$4:$V$1004),"")</f>
        <v/>
      </c>
      <c r="AK792">
        <f>IFERROR(AVERAGEIF($A$4:$A$1004,AI792,$W$4:$W$1004),"")</f>
        <v/>
      </c>
      <c r="AL792">
        <f>IFERROR(AVERAGEIF($A$4:$A$1004,AI792,$X$4:$X$1004),"")</f>
        <v/>
      </c>
    </row>
    <row r="793">
      <c r="A793" s="1">
        <f>IF(Data!A793&gt;0,Data!A793,"")</f>
        <v/>
      </c>
      <c r="B793" s="1">
        <f>IF(Data!B793&gt;0,Data!B793,"")</f>
        <v/>
      </c>
      <c r="C793" s="1">
        <f>IF(Data!C793&gt;0,Data!C793,"")</f>
        <v/>
      </c>
      <c r="D793" s="1">
        <f>IF(Data!D793&gt;0,Data!D793,"")</f>
        <v/>
      </c>
      <c r="E793" s="1">
        <f>IF(Data!E793&gt;0,Data!E793,"")</f>
        <v/>
      </c>
      <c r="F793" s="1">
        <f>IF(Data!F793&gt;0,Data!F793,"")</f>
        <v/>
      </c>
      <c r="G793" s="1">
        <f>IF(Data!G793&gt;0,Data!G793,"")</f>
        <v/>
      </c>
      <c r="H793" s="1">
        <f>IF(Data!H793&gt;0,Data!H793,"")</f>
        <v/>
      </c>
      <c r="I793" s="1">
        <f>IF(Data!I793&gt;0,Data!I793,"")</f>
        <v/>
      </c>
      <c r="J793" s="1">
        <f>IF(Data!J793&gt;0,Data!J793,"")</f>
        <v/>
      </c>
      <c r="K793" s="1">
        <f>IF(Data!K793&gt;0,Data!K793,"")</f>
        <v/>
      </c>
      <c r="L793" s="1">
        <f>IF(Data!L793&gt;0,Data!L793,"")</f>
        <v/>
      </c>
      <c r="M793" s="1">
        <f>IF(Data!M793&gt;0,Data!M793,"")</f>
        <v/>
      </c>
      <c r="N793" s="1">
        <f>IF(Data!N793&gt;0,Data!N793,"")</f>
        <v/>
      </c>
      <c r="O793" s="1">
        <f>IF(Data!O793&gt;0,Data!O793,"")</f>
        <v/>
      </c>
      <c r="P793" s="1">
        <f>IF(Data!P793&gt;0,Data!P793,"")</f>
        <v/>
      </c>
      <c r="Q793" s="1">
        <f>IF(Data!Q793&gt;0,Data!Q793,"")</f>
        <v/>
      </c>
      <c r="R793" s="1">
        <f>IF(Data!R793&gt;0,Data!R793,"")</f>
        <v/>
      </c>
      <c r="S793" s="1">
        <f>IF(Data!S793&gt;0,Data!S793,"")</f>
        <v/>
      </c>
      <c r="V793" s="3">
        <f>IF(COUNT(D793,J793,K793,L793,M793,O793)&gt;0,AVERAGE(D793,J793,K793,L793,M793,O793),"")</f>
        <v/>
      </c>
      <c r="W793" s="3">
        <f>IF(COUNT(C793,F793,G793,N793,Q793)&gt;0,AVERAGE(C793,F793,G793,N793,Q793),"")</f>
        <v/>
      </c>
      <c r="X793" s="3">
        <f>IF(COUNT(B793,E793,H793,I793,P793,R793,S793)&gt;0,AVERAGE(B793,E793,H793,I793,P793,R793,S793),"")</f>
        <v/>
      </c>
      <c r="Y793" s="3" t="n"/>
      <c r="AJ793">
        <f>IFERROR(AVERAGEIF($A$4:$A$1004,AI793,$V$4:$V$1004),"")</f>
        <v/>
      </c>
      <c r="AK793">
        <f>IFERROR(AVERAGEIF($A$4:$A$1004,AI793,$W$4:$W$1004),"")</f>
        <v/>
      </c>
      <c r="AL793">
        <f>IFERROR(AVERAGEIF($A$4:$A$1004,AI793,$X$4:$X$1004),"")</f>
        <v/>
      </c>
    </row>
    <row r="794">
      <c r="A794" s="1">
        <f>IF(Data!A794&gt;0,Data!A794,"")</f>
        <v/>
      </c>
      <c r="B794" s="1">
        <f>IF(Data!B794&gt;0,Data!B794,"")</f>
        <v/>
      </c>
      <c r="C794" s="1">
        <f>IF(Data!C794&gt;0,Data!C794,"")</f>
        <v/>
      </c>
      <c r="D794" s="1">
        <f>IF(Data!D794&gt;0,Data!D794,"")</f>
        <v/>
      </c>
      <c r="E794" s="1">
        <f>IF(Data!E794&gt;0,Data!E794,"")</f>
        <v/>
      </c>
      <c r="F794" s="1">
        <f>IF(Data!F794&gt;0,Data!F794,"")</f>
        <v/>
      </c>
      <c r="G794" s="1">
        <f>IF(Data!G794&gt;0,Data!G794,"")</f>
        <v/>
      </c>
      <c r="H794" s="1">
        <f>IF(Data!H794&gt;0,Data!H794,"")</f>
        <v/>
      </c>
      <c r="I794" s="1">
        <f>IF(Data!I794&gt;0,Data!I794,"")</f>
        <v/>
      </c>
      <c r="J794" s="1">
        <f>IF(Data!J794&gt;0,Data!J794,"")</f>
        <v/>
      </c>
      <c r="K794" s="1">
        <f>IF(Data!K794&gt;0,Data!K794,"")</f>
        <v/>
      </c>
      <c r="L794" s="1">
        <f>IF(Data!L794&gt;0,Data!L794,"")</f>
        <v/>
      </c>
      <c r="M794" s="1">
        <f>IF(Data!M794&gt;0,Data!M794,"")</f>
        <v/>
      </c>
      <c r="N794" s="1">
        <f>IF(Data!N794&gt;0,Data!N794,"")</f>
        <v/>
      </c>
      <c r="O794" s="1">
        <f>IF(Data!O794&gt;0,Data!O794,"")</f>
        <v/>
      </c>
      <c r="P794" s="1">
        <f>IF(Data!P794&gt;0,Data!P794,"")</f>
        <v/>
      </c>
      <c r="Q794" s="1">
        <f>IF(Data!Q794&gt;0,Data!Q794,"")</f>
        <v/>
      </c>
      <c r="R794" s="1">
        <f>IF(Data!R794&gt;0,Data!R794,"")</f>
        <v/>
      </c>
      <c r="S794" s="1">
        <f>IF(Data!S794&gt;0,Data!S794,"")</f>
        <v/>
      </c>
      <c r="V794" s="3">
        <f>IF(COUNT(D794,J794,K794,L794,M794,O794)&gt;0,AVERAGE(D794,J794,K794,L794,M794,O794),"")</f>
        <v/>
      </c>
      <c r="W794" s="3">
        <f>IF(COUNT(C794,F794,G794,N794,Q794)&gt;0,AVERAGE(C794,F794,G794,N794,Q794),"")</f>
        <v/>
      </c>
      <c r="X794" s="3">
        <f>IF(COUNT(B794,E794,H794,I794,P794,R794,S794)&gt;0,AVERAGE(B794,E794,H794,I794,P794,R794,S794),"")</f>
        <v/>
      </c>
      <c r="Y794" s="3" t="n"/>
      <c r="AJ794">
        <f>IFERROR(AVERAGEIF($A$4:$A$1004,AI794,$V$4:$V$1004),"")</f>
        <v/>
      </c>
      <c r="AK794">
        <f>IFERROR(AVERAGEIF($A$4:$A$1004,AI794,$W$4:$W$1004),"")</f>
        <v/>
      </c>
      <c r="AL794">
        <f>IFERROR(AVERAGEIF($A$4:$A$1004,AI794,$X$4:$X$1004),"")</f>
        <v/>
      </c>
    </row>
    <row r="795">
      <c r="A795" s="1">
        <f>IF(Data!A795&gt;0,Data!A795,"")</f>
        <v/>
      </c>
      <c r="B795" s="1">
        <f>IF(Data!B795&gt;0,Data!B795,"")</f>
        <v/>
      </c>
      <c r="C795" s="1">
        <f>IF(Data!C795&gt;0,Data!C795,"")</f>
        <v/>
      </c>
      <c r="D795" s="1">
        <f>IF(Data!D795&gt;0,Data!D795,"")</f>
        <v/>
      </c>
      <c r="E795" s="1">
        <f>IF(Data!E795&gt;0,Data!E795,"")</f>
        <v/>
      </c>
      <c r="F795" s="1">
        <f>IF(Data!F795&gt;0,Data!F795,"")</f>
        <v/>
      </c>
      <c r="G795" s="1">
        <f>IF(Data!G795&gt;0,Data!G795,"")</f>
        <v/>
      </c>
      <c r="H795" s="1">
        <f>IF(Data!H795&gt;0,Data!H795,"")</f>
        <v/>
      </c>
      <c r="I795" s="1">
        <f>IF(Data!I795&gt;0,Data!I795,"")</f>
        <v/>
      </c>
      <c r="J795" s="1">
        <f>IF(Data!J795&gt;0,Data!J795,"")</f>
        <v/>
      </c>
      <c r="K795" s="1">
        <f>IF(Data!K795&gt;0,Data!K795,"")</f>
        <v/>
      </c>
      <c r="L795" s="1">
        <f>IF(Data!L795&gt;0,Data!L795,"")</f>
        <v/>
      </c>
      <c r="M795" s="1">
        <f>IF(Data!M795&gt;0,Data!M795,"")</f>
        <v/>
      </c>
      <c r="N795" s="1">
        <f>IF(Data!N795&gt;0,Data!N795,"")</f>
        <v/>
      </c>
      <c r="O795" s="1">
        <f>IF(Data!O795&gt;0,Data!O795,"")</f>
        <v/>
      </c>
      <c r="P795" s="1">
        <f>IF(Data!P795&gt;0,Data!P795,"")</f>
        <v/>
      </c>
      <c r="Q795" s="1">
        <f>IF(Data!Q795&gt;0,Data!Q795,"")</f>
        <v/>
      </c>
      <c r="R795" s="1">
        <f>IF(Data!R795&gt;0,Data!R795,"")</f>
        <v/>
      </c>
      <c r="S795" s="1">
        <f>IF(Data!S795&gt;0,Data!S795,"")</f>
        <v/>
      </c>
      <c r="V795" s="3">
        <f>IF(COUNT(D795,J795,K795,L795,M795,O795)&gt;0,AVERAGE(D795,J795,K795,L795,M795,O795),"")</f>
        <v/>
      </c>
      <c r="W795" s="3">
        <f>IF(COUNT(C795,F795,G795,N795,Q795)&gt;0,AVERAGE(C795,F795,G795,N795,Q795),"")</f>
        <v/>
      </c>
      <c r="X795" s="3">
        <f>IF(COUNT(B795,E795,H795,I795,P795,R795,S795)&gt;0,AVERAGE(B795,E795,H795,I795,P795,R795,S795),"")</f>
        <v/>
      </c>
      <c r="Y795" s="3" t="n"/>
      <c r="AJ795">
        <f>IFERROR(AVERAGEIF($A$4:$A$1004,AI795,$V$4:$V$1004),"")</f>
        <v/>
      </c>
      <c r="AK795">
        <f>IFERROR(AVERAGEIF($A$4:$A$1004,AI795,$W$4:$W$1004),"")</f>
        <v/>
      </c>
      <c r="AL795">
        <f>IFERROR(AVERAGEIF($A$4:$A$1004,AI795,$X$4:$X$1004),"")</f>
        <v/>
      </c>
    </row>
    <row r="796">
      <c r="A796" s="1">
        <f>IF(Data!A796&gt;0,Data!A796,"")</f>
        <v/>
      </c>
      <c r="B796" s="1">
        <f>IF(Data!B796&gt;0,Data!B796,"")</f>
        <v/>
      </c>
      <c r="C796" s="1">
        <f>IF(Data!C796&gt;0,Data!C796,"")</f>
        <v/>
      </c>
      <c r="D796" s="1">
        <f>IF(Data!D796&gt;0,Data!D796,"")</f>
        <v/>
      </c>
      <c r="E796" s="1">
        <f>IF(Data!E796&gt;0,Data!E796,"")</f>
        <v/>
      </c>
      <c r="F796" s="1">
        <f>IF(Data!F796&gt;0,Data!F796,"")</f>
        <v/>
      </c>
      <c r="G796" s="1">
        <f>IF(Data!G796&gt;0,Data!G796,"")</f>
        <v/>
      </c>
      <c r="H796" s="1">
        <f>IF(Data!H796&gt;0,Data!H796,"")</f>
        <v/>
      </c>
      <c r="I796" s="1">
        <f>IF(Data!I796&gt;0,Data!I796,"")</f>
        <v/>
      </c>
      <c r="J796" s="1">
        <f>IF(Data!J796&gt;0,Data!J796,"")</f>
        <v/>
      </c>
      <c r="K796" s="1">
        <f>IF(Data!K796&gt;0,Data!K796,"")</f>
        <v/>
      </c>
      <c r="L796" s="1">
        <f>IF(Data!L796&gt;0,Data!L796,"")</f>
        <v/>
      </c>
      <c r="M796" s="1">
        <f>IF(Data!M796&gt;0,Data!M796,"")</f>
        <v/>
      </c>
      <c r="N796" s="1">
        <f>IF(Data!N796&gt;0,Data!N796,"")</f>
        <v/>
      </c>
      <c r="O796" s="1">
        <f>IF(Data!O796&gt;0,Data!O796,"")</f>
        <v/>
      </c>
      <c r="P796" s="1">
        <f>IF(Data!P796&gt;0,Data!P796,"")</f>
        <v/>
      </c>
      <c r="Q796" s="1">
        <f>IF(Data!Q796&gt;0,Data!Q796,"")</f>
        <v/>
      </c>
      <c r="R796" s="1">
        <f>IF(Data!R796&gt;0,Data!R796,"")</f>
        <v/>
      </c>
      <c r="S796" s="1">
        <f>IF(Data!S796&gt;0,Data!S796,"")</f>
        <v/>
      </c>
      <c r="V796" s="3">
        <f>IF(COUNT(D796,J796,K796,L796,M796,O796)&gt;0,AVERAGE(D796,J796,K796,L796,M796,O796),"")</f>
        <v/>
      </c>
      <c r="W796" s="3">
        <f>IF(COUNT(C796,F796,G796,N796,Q796)&gt;0,AVERAGE(C796,F796,G796,N796,Q796),"")</f>
        <v/>
      </c>
      <c r="X796" s="3">
        <f>IF(COUNT(B796,E796,H796,I796,P796,R796,S796)&gt;0,AVERAGE(B796,E796,H796,I796,P796,R796,S796),"")</f>
        <v/>
      </c>
      <c r="Y796" s="3" t="n"/>
      <c r="AJ796">
        <f>IFERROR(AVERAGEIF($A$4:$A$1004,AI796,$V$4:$V$1004),"")</f>
        <v/>
      </c>
      <c r="AK796">
        <f>IFERROR(AVERAGEIF($A$4:$A$1004,AI796,$W$4:$W$1004),"")</f>
        <v/>
      </c>
      <c r="AL796">
        <f>IFERROR(AVERAGEIF($A$4:$A$1004,AI796,$X$4:$X$1004),"")</f>
        <v/>
      </c>
    </row>
    <row r="797">
      <c r="A797" s="1">
        <f>IF(Data!A797&gt;0,Data!A797,"")</f>
        <v/>
      </c>
      <c r="B797" s="1">
        <f>IF(Data!B797&gt;0,Data!B797,"")</f>
        <v/>
      </c>
      <c r="C797" s="1">
        <f>IF(Data!C797&gt;0,Data!C797,"")</f>
        <v/>
      </c>
      <c r="D797" s="1">
        <f>IF(Data!D797&gt;0,Data!D797,"")</f>
        <v/>
      </c>
      <c r="E797" s="1">
        <f>IF(Data!E797&gt;0,Data!E797,"")</f>
        <v/>
      </c>
      <c r="F797" s="1">
        <f>IF(Data!F797&gt;0,Data!F797,"")</f>
        <v/>
      </c>
      <c r="G797" s="1">
        <f>IF(Data!G797&gt;0,Data!G797,"")</f>
        <v/>
      </c>
      <c r="H797" s="1">
        <f>IF(Data!H797&gt;0,Data!H797,"")</f>
        <v/>
      </c>
      <c r="I797" s="1">
        <f>IF(Data!I797&gt;0,Data!I797,"")</f>
        <v/>
      </c>
      <c r="J797" s="1">
        <f>IF(Data!J797&gt;0,Data!J797,"")</f>
        <v/>
      </c>
      <c r="K797" s="1">
        <f>IF(Data!K797&gt;0,Data!K797,"")</f>
        <v/>
      </c>
      <c r="L797" s="1">
        <f>IF(Data!L797&gt;0,Data!L797,"")</f>
        <v/>
      </c>
      <c r="M797" s="1">
        <f>IF(Data!M797&gt;0,Data!M797,"")</f>
        <v/>
      </c>
      <c r="N797" s="1">
        <f>IF(Data!N797&gt;0,Data!N797,"")</f>
        <v/>
      </c>
      <c r="O797" s="1">
        <f>IF(Data!O797&gt;0,Data!O797,"")</f>
        <v/>
      </c>
      <c r="P797" s="1">
        <f>IF(Data!P797&gt;0,Data!P797,"")</f>
        <v/>
      </c>
      <c r="Q797" s="1">
        <f>IF(Data!Q797&gt;0,Data!Q797,"")</f>
        <v/>
      </c>
      <c r="R797" s="1">
        <f>IF(Data!R797&gt;0,Data!R797,"")</f>
        <v/>
      </c>
      <c r="S797" s="1">
        <f>IF(Data!S797&gt;0,Data!S797,"")</f>
        <v/>
      </c>
      <c r="V797" s="3">
        <f>IF(COUNT(D797,J797,K797,L797,M797,O797)&gt;0,AVERAGE(D797,J797,K797,L797,M797,O797),"")</f>
        <v/>
      </c>
      <c r="W797" s="3">
        <f>IF(COUNT(C797,F797,G797,N797,Q797)&gt;0,AVERAGE(C797,F797,G797,N797,Q797),"")</f>
        <v/>
      </c>
      <c r="X797" s="3">
        <f>IF(COUNT(B797,E797,H797,I797,P797,R797,S797)&gt;0,AVERAGE(B797,E797,H797,I797,P797,R797,S797),"")</f>
        <v/>
      </c>
      <c r="Y797" s="3" t="n"/>
      <c r="AJ797">
        <f>IFERROR(AVERAGEIF($A$4:$A$1004,AI797,$V$4:$V$1004),"")</f>
        <v/>
      </c>
      <c r="AK797">
        <f>IFERROR(AVERAGEIF($A$4:$A$1004,AI797,$W$4:$W$1004),"")</f>
        <v/>
      </c>
      <c r="AL797">
        <f>IFERROR(AVERAGEIF($A$4:$A$1004,AI797,$X$4:$X$1004),"")</f>
        <v/>
      </c>
    </row>
    <row r="798">
      <c r="A798" s="1">
        <f>IF(Data!A798&gt;0,Data!A798,"")</f>
        <v/>
      </c>
      <c r="B798" s="1">
        <f>IF(Data!B798&gt;0,Data!B798,"")</f>
        <v/>
      </c>
      <c r="C798" s="1">
        <f>IF(Data!C798&gt;0,Data!C798,"")</f>
        <v/>
      </c>
      <c r="D798" s="1">
        <f>IF(Data!D798&gt;0,Data!D798,"")</f>
        <v/>
      </c>
      <c r="E798" s="1">
        <f>IF(Data!E798&gt;0,Data!E798,"")</f>
        <v/>
      </c>
      <c r="F798" s="1">
        <f>IF(Data!F798&gt;0,Data!F798,"")</f>
        <v/>
      </c>
      <c r="G798" s="1">
        <f>IF(Data!G798&gt;0,Data!G798,"")</f>
        <v/>
      </c>
      <c r="H798" s="1">
        <f>IF(Data!H798&gt;0,Data!H798,"")</f>
        <v/>
      </c>
      <c r="I798" s="1">
        <f>IF(Data!I798&gt;0,Data!I798,"")</f>
        <v/>
      </c>
      <c r="J798" s="1">
        <f>IF(Data!J798&gt;0,Data!J798,"")</f>
        <v/>
      </c>
      <c r="K798" s="1">
        <f>IF(Data!K798&gt;0,Data!K798,"")</f>
        <v/>
      </c>
      <c r="L798" s="1">
        <f>IF(Data!L798&gt;0,Data!L798,"")</f>
        <v/>
      </c>
      <c r="M798" s="1">
        <f>IF(Data!M798&gt;0,Data!M798,"")</f>
        <v/>
      </c>
      <c r="N798" s="1">
        <f>IF(Data!N798&gt;0,Data!N798,"")</f>
        <v/>
      </c>
      <c r="O798" s="1">
        <f>IF(Data!O798&gt;0,Data!O798,"")</f>
        <v/>
      </c>
      <c r="P798" s="1">
        <f>IF(Data!P798&gt;0,Data!P798,"")</f>
        <v/>
      </c>
      <c r="Q798" s="1">
        <f>IF(Data!Q798&gt;0,Data!Q798,"")</f>
        <v/>
      </c>
      <c r="R798" s="1">
        <f>IF(Data!R798&gt;0,Data!R798,"")</f>
        <v/>
      </c>
      <c r="S798" s="1">
        <f>IF(Data!S798&gt;0,Data!S798,"")</f>
        <v/>
      </c>
      <c r="V798" s="3">
        <f>IF(COUNT(D798,J798,K798,L798,M798,O798)&gt;0,AVERAGE(D798,J798,K798,L798,M798,O798),"")</f>
        <v/>
      </c>
      <c r="W798" s="3">
        <f>IF(COUNT(C798,F798,G798,N798,Q798)&gt;0,AVERAGE(C798,F798,G798,N798,Q798),"")</f>
        <v/>
      </c>
      <c r="X798" s="3">
        <f>IF(COUNT(B798,E798,H798,I798,P798,R798,S798)&gt;0,AVERAGE(B798,E798,H798,I798,P798,R798,S798),"")</f>
        <v/>
      </c>
      <c r="Y798" s="3" t="n"/>
      <c r="AJ798">
        <f>IFERROR(AVERAGEIF($A$4:$A$1004,AI798,$V$4:$V$1004),"")</f>
        <v/>
      </c>
      <c r="AK798">
        <f>IFERROR(AVERAGEIF($A$4:$A$1004,AI798,$W$4:$W$1004),"")</f>
        <v/>
      </c>
      <c r="AL798">
        <f>IFERROR(AVERAGEIF($A$4:$A$1004,AI798,$X$4:$X$1004),"")</f>
        <v/>
      </c>
    </row>
    <row r="799">
      <c r="A799" s="1">
        <f>IF(Data!A799&gt;0,Data!A799,"")</f>
        <v/>
      </c>
      <c r="B799" s="1">
        <f>IF(Data!B799&gt;0,Data!B799,"")</f>
        <v/>
      </c>
      <c r="C799" s="1">
        <f>IF(Data!C799&gt;0,Data!C799,"")</f>
        <v/>
      </c>
      <c r="D799" s="1">
        <f>IF(Data!D799&gt;0,Data!D799,"")</f>
        <v/>
      </c>
      <c r="E799" s="1">
        <f>IF(Data!E799&gt;0,Data!E799,"")</f>
        <v/>
      </c>
      <c r="F799" s="1">
        <f>IF(Data!F799&gt;0,Data!F799,"")</f>
        <v/>
      </c>
      <c r="G799" s="1">
        <f>IF(Data!G799&gt;0,Data!G799,"")</f>
        <v/>
      </c>
      <c r="H799" s="1">
        <f>IF(Data!H799&gt;0,Data!H799,"")</f>
        <v/>
      </c>
      <c r="I799" s="1">
        <f>IF(Data!I799&gt;0,Data!I799,"")</f>
        <v/>
      </c>
      <c r="J799" s="1">
        <f>IF(Data!J799&gt;0,Data!J799,"")</f>
        <v/>
      </c>
      <c r="K799" s="1">
        <f>IF(Data!K799&gt;0,Data!K799,"")</f>
        <v/>
      </c>
      <c r="L799" s="1">
        <f>IF(Data!L799&gt;0,Data!L799,"")</f>
        <v/>
      </c>
      <c r="M799" s="1">
        <f>IF(Data!M799&gt;0,Data!M799,"")</f>
        <v/>
      </c>
      <c r="N799" s="1">
        <f>IF(Data!N799&gt;0,Data!N799,"")</f>
        <v/>
      </c>
      <c r="O799" s="1">
        <f>IF(Data!O799&gt;0,Data!O799,"")</f>
        <v/>
      </c>
      <c r="P799" s="1">
        <f>IF(Data!P799&gt;0,Data!P799,"")</f>
        <v/>
      </c>
      <c r="Q799" s="1">
        <f>IF(Data!Q799&gt;0,Data!Q799,"")</f>
        <v/>
      </c>
      <c r="R799" s="1">
        <f>IF(Data!R799&gt;0,Data!R799,"")</f>
        <v/>
      </c>
      <c r="S799" s="1">
        <f>IF(Data!S799&gt;0,Data!S799,"")</f>
        <v/>
      </c>
      <c r="V799" s="3">
        <f>IF(COUNT(D799,J799,K799,L799,M799,O799)&gt;0,AVERAGE(D799,J799,K799,L799,M799,O799),"")</f>
        <v/>
      </c>
      <c r="W799" s="3">
        <f>IF(COUNT(C799,F799,G799,N799,Q799)&gt;0,AVERAGE(C799,F799,G799,N799,Q799),"")</f>
        <v/>
      </c>
      <c r="X799" s="3">
        <f>IF(COUNT(B799,E799,H799,I799,P799,R799,S799)&gt;0,AVERAGE(B799,E799,H799,I799,P799,R799,S799),"")</f>
        <v/>
      </c>
      <c r="Y799" s="3" t="n"/>
      <c r="AJ799">
        <f>IFERROR(AVERAGEIF($A$4:$A$1004,AI799,$V$4:$V$1004),"")</f>
        <v/>
      </c>
      <c r="AK799">
        <f>IFERROR(AVERAGEIF($A$4:$A$1004,AI799,$W$4:$W$1004),"")</f>
        <v/>
      </c>
      <c r="AL799">
        <f>IFERROR(AVERAGEIF($A$4:$A$1004,AI799,$X$4:$X$1004),"")</f>
        <v/>
      </c>
    </row>
    <row r="800">
      <c r="A800" s="1">
        <f>IF(Data!A800&gt;0,Data!A800,"")</f>
        <v/>
      </c>
      <c r="B800" s="1">
        <f>IF(Data!B800&gt;0,Data!B800,"")</f>
        <v/>
      </c>
      <c r="C800" s="1">
        <f>IF(Data!C800&gt;0,Data!C800,"")</f>
        <v/>
      </c>
      <c r="D800" s="1">
        <f>IF(Data!D800&gt;0,Data!D800,"")</f>
        <v/>
      </c>
      <c r="E800" s="1">
        <f>IF(Data!E800&gt;0,Data!E800,"")</f>
        <v/>
      </c>
      <c r="F800" s="1">
        <f>IF(Data!F800&gt;0,Data!F800,"")</f>
        <v/>
      </c>
      <c r="G800" s="1">
        <f>IF(Data!G800&gt;0,Data!G800,"")</f>
        <v/>
      </c>
      <c r="H800" s="1">
        <f>IF(Data!H800&gt;0,Data!H800,"")</f>
        <v/>
      </c>
      <c r="I800" s="1">
        <f>IF(Data!I800&gt;0,Data!I800,"")</f>
        <v/>
      </c>
      <c r="J800" s="1">
        <f>IF(Data!J800&gt;0,Data!J800,"")</f>
        <v/>
      </c>
      <c r="K800" s="1">
        <f>IF(Data!K800&gt;0,Data!K800,"")</f>
        <v/>
      </c>
      <c r="L800" s="1">
        <f>IF(Data!L800&gt;0,Data!L800,"")</f>
        <v/>
      </c>
      <c r="M800" s="1">
        <f>IF(Data!M800&gt;0,Data!M800,"")</f>
        <v/>
      </c>
      <c r="N800" s="1">
        <f>IF(Data!N800&gt;0,Data!N800,"")</f>
        <v/>
      </c>
      <c r="O800" s="1">
        <f>IF(Data!O800&gt;0,Data!O800,"")</f>
        <v/>
      </c>
      <c r="P800" s="1">
        <f>IF(Data!P800&gt;0,Data!P800,"")</f>
        <v/>
      </c>
      <c r="Q800" s="1">
        <f>IF(Data!Q800&gt;0,Data!Q800,"")</f>
        <v/>
      </c>
      <c r="R800" s="1">
        <f>IF(Data!R800&gt;0,Data!R800,"")</f>
        <v/>
      </c>
      <c r="S800" s="1">
        <f>IF(Data!S800&gt;0,Data!S800,"")</f>
        <v/>
      </c>
      <c r="V800" s="3">
        <f>IF(COUNT(D800,J800,K800,L800,M800,O800)&gt;0,AVERAGE(D800,J800,K800,L800,M800,O800),"")</f>
        <v/>
      </c>
      <c r="W800" s="3">
        <f>IF(COUNT(C800,F800,G800,N800,Q800)&gt;0,AVERAGE(C800,F800,G800,N800,Q800),"")</f>
        <v/>
      </c>
      <c r="X800" s="3">
        <f>IF(COUNT(B800,E800,H800,I800,P800,R800,S800)&gt;0,AVERAGE(B800,E800,H800,I800,P800,R800,S800),"")</f>
        <v/>
      </c>
      <c r="Y800" s="3" t="n"/>
      <c r="AJ800">
        <f>IFERROR(AVERAGEIF($A$4:$A$1004,AI800,$V$4:$V$1004),"")</f>
        <v/>
      </c>
      <c r="AK800">
        <f>IFERROR(AVERAGEIF($A$4:$A$1004,AI800,$W$4:$W$1004),"")</f>
        <v/>
      </c>
      <c r="AL800">
        <f>IFERROR(AVERAGEIF($A$4:$A$1004,AI800,$X$4:$X$1004),"")</f>
        <v/>
      </c>
    </row>
    <row r="801">
      <c r="A801" s="1">
        <f>IF(Data!A801&gt;0,Data!A801,"")</f>
        <v/>
      </c>
      <c r="B801" s="1">
        <f>IF(Data!B801&gt;0,Data!B801,"")</f>
        <v/>
      </c>
      <c r="C801" s="1">
        <f>IF(Data!C801&gt;0,Data!C801,"")</f>
        <v/>
      </c>
      <c r="D801" s="1">
        <f>IF(Data!D801&gt;0,Data!D801,"")</f>
        <v/>
      </c>
      <c r="E801" s="1">
        <f>IF(Data!E801&gt;0,Data!E801,"")</f>
        <v/>
      </c>
      <c r="F801" s="1">
        <f>IF(Data!F801&gt;0,Data!F801,"")</f>
        <v/>
      </c>
      <c r="G801" s="1">
        <f>IF(Data!G801&gt;0,Data!G801,"")</f>
        <v/>
      </c>
      <c r="H801" s="1">
        <f>IF(Data!H801&gt;0,Data!H801,"")</f>
        <v/>
      </c>
      <c r="I801" s="1">
        <f>IF(Data!I801&gt;0,Data!I801,"")</f>
        <v/>
      </c>
      <c r="J801" s="1">
        <f>IF(Data!J801&gt;0,Data!J801,"")</f>
        <v/>
      </c>
      <c r="K801" s="1">
        <f>IF(Data!K801&gt;0,Data!K801,"")</f>
        <v/>
      </c>
      <c r="L801" s="1">
        <f>IF(Data!L801&gt;0,Data!L801,"")</f>
        <v/>
      </c>
      <c r="M801" s="1">
        <f>IF(Data!M801&gt;0,Data!M801,"")</f>
        <v/>
      </c>
      <c r="N801" s="1">
        <f>IF(Data!N801&gt;0,Data!N801,"")</f>
        <v/>
      </c>
      <c r="O801" s="1">
        <f>IF(Data!O801&gt;0,Data!O801,"")</f>
        <v/>
      </c>
      <c r="P801" s="1">
        <f>IF(Data!P801&gt;0,Data!P801,"")</f>
        <v/>
      </c>
      <c r="Q801" s="1">
        <f>IF(Data!Q801&gt;0,Data!Q801,"")</f>
        <v/>
      </c>
      <c r="R801" s="1">
        <f>IF(Data!R801&gt;0,Data!R801,"")</f>
        <v/>
      </c>
      <c r="S801" s="1">
        <f>IF(Data!S801&gt;0,Data!S801,"")</f>
        <v/>
      </c>
      <c r="V801" s="3">
        <f>IF(COUNT(D801,J801,K801,L801,M801,O801)&gt;0,AVERAGE(D801,J801,K801,L801,M801,O801),"")</f>
        <v/>
      </c>
      <c r="W801" s="3">
        <f>IF(COUNT(C801,F801,G801,N801,Q801)&gt;0,AVERAGE(C801,F801,G801,N801,Q801),"")</f>
        <v/>
      </c>
      <c r="X801" s="3">
        <f>IF(COUNT(B801,E801,H801,I801,P801,R801,S801)&gt;0,AVERAGE(B801,E801,H801,I801,P801,R801,S801),"")</f>
        <v/>
      </c>
      <c r="Y801" s="3" t="n"/>
      <c r="AJ801">
        <f>IFERROR(AVERAGEIF($A$4:$A$1004,AI801,$V$4:$V$1004),"")</f>
        <v/>
      </c>
      <c r="AK801">
        <f>IFERROR(AVERAGEIF($A$4:$A$1004,AI801,$W$4:$W$1004),"")</f>
        <v/>
      </c>
      <c r="AL801">
        <f>IFERROR(AVERAGEIF($A$4:$A$1004,AI801,$X$4:$X$1004),"")</f>
        <v/>
      </c>
    </row>
    <row r="802">
      <c r="A802" s="1">
        <f>IF(Data!A802&gt;0,Data!A802,"")</f>
        <v/>
      </c>
      <c r="B802" s="1">
        <f>IF(Data!B802&gt;0,Data!B802,"")</f>
        <v/>
      </c>
      <c r="C802" s="1">
        <f>IF(Data!C802&gt;0,Data!C802,"")</f>
        <v/>
      </c>
      <c r="D802" s="1">
        <f>IF(Data!D802&gt;0,Data!D802,"")</f>
        <v/>
      </c>
      <c r="E802" s="1">
        <f>IF(Data!E802&gt;0,Data!E802,"")</f>
        <v/>
      </c>
      <c r="F802" s="1">
        <f>IF(Data!F802&gt;0,Data!F802,"")</f>
        <v/>
      </c>
      <c r="G802" s="1">
        <f>IF(Data!G802&gt;0,Data!G802,"")</f>
        <v/>
      </c>
      <c r="H802" s="1">
        <f>IF(Data!H802&gt;0,Data!H802,"")</f>
        <v/>
      </c>
      <c r="I802" s="1">
        <f>IF(Data!I802&gt;0,Data!I802,"")</f>
        <v/>
      </c>
      <c r="J802" s="1">
        <f>IF(Data!J802&gt;0,Data!J802,"")</f>
        <v/>
      </c>
      <c r="K802" s="1">
        <f>IF(Data!K802&gt;0,Data!K802,"")</f>
        <v/>
      </c>
      <c r="L802" s="1">
        <f>IF(Data!L802&gt;0,Data!L802,"")</f>
        <v/>
      </c>
      <c r="M802" s="1">
        <f>IF(Data!M802&gt;0,Data!M802,"")</f>
        <v/>
      </c>
      <c r="N802" s="1">
        <f>IF(Data!N802&gt;0,Data!N802,"")</f>
        <v/>
      </c>
      <c r="O802" s="1">
        <f>IF(Data!O802&gt;0,Data!O802,"")</f>
        <v/>
      </c>
      <c r="P802" s="1">
        <f>IF(Data!P802&gt;0,Data!P802,"")</f>
        <v/>
      </c>
      <c r="Q802" s="1">
        <f>IF(Data!Q802&gt;0,Data!Q802,"")</f>
        <v/>
      </c>
      <c r="R802" s="1">
        <f>IF(Data!R802&gt;0,Data!R802,"")</f>
        <v/>
      </c>
      <c r="S802" s="1">
        <f>IF(Data!S802&gt;0,Data!S802,"")</f>
        <v/>
      </c>
      <c r="V802" s="3">
        <f>IF(COUNT(D802,J802,K802,L802,M802,O802)&gt;0,AVERAGE(D802,J802,K802,L802,M802,O802),"")</f>
        <v/>
      </c>
      <c r="W802" s="3">
        <f>IF(COUNT(C802,F802,G802,N802,Q802)&gt;0,AVERAGE(C802,F802,G802,N802,Q802),"")</f>
        <v/>
      </c>
      <c r="X802" s="3">
        <f>IF(COUNT(B802,E802,H802,I802,P802,R802,S802)&gt;0,AVERAGE(B802,E802,H802,I802,P802,R802,S802),"")</f>
        <v/>
      </c>
      <c r="Y802" s="3" t="n"/>
      <c r="AJ802">
        <f>IFERROR(AVERAGEIF($A$4:$A$1004,AI802,$V$4:$V$1004),"")</f>
        <v/>
      </c>
      <c r="AK802">
        <f>IFERROR(AVERAGEIF($A$4:$A$1004,AI802,$W$4:$W$1004),"")</f>
        <v/>
      </c>
      <c r="AL802">
        <f>IFERROR(AVERAGEIF($A$4:$A$1004,AI802,$X$4:$X$1004),"")</f>
        <v/>
      </c>
    </row>
    <row r="803">
      <c r="A803" s="1">
        <f>IF(Data!A803&gt;0,Data!A803,"")</f>
        <v/>
      </c>
      <c r="B803" s="1">
        <f>IF(Data!B803&gt;0,Data!B803,"")</f>
        <v/>
      </c>
      <c r="C803" s="1">
        <f>IF(Data!C803&gt;0,Data!C803,"")</f>
        <v/>
      </c>
      <c r="D803" s="1">
        <f>IF(Data!D803&gt;0,Data!D803,"")</f>
        <v/>
      </c>
      <c r="E803" s="1">
        <f>IF(Data!E803&gt;0,Data!E803,"")</f>
        <v/>
      </c>
      <c r="F803" s="1">
        <f>IF(Data!F803&gt;0,Data!F803,"")</f>
        <v/>
      </c>
      <c r="G803" s="1">
        <f>IF(Data!G803&gt;0,Data!G803,"")</f>
        <v/>
      </c>
      <c r="H803" s="1">
        <f>IF(Data!H803&gt;0,Data!H803,"")</f>
        <v/>
      </c>
      <c r="I803" s="1">
        <f>IF(Data!I803&gt;0,Data!I803,"")</f>
        <v/>
      </c>
      <c r="J803" s="1">
        <f>IF(Data!J803&gt;0,Data!J803,"")</f>
        <v/>
      </c>
      <c r="K803" s="1">
        <f>IF(Data!K803&gt;0,Data!K803,"")</f>
        <v/>
      </c>
      <c r="L803" s="1">
        <f>IF(Data!L803&gt;0,Data!L803,"")</f>
        <v/>
      </c>
      <c r="M803" s="1">
        <f>IF(Data!M803&gt;0,Data!M803,"")</f>
        <v/>
      </c>
      <c r="N803" s="1">
        <f>IF(Data!N803&gt;0,Data!N803,"")</f>
        <v/>
      </c>
      <c r="O803" s="1">
        <f>IF(Data!O803&gt;0,Data!O803,"")</f>
        <v/>
      </c>
      <c r="P803" s="1">
        <f>IF(Data!P803&gt;0,Data!P803,"")</f>
        <v/>
      </c>
      <c r="Q803" s="1">
        <f>IF(Data!Q803&gt;0,Data!Q803,"")</f>
        <v/>
      </c>
      <c r="R803" s="1">
        <f>IF(Data!R803&gt;0,Data!R803,"")</f>
        <v/>
      </c>
      <c r="S803" s="1">
        <f>IF(Data!S803&gt;0,Data!S803,"")</f>
        <v/>
      </c>
      <c r="V803" s="3">
        <f>IF(COUNT(D803,J803,K803,L803,M803,O803)&gt;0,AVERAGE(D803,J803,K803,L803,M803,O803),"")</f>
        <v/>
      </c>
      <c r="W803" s="3">
        <f>IF(COUNT(C803,F803,G803,N803,Q803)&gt;0,AVERAGE(C803,F803,G803,N803,Q803),"")</f>
        <v/>
      </c>
      <c r="X803" s="3">
        <f>IF(COUNT(B803,E803,H803,I803,P803,R803,S803)&gt;0,AVERAGE(B803,E803,H803,I803,P803,R803,S803),"")</f>
        <v/>
      </c>
      <c r="Y803" s="3" t="n"/>
      <c r="AJ803">
        <f>IFERROR(AVERAGEIF($A$4:$A$1004,AI803,$V$4:$V$1004),"")</f>
        <v/>
      </c>
      <c r="AK803">
        <f>IFERROR(AVERAGEIF($A$4:$A$1004,AI803,$W$4:$W$1004),"")</f>
        <v/>
      </c>
      <c r="AL803">
        <f>IFERROR(AVERAGEIF($A$4:$A$1004,AI803,$X$4:$X$1004),"")</f>
        <v/>
      </c>
    </row>
    <row r="804">
      <c r="A804" s="1">
        <f>IF(Data!A804&gt;0,Data!A804,"")</f>
        <v/>
      </c>
      <c r="B804" s="1">
        <f>IF(Data!B804&gt;0,Data!B804,"")</f>
        <v/>
      </c>
      <c r="C804" s="1">
        <f>IF(Data!C804&gt;0,Data!C804,"")</f>
        <v/>
      </c>
      <c r="D804" s="1">
        <f>IF(Data!D804&gt;0,Data!D804,"")</f>
        <v/>
      </c>
      <c r="E804" s="1">
        <f>IF(Data!E804&gt;0,Data!E804,"")</f>
        <v/>
      </c>
      <c r="F804" s="1">
        <f>IF(Data!F804&gt;0,Data!F804,"")</f>
        <v/>
      </c>
      <c r="G804" s="1">
        <f>IF(Data!G804&gt;0,Data!G804,"")</f>
        <v/>
      </c>
      <c r="H804" s="1">
        <f>IF(Data!H804&gt;0,Data!H804,"")</f>
        <v/>
      </c>
      <c r="I804" s="1">
        <f>IF(Data!I804&gt;0,Data!I804,"")</f>
        <v/>
      </c>
      <c r="J804" s="1">
        <f>IF(Data!J804&gt;0,Data!J804,"")</f>
        <v/>
      </c>
      <c r="K804" s="1">
        <f>IF(Data!K804&gt;0,Data!K804,"")</f>
        <v/>
      </c>
      <c r="L804" s="1">
        <f>IF(Data!L804&gt;0,Data!L804,"")</f>
        <v/>
      </c>
      <c r="M804" s="1">
        <f>IF(Data!M804&gt;0,Data!M804,"")</f>
        <v/>
      </c>
      <c r="N804" s="1">
        <f>IF(Data!N804&gt;0,Data!N804,"")</f>
        <v/>
      </c>
      <c r="O804" s="1">
        <f>IF(Data!O804&gt;0,Data!O804,"")</f>
        <v/>
      </c>
      <c r="P804" s="1">
        <f>IF(Data!P804&gt;0,Data!P804,"")</f>
        <v/>
      </c>
      <c r="Q804" s="1">
        <f>IF(Data!Q804&gt;0,Data!Q804,"")</f>
        <v/>
      </c>
      <c r="R804" s="1">
        <f>IF(Data!R804&gt;0,Data!R804,"")</f>
        <v/>
      </c>
      <c r="S804" s="1">
        <f>IF(Data!S804&gt;0,Data!S804,"")</f>
        <v/>
      </c>
      <c r="V804" s="3">
        <f>IF(COUNT(D804,J804,K804,L804,M804,O804)&gt;0,AVERAGE(D804,J804,K804,L804,M804,O804),"")</f>
        <v/>
      </c>
      <c r="W804" s="3">
        <f>IF(COUNT(C804,F804,G804,N804,Q804)&gt;0,AVERAGE(C804,F804,G804,N804,Q804),"")</f>
        <v/>
      </c>
      <c r="X804" s="3">
        <f>IF(COUNT(B804,E804,H804,I804,P804,R804,S804)&gt;0,AVERAGE(B804,E804,H804,I804,P804,R804,S804),"")</f>
        <v/>
      </c>
      <c r="Y804" s="3" t="n"/>
      <c r="AJ804">
        <f>IFERROR(AVERAGEIF($A$4:$A$1004,AI804,$V$4:$V$1004),"")</f>
        <v/>
      </c>
      <c r="AK804">
        <f>IFERROR(AVERAGEIF($A$4:$A$1004,AI804,$W$4:$W$1004),"")</f>
        <v/>
      </c>
      <c r="AL804">
        <f>IFERROR(AVERAGEIF($A$4:$A$1004,AI804,$X$4:$X$1004),"")</f>
        <v/>
      </c>
    </row>
    <row r="805">
      <c r="A805" s="1">
        <f>IF(Data!A805&gt;0,Data!A805,"")</f>
        <v/>
      </c>
      <c r="B805" s="1">
        <f>IF(Data!B805&gt;0,Data!B805,"")</f>
        <v/>
      </c>
      <c r="C805" s="1">
        <f>IF(Data!C805&gt;0,Data!C805,"")</f>
        <v/>
      </c>
      <c r="D805" s="1">
        <f>IF(Data!D805&gt;0,Data!D805,"")</f>
        <v/>
      </c>
      <c r="E805" s="1">
        <f>IF(Data!E805&gt;0,Data!E805,"")</f>
        <v/>
      </c>
      <c r="F805" s="1">
        <f>IF(Data!F805&gt;0,Data!F805,"")</f>
        <v/>
      </c>
      <c r="G805" s="1">
        <f>IF(Data!G805&gt;0,Data!G805,"")</f>
        <v/>
      </c>
      <c r="H805" s="1">
        <f>IF(Data!H805&gt;0,Data!H805,"")</f>
        <v/>
      </c>
      <c r="I805" s="1">
        <f>IF(Data!I805&gt;0,Data!I805,"")</f>
        <v/>
      </c>
      <c r="J805" s="1">
        <f>IF(Data!J805&gt;0,Data!J805,"")</f>
        <v/>
      </c>
      <c r="K805" s="1">
        <f>IF(Data!K805&gt;0,Data!K805,"")</f>
        <v/>
      </c>
      <c r="L805" s="1">
        <f>IF(Data!L805&gt;0,Data!L805,"")</f>
        <v/>
      </c>
      <c r="M805" s="1">
        <f>IF(Data!M805&gt;0,Data!M805,"")</f>
        <v/>
      </c>
      <c r="N805" s="1">
        <f>IF(Data!N805&gt;0,Data!N805,"")</f>
        <v/>
      </c>
      <c r="O805" s="1">
        <f>IF(Data!O805&gt;0,Data!O805,"")</f>
        <v/>
      </c>
      <c r="P805" s="1">
        <f>IF(Data!P805&gt;0,Data!P805,"")</f>
        <v/>
      </c>
      <c r="Q805" s="1">
        <f>IF(Data!Q805&gt;0,Data!Q805,"")</f>
        <v/>
      </c>
      <c r="R805" s="1">
        <f>IF(Data!R805&gt;0,Data!R805,"")</f>
        <v/>
      </c>
      <c r="S805" s="1">
        <f>IF(Data!S805&gt;0,Data!S805,"")</f>
        <v/>
      </c>
      <c r="V805" s="3">
        <f>IF(COUNT(D805,J805,K805,L805,M805,O805)&gt;0,AVERAGE(D805,J805,K805,L805,M805,O805),"")</f>
        <v/>
      </c>
      <c r="W805" s="3">
        <f>IF(COUNT(C805,F805,G805,N805,Q805)&gt;0,AVERAGE(C805,F805,G805,N805,Q805),"")</f>
        <v/>
      </c>
      <c r="X805" s="3">
        <f>IF(COUNT(B805,E805,H805,I805,P805,R805,S805)&gt;0,AVERAGE(B805,E805,H805,I805,P805,R805,S805),"")</f>
        <v/>
      </c>
      <c r="Y805" s="3" t="n"/>
      <c r="AJ805">
        <f>IFERROR(AVERAGEIF($A$4:$A$1004,AI805,$V$4:$V$1004),"")</f>
        <v/>
      </c>
      <c r="AK805">
        <f>IFERROR(AVERAGEIF($A$4:$A$1004,AI805,$W$4:$W$1004),"")</f>
        <v/>
      </c>
      <c r="AL805">
        <f>IFERROR(AVERAGEIF($A$4:$A$1004,AI805,$X$4:$X$1004),"")</f>
        <v/>
      </c>
    </row>
    <row r="806">
      <c r="A806" s="1">
        <f>IF(Data!A806&gt;0,Data!A806,"")</f>
        <v/>
      </c>
      <c r="B806" s="1">
        <f>IF(Data!B806&gt;0,Data!B806,"")</f>
        <v/>
      </c>
      <c r="C806" s="1">
        <f>IF(Data!C806&gt;0,Data!C806,"")</f>
        <v/>
      </c>
      <c r="D806" s="1">
        <f>IF(Data!D806&gt;0,Data!D806,"")</f>
        <v/>
      </c>
      <c r="E806" s="1">
        <f>IF(Data!E806&gt;0,Data!E806,"")</f>
        <v/>
      </c>
      <c r="F806" s="1">
        <f>IF(Data!F806&gt;0,Data!F806,"")</f>
        <v/>
      </c>
      <c r="G806" s="1">
        <f>IF(Data!G806&gt;0,Data!G806,"")</f>
        <v/>
      </c>
      <c r="H806" s="1">
        <f>IF(Data!H806&gt;0,Data!H806,"")</f>
        <v/>
      </c>
      <c r="I806" s="1">
        <f>IF(Data!I806&gt;0,Data!I806,"")</f>
        <v/>
      </c>
      <c r="J806" s="1">
        <f>IF(Data!J806&gt;0,Data!J806,"")</f>
        <v/>
      </c>
      <c r="K806" s="1">
        <f>IF(Data!K806&gt;0,Data!K806,"")</f>
        <v/>
      </c>
      <c r="L806" s="1">
        <f>IF(Data!L806&gt;0,Data!L806,"")</f>
        <v/>
      </c>
      <c r="M806" s="1">
        <f>IF(Data!M806&gt;0,Data!M806,"")</f>
        <v/>
      </c>
      <c r="N806" s="1">
        <f>IF(Data!N806&gt;0,Data!N806,"")</f>
        <v/>
      </c>
      <c r="O806" s="1">
        <f>IF(Data!O806&gt;0,Data!O806,"")</f>
        <v/>
      </c>
      <c r="P806" s="1">
        <f>IF(Data!P806&gt;0,Data!P806,"")</f>
        <v/>
      </c>
      <c r="Q806" s="1">
        <f>IF(Data!Q806&gt;0,Data!Q806,"")</f>
        <v/>
      </c>
      <c r="R806" s="1">
        <f>IF(Data!R806&gt;0,Data!R806,"")</f>
        <v/>
      </c>
      <c r="S806" s="1">
        <f>IF(Data!S806&gt;0,Data!S806,"")</f>
        <v/>
      </c>
      <c r="V806" s="3">
        <f>IF(COUNT(D806,J806,K806,L806,M806,O806)&gt;0,AVERAGE(D806,J806,K806,L806,M806,O806),"")</f>
        <v/>
      </c>
      <c r="W806" s="3">
        <f>IF(COUNT(C806,F806,G806,N806,Q806)&gt;0,AVERAGE(C806,F806,G806,N806,Q806),"")</f>
        <v/>
      </c>
      <c r="X806" s="3">
        <f>IF(COUNT(B806,E806,H806,I806,P806,R806,S806)&gt;0,AVERAGE(B806,E806,H806,I806,P806,R806,S806),"")</f>
        <v/>
      </c>
      <c r="Y806" s="3" t="n"/>
      <c r="AJ806">
        <f>IFERROR(AVERAGEIF($A$4:$A$1004,AI806,$V$4:$V$1004),"")</f>
        <v/>
      </c>
      <c r="AK806">
        <f>IFERROR(AVERAGEIF($A$4:$A$1004,AI806,$W$4:$W$1004),"")</f>
        <v/>
      </c>
      <c r="AL806">
        <f>IFERROR(AVERAGEIF($A$4:$A$1004,AI806,$X$4:$X$1004),"")</f>
        <v/>
      </c>
    </row>
    <row r="807">
      <c r="A807" s="1">
        <f>IF(Data!A807&gt;0,Data!A807,"")</f>
        <v/>
      </c>
      <c r="B807" s="1">
        <f>IF(Data!B807&gt;0,Data!B807,"")</f>
        <v/>
      </c>
      <c r="C807" s="1">
        <f>IF(Data!C807&gt;0,Data!C807,"")</f>
        <v/>
      </c>
      <c r="D807" s="1">
        <f>IF(Data!D807&gt;0,Data!D807,"")</f>
        <v/>
      </c>
      <c r="E807" s="1">
        <f>IF(Data!E807&gt;0,Data!E807,"")</f>
        <v/>
      </c>
      <c r="F807" s="1">
        <f>IF(Data!F807&gt;0,Data!F807,"")</f>
        <v/>
      </c>
      <c r="G807" s="1">
        <f>IF(Data!G807&gt;0,Data!G807,"")</f>
        <v/>
      </c>
      <c r="H807" s="1">
        <f>IF(Data!H807&gt;0,Data!H807,"")</f>
        <v/>
      </c>
      <c r="I807" s="1">
        <f>IF(Data!I807&gt;0,Data!I807,"")</f>
        <v/>
      </c>
      <c r="J807" s="1">
        <f>IF(Data!J807&gt;0,Data!J807,"")</f>
        <v/>
      </c>
      <c r="K807" s="1">
        <f>IF(Data!K807&gt;0,Data!K807,"")</f>
        <v/>
      </c>
      <c r="L807" s="1">
        <f>IF(Data!L807&gt;0,Data!L807,"")</f>
        <v/>
      </c>
      <c r="M807" s="1">
        <f>IF(Data!M807&gt;0,Data!M807,"")</f>
        <v/>
      </c>
      <c r="N807" s="1">
        <f>IF(Data!N807&gt;0,Data!N807,"")</f>
        <v/>
      </c>
      <c r="O807" s="1">
        <f>IF(Data!O807&gt;0,Data!O807,"")</f>
        <v/>
      </c>
      <c r="P807" s="1">
        <f>IF(Data!P807&gt;0,Data!P807,"")</f>
        <v/>
      </c>
      <c r="Q807" s="1">
        <f>IF(Data!Q807&gt;0,Data!Q807,"")</f>
        <v/>
      </c>
      <c r="R807" s="1">
        <f>IF(Data!R807&gt;0,Data!R807,"")</f>
        <v/>
      </c>
      <c r="S807" s="1">
        <f>IF(Data!S807&gt;0,Data!S807,"")</f>
        <v/>
      </c>
      <c r="V807" s="3">
        <f>IF(COUNT(D807,J807,K807,L807,M807,O807)&gt;0,AVERAGE(D807,J807,K807,L807,M807,O807),"")</f>
        <v/>
      </c>
      <c r="W807" s="3">
        <f>IF(COUNT(C807,F807,G807,N807,Q807)&gt;0,AVERAGE(C807,F807,G807,N807,Q807),"")</f>
        <v/>
      </c>
      <c r="X807" s="3">
        <f>IF(COUNT(B807,E807,H807,I807,P807,R807,S807)&gt;0,AVERAGE(B807,E807,H807,I807,P807,R807,S807),"")</f>
        <v/>
      </c>
      <c r="Y807" s="3" t="n"/>
      <c r="AJ807">
        <f>IFERROR(AVERAGEIF($A$4:$A$1004,AI807,$V$4:$V$1004),"")</f>
        <v/>
      </c>
      <c r="AK807">
        <f>IFERROR(AVERAGEIF($A$4:$A$1004,AI807,$W$4:$W$1004),"")</f>
        <v/>
      </c>
      <c r="AL807">
        <f>IFERROR(AVERAGEIF($A$4:$A$1004,AI807,$X$4:$X$1004),"")</f>
        <v/>
      </c>
    </row>
    <row r="808">
      <c r="A808" s="1">
        <f>IF(Data!A808&gt;0,Data!A808,"")</f>
        <v/>
      </c>
      <c r="B808" s="1">
        <f>IF(Data!B808&gt;0,Data!B808,"")</f>
        <v/>
      </c>
      <c r="C808" s="1">
        <f>IF(Data!C808&gt;0,Data!C808,"")</f>
        <v/>
      </c>
      <c r="D808" s="1">
        <f>IF(Data!D808&gt;0,Data!D808,"")</f>
        <v/>
      </c>
      <c r="E808" s="1">
        <f>IF(Data!E808&gt;0,Data!E808,"")</f>
        <v/>
      </c>
      <c r="F808" s="1">
        <f>IF(Data!F808&gt;0,Data!F808,"")</f>
        <v/>
      </c>
      <c r="G808" s="1">
        <f>IF(Data!G808&gt;0,Data!G808,"")</f>
        <v/>
      </c>
      <c r="H808" s="1">
        <f>IF(Data!H808&gt;0,Data!H808,"")</f>
        <v/>
      </c>
      <c r="I808" s="1">
        <f>IF(Data!I808&gt;0,Data!I808,"")</f>
        <v/>
      </c>
      <c r="J808" s="1">
        <f>IF(Data!J808&gt;0,Data!J808,"")</f>
        <v/>
      </c>
      <c r="K808" s="1">
        <f>IF(Data!K808&gt;0,Data!K808,"")</f>
        <v/>
      </c>
      <c r="L808" s="1">
        <f>IF(Data!L808&gt;0,Data!L808,"")</f>
        <v/>
      </c>
      <c r="M808" s="1">
        <f>IF(Data!M808&gt;0,Data!M808,"")</f>
        <v/>
      </c>
      <c r="N808" s="1">
        <f>IF(Data!N808&gt;0,Data!N808,"")</f>
        <v/>
      </c>
      <c r="O808" s="1">
        <f>IF(Data!O808&gt;0,Data!O808,"")</f>
        <v/>
      </c>
      <c r="P808" s="1">
        <f>IF(Data!P808&gt;0,Data!P808,"")</f>
        <v/>
      </c>
      <c r="Q808" s="1">
        <f>IF(Data!Q808&gt;0,Data!Q808,"")</f>
        <v/>
      </c>
      <c r="R808" s="1">
        <f>IF(Data!R808&gt;0,Data!R808,"")</f>
        <v/>
      </c>
      <c r="S808" s="1">
        <f>IF(Data!S808&gt;0,Data!S808,"")</f>
        <v/>
      </c>
      <c r="V808" s="3">
        <f>IF(COUNT(D808,J808,K808,L808,M808,O808)&gt;0,AVERAGE(D808,J808,K808,L808,M808,O808),"")</f>
        <v/>
      </c>
      <c r="W808" s="3">
        <f>IF(COUNT(C808,F808,G808,N808,Q808)&gt;0,AVERAGE(C808,F808,G808,N808,Q808),"")</f>
        <v/>
      </c>
      <c r="X808" s="3">
        <f>IF(COUNT(B808,E808,H808,I808,P808,R808,S808)&gt;0,AVERAGE(B808,E808,H808,I808,P808,R808,S808),"")</f>
        <v/>
      </c>
      <c r="Y808" s="3" t="n"/>
      <c r="AJ808">
        <f>IFERROR(AVERAGEIF($A$4:$A$1004,AI808,$V$4:$V$1004),"")</f>
        <v/>
      </c>
      <c r="AK808">
        <f>IFERROR(AVERAGEIF($A$4:$A$1004,AI808,$W$4:$W$1004),"")</f>
        <v/>
      </c>
      <c r="AL808">
        <f>IFERROR(AVERAGEIF($A$4:$A$1004,AI808,$X$4:$X$1004),"")</f>
        <v/>
      </c>
    </row>
    <row r="809">
      <c r="A809" s="1">
        <f>IF(Data!A809&gt;0,Data!A809,"")</f>
        <v/>
      </c>
      <c r="B809" s="1">
        <f>IF(Data!B809&gt;0,Data!B809,"")</f>
        <v/>
      </c>
      <c r="C809" s="1">
        <f>IF(Data!C809&gt;0,Data!C809,"")</f>
        <v/>
      </c>
      <c r="D809" s="1">
        <f>IF(Data!D809&gt;0,Data!D809,"")</f>
        <v/>
      </c>
      <c r="E809" s="1">
        <f>IF(Data!E809&gt;0,Data!E809,"")</f>
        <v/>
      </c>
      <c r="F809" s="1">
        <f>IF(Data!F809&gt;0,Data!F809,"")</f>
        <v/>
      </c>
      <c r="G809" s="1">
        <f>IF(Data!G809&gt;0,Data!G809,"")</f>
        <v/>
      </c>
      <c r="H809" s="1">
        <f>IF(Data!H809&gt;0,Data!H809,"")</f>
        <v/>
      </c>
      <c r="I809" s="1">
        <f>IF(Data!I809&gt;0,Data!I809,"")</f>
        <v/>
      </c>
      <c r="J809" s="1">
        <f>IF(Data!J809&gt;0,Data!J809,"")</f>
        <v/>
      </c>
      <c r="K809" s="1">
        <f>IF(Data!K809&gt;0,Data!K809,"")</f>
        <v/>
      </c>
      <c r="L809" s="1">
        <f>IF(Data!L809&gt;0,Data!L809,"")</f>
        <v/>
      </c>
      <c r="M809" s="1">
        <f>IF(Data!M809&gt;0,Data!M809,"")</f>
        <v/>
      </c>
      <c r="N809" s="1">
        <f>IF(Data!N809&gt;0,Data!N809,"")</f>
        <v/>
      </c>
      <c r="O809" s="1">
        <f>IF(Data!O809&gt;0,Data!O809,"")</f>
        <v/>
      </c>
      <c r="P809" s="1">
        <f>IF(Data!P809&gt;0,Data!P809,"")</f>
        <v/>
      </c>
      <c r="Q809" s="1">
        <f>IF(Data!Q809&gt;0,Data!Q809,"")</f>
        <v/>
      </c>
      <c r="R809" s="1">
        <f>IF(Data!R809&gt;0,Data!R809,"")</f>
        <v/>
      </c>
      <c r="S809" s="1">
        <f>IF(Data!S809&gt;0,Data!S809,"")</f>
        <v/>
      </c>
      <c r="V809" s="3">
        <f>IF(COUNT(D809,J809,K809,L809,M809,O809)&gt;0,AVERAGE(D809,J809,K809,L809,M809,O809),"")</f>
        <v/>
      </c>
      <c r="W809" s="3">
        <f>IF(COUNT(C809,F809,G809,N809,Q809)&gt;0,AVERAGE(C809,F809,G809,N809,Q809),"")</f>
        <v/>
      </c>
      <c r="X809" s="3">
        <f>IF(COUNT(B809,E809,H809,I809,P809,R809,S809)&gt;0,AVERAGE(B809,E809,H809,I809,P809,R809,S809),"")</f>
        <v/>
      </c>
      <c r="Y809" s="3" t="n"/>
      <c r="AJ809">
        <f>IFERROR(AVERAGEIF($A$4:$A$1004,AI809,$V$4:$V$1004),"")</f>
        <v/>
      </c>
      <c r="AK809">
        <f>IFERROR(AVERAGEIF($A$4:$A$1004,AI809,$W$4:$W$1004),"")</f>
        <v/>
      </c>
      <c r="AL809">
        <f>IFERROR(AVERAGEIF($A$4:$A$1004,AI809,$X$4:$X$1004),"")</f>
        <v/>
      </c>
    </row>
    <row r="810">
      <c r="A810" s="1">
        <f>IF(Data!A810&gt;0,Data!A810,"")</f>
        <v/>
      </c>
      <c r="B810" s="1">
        <f>IF(Data!B810&gt;0,Data!B810,"")</f>
        <v/>
      </c>
      <c r="C810" s="1">
        <f>IF(Data!C810&gt;0,Data!C810,"")</f>
        <v/>
      </c>
      <c r="D810" s="1">
        <f>IF(Data!D810&gt;0,Data!D810,"")</f>
        <v/>
      </c>
      <c r="E810" s="1">
        <f>IF(Data!E810&gt;0,Data!E810,"")</f>
        <v/>
      </c>
      <c r="F810" s="1">
        <f>IF(Data!F810&gt;0,Data!F810,"")</f>
        <v/>
      </c>
      <c r="G810" s="1">
        <f>IF(Data!G810&gt;0,Data!G810,"")</f>
        <v/>
      </c>
      <c r="H810" s="1">
        <f>IF(Data!H810&gt;0,Data!H810,"")</f>
        <v/>
      </c>
      <c r="I810" s="1">
        <f>IF(Data!I810&gt;0,Data!I810,"")</f>
        <v/>
      </c>
      <c r="J810" s="1">
        <f>IF(Data!J810&gt;0,Data!J810,"")</f>
        <v/>
      </c>
      <c r="K810" s="1">
        <f>IF(Data!K810&gt;0,Data!K810,"")</f>
        <v/>
      </c>
      <c r="L810" s="1">
        <f>IF(Data!L810&gt;0,Data!L810,"")</f>
        <v/>
      </c>
      <c r="M810" s="1">
        <f>IF(Data!M810&gt;0,Data!M810,"")</f>
        <v/>
      </c>
      <c r="N810" s="1">
        <f>IF(Data!N810&gt;0,Data!N810,"")</f>
        <v/>
      </c>
      <c r="O810" s="1">
        <f>IF(Data!O810&gt;0,Data!O810,"")</f>
        <v/>
      </c>
      <c r="P810" s="1">
        <f>IF(Data!P810&gt;0,Data!P810,"")</f>
        <v/>
      </c>
      <c r="Q810" s="1">
        <f>IF(Data!Q810&gt;0,Data!Q810,"")</f>
        <v/>
      </c>
      <c r="R810" s="1">
        <f>IF(Data!R810&gt;0,Data!R810,"")</f>
        <v/>
      </c>
      <c r="S810" s="1">
        <f>IF(Data!S810&gt;0,Data!S810,"")</f>
        <v/>
      </c>
      <c r="V810" s="3">
        <f>IF(COUNT(D810,J810,K810,L810,M810,O810)&gt;0,AVERAGE(D810,J810,K810,L810,M810,O810),"")</f>
        <v/>
      </c>
      <c r="W810" s="3">
        <f>IF(COUNT(C810,F810,G810,N810,Q810)&gt;0,AVERAGE(C810,F810,G810,N810,Q810),"")</f>
        <v/>
      </c>
      <c r="X810" s="3">
        <f>IF(COUNT(B810,E810,H810,I810,P810,R810,S810)&gt;0,AVERAGE(B810,E810,H810,I810,P810,R810,S810),"")</f>
        <v/>
      </c>
      <c r="Y810" s="3" t="n"/>
      <c r="AJ810">
        <f>IFERROR(AVERAGEIF($A$4:$A$1004,AI810,$V$4:$V$1004),"")</f>
        <v/>
      </c>
      <c r="AK810">
        <f>IFERROR(AVERAGEIF($A$4:$A$1004,AI810,$W$4:$W$1004),"")</f>
        <v/>
      </c>
      <c r="AL810">
        <f>IFERROR(AVERAGEIF($A$4:$A$1004,AI810,$X$4:$X$1004),"")</f>
        <v/>
      </c>
    </row>
    <row r="811">
      <c r="A811" s="1">
        <f>IF(Data!A811&gt;0,Data!A811,"")</f>
        <v/>
      </c>
      <c r="B811" s="1">
        <f>IF(Data!B811&gt;0,Data!B811,"")</f>
        <v/>
      </c>
      <c r="C811" s="1">
        <f>IF(Data!C811&gt;0,Data!C811,"")</f>
        <v/>
      </c>
      <c r="D811" s="1">
        <f>IF(Data!D811&gt;0,Data!D811,"")</f>
        <v/>
      </c>
      <c r="E811" s="1">
        <f>IF(Data!E811&gt;0,Data!E811,"")</f>
        <v/>
      </c>
      <c r="F811" s="1">
        <f>IF(Data!F811&gt;0,Data!F811,"")</f>
        <v/>
      </c>
      <c r="G811" s="1">
        <f>IF(Data!G811&gt;0,Data!G811,"")</f>
        <v/>
      </c>
      <c r="H811" s="1">
        <f>IF(Data!H811&gt;0,Data!H811,"")</f>
        <v/>
      </c>
      <c r="I811" s="1">
        <f>IF(Data!I811&gt;0,Data!I811,"")</f>
        <v/>
      </c>
      <c r="J811" s="1">
        <f>IF(Data!J811&gt;0,Data!J811,"")</f>
        <v/>
      </c>
      <c r="K811" s="1">
        <f>IF(Data!K811&gt;0,Data!K811,"")</f>
        <v/>
      </c>
      <c r="L811" s="1">
        <f>IF(Data!L811&gt;0,Data!L811,"")</f>
        <v/>
      </c>
      <c r="M811" s="1">
        <f>IF(Data!M811&gt;0,Data!M811,"")</f>
        <v/>
      </c>
      <c r="N811" s="1">
        <f>IF(Data!N811&gt;0,Data!N811,"")</f>
        <v/>
      </c>
      <c r="O811" s="1">
        <f>IF(Data!O811&gt;0,Data!O811,"")</f>
        <v/>
      </c>
      <c r="P811" s="1">
        <f>IF(Data!P811&gt;0,Data!P811,"")</f>
        <v/>
      </c>
      <c r="Q811" s="1">
        <f>IF(Data!Q811&gt;0,Data!Q811,"")</f>
        <v/>
      </c>
      <c r="R811" s="1">
        <f>IF(Data!R811&gt;0,Data!R811,"")</f>
        <v/>
      </c>
      <c r="S811" s="1">
        <f>IF(Data!S811&gt;0,Data!S811,"")</f>
        <v/>
      </c>
      <c r="V811" s="3">
        <f>IF(COUNT(D811,J811,K811,L811,M811,O811)&gt;0,AVERAGE(D811,J811,K811,L811,M811,O811),"")</f>
        <v/>
      </c>
      <c r="W811" s="3">
        <f>IF(COUNT(C811,F811,G811,N811,Q811)&gt;0,AVERAGE(C811,F811,G811,N811,Q811),"")</f>
        <v/>
      </c>
      <c r="X811" s="3">
        <f>IF(COUNT(B811,E811,H811,I811,P811,R811,S811)&gt;0,AVERAGE(B811,E811,H811,I811,P811,R811,S811),"")</f>
        <v/>
      </c>
      <c r="Y811" s="3" t="n"/>
      <c r="AJ811">
        <f>IFERROR(AVERAGEIF($A$4:$A$1004,AI811,$V$4:$V$1004),"")</f>
        <v/>
      </c>
      <c r="AK811">
        <f>IFERROR(AVERAGEIF($A$4:$A$1004,AI811,$W$4:$W$1004),"")</f>
        <v/>
      </c>
      <c r="AL811">
        <f>IFERROR(AVERAGEIF($A$4:$A$1004,AI811,$X$4:$X$1004),"")</f>
        <v/>
      </c>
    </row>
    <row r="812">
      <c r="A812" s="1">
        <f>IF(Data!A812&gt;0,Data!A812,"")</f>
        <v/>
      </c>
      <c r="B812" s="1">
        <f>IF(Data!B812&gt;0,Data!B812,"")</f>
        <v/>
      </c>
      <c r="C812" s="1">
        <f>IF(Data!C812&gt;0,Data!C812,"")</f>
        <v/>
      </c>
      <c r="D812" s="1">
        <f>IF(Data!D812&gt;0,Data!D812,"")</f>
        <v/>
      </c>
      <c r="E812" s="1">
        <f>IF(Data!E812&gt;0,Data!E812,"")</f>
        <v/>
      </c>
      <c r="F812" s="1">
        <f>IF(Data!F812&gt;0,Data!F812,"")</f>
        <v/>
      </c>
      <c r="G812" s="1">
        <f>IF(Data!G812&gt;0,Data!G812,"")</f>
        <v/>
      </c>
      <c r="H812" s="1">
        <f>IF(Data!H812&gt;0,Data!H812,"")</f>
        <v/>
      </c>
      <c r="I812" s="1">
        <f>IF(Data!I812&gt;0,Data!I812,"")</f>
        <v/>
      </c>
      <c r="J812" s="1">
        <f>IF(Data!J812&gt;0,Data!J812,"")</f>
        <v/>
      </c>
      <c r="K812" s="1">
        <f>IF(Data!K812&gt;0,Data!K812,"")</f>
        <v/>
      </c>
      <c r="L812" s="1">
        <f>IF(Data!L812&gt;0,Data!L812,"")</f>
        <v/>
      </c>
      <c r="M812" s="1">
        <f>IF(Data!M812&gt;0,Data!M812,"")</f>
        <v/>
      </c>
      <c r="N812" s="1">
        <f>IF(Data!N812&gt;0,Data!N812,"")</f>
        <v/>
      </c>
      <c r="O812" s="1">
        <f>IF(Data!O812&gt;0,Data!O812,"")</f>
        <v/>
      </c>
      <c r="P812" s="1">
        <f>IF(Data!P812&gt;0,Data!P812,"")</f>
        <v/>
      </c>
      <c r="Q812" s="1">
        <f>IF(Data!Q812&gt;0,Data!Q812,"")</f>
        <v/>
      </c>
      <c r="R812" s="1">
        <f>IF(Data!R812&gt;0,Data!R812,"")</f>
        <v/>
      </c>
      <c r="S812" s="1">
        <f>IF(Data!S812&gt;0,Data!S812,"")</f>
        <v/>
      </c>
      <c r="V812" s="3">
        <f>IF(COUNT(D812,J812,K812,L812,M812,O812)&gt;0,AVERAGE(D812,J812,K812,L812,M812,O812),"")</f>
        <v/>
      </c>
      <c r="W812" s="3">
        <f>IF(COUNT(C812,F812,G812,N812,Q812)&gt;0,AVERAGE(C812,F812,G812,N812,Q812),"")</f>
        <v/>
      </c>
      <c r="X812" s="3">
        <f>IF(COUNT(B812,E812,H812,I812,P812,R812,S812)&gt;0,AVERAGE(B812,E812,H812,I812,P812,R812,S812),"")</f>
        <v/>
      </c>
      <c r="Y812" s="3" t="n"/>
      <c r="AJ812">
        <f>IFERROR(AVERAGEIF($A$4:$A$1004,AI812,$V$4:$V$1004),"")</f>
        <v/>
      </c>
      <c r="AK812">
        <f>IFERROR(AVERAGEIF($A$4:$A$1004,AI812,$W$4:$W$1004),"")</f>
        <v/>
      </c>
      <c r="AL812">
        <f>IFERROR(AVERAGEIF($A$4:$A$1004,AI812,$X$4:$X$1004),"")</f>
        <v/>
      </c>
    </row>
    <row r="813">
      <c r="A813" s="1">
        <f>IF(Data!A813&gt;0,Data!A813,"")</f>
        <v/>
      </c>
      <c r="B813" s="1">
        <f>IF(Data!B813&gt;0,Data!B813,"")</f>
        <v/>
      </c>
      <c r="C813" s="1">
        <f>IF(Data!C813&gt;0,Data!C813,"")</f>
        <v/>
      </c>
      <c r="D813" s="1">
        <f>IF(Data!D813&gt;0,Data!D813,"")</f>
        <v/>
      </c>
      <c r="E813" s="1">
        <f>IF(Data!E813&gt;0,Data!E813,"")</f>
        <v/>
      </c>
      <c r="F813" s="1">
        <f>IF(Data!F813&gt;0,Data!F813,"")</f>
        <v/>
      </c>
      <c r="G813" s="1">
        <f>IF(Data!G813&gt;0,Data!G813,"")</f>
        <v/>
      </c>
      <c r="H813" s="1">
        <f>IF(Data!H813&gt;0,Data!H813,"")</f>
        <v/>
      </c>
      <c r="I813" s="1">
        <f>IF(Data!I813&gt;0,Data!I813,"")</f>
        <v/>
      </c>
      <c r="J813" s="1">
        <f>IF(Data!J813&gt;0,Data!J813,"")</f>
        <v/>
      </c>
      <c r="K813" s="1">
        <f>IF(Data!K813&gt;0,Data!K813,"")</f>
        <v/>
      </c>
      <c r="L813" s="1">
        <f>IF(Data!L813&gt;0,Data!L813,"")</f>
        <v/>
      </c>
      <c r="M813" s="1">
        <f>IF(Data!M813&gt;0,Data!M813,"")</f>
        <v/>
      </c>
      <c r="N813" s="1">
        <f>IF(Data!N813&gt;0,Data!N813,"")</f>
        <v/>
      </c>
      <c r="O813" s="1">
        <f>IF(Data!O813&gt;0,Data!O813,"")</f>
        <v/>
      </c>
      <c r="P813" s="1">
        <f>IF(Data!P813&gt;0,Data!P813,"")</f>
        <v/>
      </c>
      <c r="Q813" s="1">
        <f>IF(Data!Q813&gt;0,Data!Q813,"")</f>
        <v/>
      </c>
      <c r="R813" s="1">
        <f>IF(Data!R813&gt;0,Data!R813,"")</f>
        <v/>
      </c>
      <c r="S813" s="1">
        <f>IF(Data!S813&gt;0,Data!S813,"")</f>
        <v/>
      </c>
      <c r="V813" s="3">
        <f>IF(COUNT(D813,J813,K813,L813,M813,O813)&gt;0,AVERAGE(D813,J813,K813,L813,M813,O813),"")</f>
        <v/>
      </c>
      <c r="W813" s="3">
        <f>IF(COUNT(C813,F813,G813,N813,Q813)&gt;0,AVERAGE(C813,F813,G813,N813,Q813),"")</f>
        <v/>
      </c>
      <c r="X813" s="3">
        <f>IF(COUNT(B813,E813,H813,I813,P813,R813,S813)&gt;0,AVERAGE(B813,E813,H813,I813,P813,R813,S813),"")</f>
        <v/>
      </c>
      <c r="Y813" s="3" t="n"/>
      <c r="AJ813">
        <f>IFERROR(AVERAGEIF($A$4:$A$1004,AI813,$V$4:$V$1004),"")</f>
        <v/>
      </c>
      <c r="AK813">
        <f>IFERROR(AVERAGEIF($A$4:$A$1004,AI813,$W$4:$W$1004),"")</f>
        <v/>
      </c>
      <c r="AL813">
        <f>IFERROR(AVERAGEIF($A$4:$A$1004,AI813,$X$4:$X$1004),"")</f>
        <v/>
      </c>
    </row>
    <row r="814">
      <c r="A814" s="1">
        <f>IF(Data!A814&gt;0,Data!A814,"")</f>
        <v/>
      </c>
      <c r="B814" s="1">
        <f>IF(Data!B814&gt;0,Data!B814,"")</f>
        <v/>
      </c>
      <c r="C814" s="1">
        <f>IF(Data!C814&gt;0,Data!C814,"")</f>
        <v/>
      </c>
      <c r="D814" s="1">
        <f>IF(Data!D814&gt;0,Data!D814,"")</f>
        <v/>
      </c>
      <c r="E814" s="1">
        <f>IF(Data!E814&gt;0,Data!E814,"")</f>
        <v/>
      </c>
      <c r="F814" s="1">
        <f>IF(Data!F814&gt;0,Data!F814,"")</f>
        <v/>
      </c>
      <c r="G814" s="1">
        <f>IF(Data!G814&gt;0,Data!G814,"")</f>
        <v/>
      </c>
      <c r="H814" s="1">
        <f>IF(Data!H814&gt;0,Data!H814,"")</f>
        <v/>
      </c>
      <c r="I814" s="1">
        <f>IF(Data!I814&gt;0,Data!I814,"")</f>
        <v/>
      </c>
      <c r="J814" s="1">
        <f>IF(Data!J814&gt;0,Data!J814,"")</f>
        <v/>
      </c>
      <c r="K814" s="1">
        <f>IF(Data!K814&gt;0,Data!K814,"")</f>
        <v/>
      </c>
      <c r="L814" s="1">
        <f>IF(Data!L814&gt;0,Data!L814,"")</f>
        <v/>
      </c>
      <c r="M814" s="1">
        <f>IF(Data!M814&gt;0,Data!M814,"")</f>
        <v/>
      </c>
      <c r="N814" s="1">
        <f>IF(Data!N814&gt;0,Data!N814,"")</f>
        <v/>
      </c>
      <c r="O814" s="1">
        <f>IF(Data!O814&gt;0,Data!O814,"")</f>
        <v/>
      </c>
      <c r="P814" s="1">
        <f>IF(Data!P814&gt;0,Data!P814,"")</f>
        <v/>
      </c>
      <c r="Q814" s="1">
        <f>IF(Data!Q814&gt;0,Data!Q814,"")</f>
        <v/>
      </c>
      <c r="R814" s="1">
        <f>IF(Data!R814&gt;0,Data!R814,"")</f>
        <v/>
      </c>
      <c r="S814" s="1">
        <f>IF(Data!S814&gt;0,Data!S814,"")</f>
        <v/>
      </c>
      <c r="V814" s="3">
        <f>IF(COUNT(D814,J814,K814,L814,M814,O814)&gt;0,AVERAGE(D814,J814,K814,L814,M814,O814),"")</f>
        <v/>
      </c>
      <c r="W814" s="3">
        <f>IF(COUNT(C814,F814,G814,N814,Q814)&gt;0,AVERAGE(C814,F814,G814,N814,Q814),"")</f>
        <v/>
      </c>
      <c r="X814" s="3">
        <f>IF(COUNT(B814,E814,H814,I814,P814,R814,S814)&gt;0,AVERAGE(B814,E814,H814,I814,P814,R814,S814),"")</f>
        <v/>
      </c>
      <c r="Y814" s="3" t="n"/>
      <c r="AJ814">
        <f>IFERROR(AVERAGEIF($A$4:$A$1004,AI814,$V$4:$V$1004),"")</f>
        <v/>
      </c>
      <c r="AK814">
        <f>IFERROR(AVERAGEIF($A$4:$A$1004,AI814,$W$4:$W$1004),"")</f>
        <v/>
      </c>
      <c r="AL814">
        <f>IFERROR(AVERAGEIF($A$4:$A$1004,AI814,$X$4:$X$1004),"")</f>
        <v/>
      </c>
    </row>
    <row r="815">
      <c r="A815" s="1">
        <f>IF(Data!A815&gt;0,Data!A815,"")</f>
        <v/>
      </c>
      <c r="B815" s="1">
        <f>IF(Data!B815&gt;0,Data!B815,"")</f>
        <v/>
      </c>
      <c r="C815" s="1">
        <f>IF(Data!C815&gt;0,Data!C815,"")</f>
        <v/>
      </c>
      <c r="D815" s="1">
        <f>IF(Data!D815&gt;0,Data!D815,"")</f>
        <v/>
      </c>
      <c r="E815" s="1">
        <f>IF(Data!E815&gt;0,Data!E815,"")</f>
        <v/>
      </c>
      <c r="F815" s="1">
        <f>IF(Data!F815&gt;0,Data!F815,"")</f>
        <v/>
      </c>
      <c r="G815" s="1">
        <f>IF(Data!G815&gt;0,Data!G815,"")</f>
        <v/>
      </c>
      <c r="H815" s="1">
        <f>IF(Data!H815&gt;0,Data!H815,"")</f>
        <v/>
      </c>
      <c r="I815" s="1">
        <f>IF(Data!I815&gt;0,Data!I815,"")</f>
        <v/>
      </c>
      <c r="J815" s="1">
        <f>IF(Data!J815&gt;0,Data!J815,"")</f>
        <v/>
      </c>
      <c r="K815" s="1">
        <f>IF(Data!K815&gt;0,Data!K815,"")</f>
        <v/>
      </c>
      <c r="L815" s="1">
        <f>IF(Data!L815&gt;0,Data!L815,"")</f>
        <v/>
      </c>
      <c r="M815" s="1">
        <f>IF(Data!M815&gt;0,Data!M815,"")</f>
        <v/>
      </c>
      <c r="N815" s="1">
        <f>IF(Data!N815&gt;0,Data!N815,"")</f>
        <v/>
      </c>
      <c r="O815" s="1">
        <f>IF(Data!O815&gt;0,Data!O815,"")</f>
        <v/>
      </c>
      <c r="P815" s="1">
        <f>IF(Data!P815&gt;0,Data!P815,"")</f>
        <v/>
      </c>
      <c r="Q815" s="1">
        <f>IF(Data!Q815&gt;0,Data!Q815,"")</f>
        <v/>
      </c>
      <c r="R815" s="1">
        <f>IF(Data!R815&gt;0,Data!R815,"")</f>
        <v/>
      </c>
      <c r="S815" s="1">
        <f>IF(Data!S815&gt;0,Data!S815,"")</f>
        <v/>
      </c>
      <c r="V815" s="3">
        <f>IF(COUNT(D815,J815,K815,L815,M815,O815)&gt;0,AVERAGE(D815,J815,K815,L815,M815,O815),"")</f>
        <v/>
      </c>
      <c r="W815" s="3">
        <f>IF(COUNT(C815,F815,G815,N815,Q815)&gt;0,AVERAGE(C815,F815,G815,N815,Q815),"")</f>
        <v/>
      </c>
      <c r="X815" s="3">
        <f>IF(COUNT(B815,E815,H815,I815,P815,R815,S815)&gt;0,AVERAGE(B815,E815,H815,I815,P815,R815,S815),"")</f>
        <v/>
      </c>
      <c r="Y815" s="3" t="n"/>
      <c r="AJ815">
        <f>IFERROR(AVERAGEIF($A$4:$A$1004,AI815,$V$4:$V$1004),"")</f>
        <v/>
      </c>
      <c r="AK815">
        <f>IFERROR(AVERAGEIF($A$4:$A$1004,AI815,$W$4:$W$1004),"")</f>
        <v/>
      </c>
      <c r="AL815">
        <f>IFERROR(AVERAGEIF($A$4:$A$1004,AI815,$X$4:$X$1004),"")</f>
        <v/>
      </c>
    </row>
    <row r="816">
      <c r="A816" s="1">
        <f>IF(Data!A816&gt;0,Data!A816,"")</f>
        <v/>
      </c>
      <c r="B816" s="1">
        <f>IF(Data!B816&gt;0,Data!B816,"")</f>
        <v/>
      </c>
      <c r="C816" s="1">
        <f>IF(Data!C816&gt;0,Data!C816,"")</f>
        <v/>
      </c>
      <c r="D816" s="1">
        <f>IF(Data!D816&gt;0,Data!D816,"")</f>
        <v/>
      </c>
      <c r="E816" s="1">
        <f>IF(Data!E816&gt;0,Data!E816,"")</f>
        <v/>
      </c>
      <c r="F816" s="1">
        <f>IF(Data!F816&gt;0,Data!F816,"")</f>
        <v/>
      </c>
      <c r="G816" s="1">
        <f>IF(Data!G816&gt;0,Data!G816,"")</f>
        <v/>
      </c>
      <c r="H816" s="1">
        <f>IF(Data!H816&gt;0,Data!H816,"")</f>
        <v/>
      </c>
      <c r="I816" s="1">
        <f>IF(Data!I816&gt;0,Data!I816,"")</f>
        <v/>
      </c>
      <c r="J816" s="1">
        <f>IF(Data!J816&gt;0,Data!J816,"")</f>
        <v/>
      </c>
      <c r="K816" s="1">
        <f>IF(Data!K816&gt;0,Data!K816,"")</f>
        <v/>
      </c>
      <c r="L816" s="1">
        <f>IF(Data!L816&gt;0,Data!L816,"")</f>
        <v/>
      </c>
      <c r="M816" s="1">
        <f>IF(Data!M816&gt;0,Data!M816,"")</f>
        <v/>
      </c>
      <c r="N816" s="1">
        <f>IF(Data!N816&gt;0,Data!N816,"")</f>
        <v/>
      </c>
      <c r="O816" s="1">
        <f>IF(Data!O816&gt;0,Data!O816,"")</f>
        <v/>
      </c>
      <c r="P816" s="1">
        <f>IF(Data!P816&gt;0,Data!P816,"")</f>
        <v/>
      </c>
      <c r="Q816" s="1">
        <f>IF(Data!Q816&gt;0,Data!Q816,"")</f>
        <v/>
      </c>
      <c r="R816" s="1">
        <f>IF(Data!R816&gt;0,Data!R816,"")</f>
        <v/>
      </c>
      <c r="S816" s="1">
        <f>IF(Data!S816&gt;0,Data!S816,"")</f>
        <v/>
      </c>
      <c r="V816" s="3">
        <f>IF(COUNT(D816,J816,K816,L816,M816,O816)&gt;0,AVERAGE(D816,J816,K816,L816,M816,O816),"")</f>
        <v/>
      </c>
      <c r="W816" s="3">
        <f>IF(COUNT(C816,F816,G816,N816,Q816)&gt;0,AVERAGE(C816,F816,G816,N816,Q816),"")</f>
        <v/>
      </c>
      <c r="X816" s="3">
        <f>IF(COUNT(B816,E816,H816,I816,P816,R816,S816)&gt;0,AVERAGE(B816,E816,H816,I816,P816,R816,S816),"")</f>
        <v/>
      </c>
      <c r="Y816" s="3" t="n"/>
      <c r="AJ816">
        <f>IFERROR(AVERAGEIF($A$4:$A$1004,AI816,$V$4:$V$1004),"")</f>
        <v/>
      </c>
      <c r="AK816">
        <f>IFERROR(AVERAGEIF($A$4:$A$1004,AI816,$W$4:$W$1004),"")</f>
        <v/>
      </c>
      <c r="AL816">
        <f>IFERROR(AVERAGEIF($A$4:$A$1004,AI816,$X$4:$X$1004),"")</f>
        <v/>
      </c>
    </row>
    <row r="817">
      <c r="A817" s="1">
        <f>IF(Data!A817&gt;0,Data!A817,"")</f>
        <v/>
      </c>
      <c r="B817" s="1">
        <f>IF(Data!B817&gt;0,Data!B817,"")</f>
        <v/>
      </c>
      <c r="C817" s="1">
        <f>IF(Data!C817&gt;0,Data!C817,"")</f>
        <v/>
      </c>
      <c r="D817" s="1">
        <f>IF(Data!D817&gt;0,Data!D817,"")</f>
        <v/>
      </c>
      <c r="E817" s="1">
        <f>IF(Data!E817&gt;0,Data!E817,"")</f>
        <v/>
      </c>
      <c r="F817" s="1">
        <f>IF(Data!F817&gt;0,Data!F817,"")</f>
        <v/>
      </c>
      <c r="G817" s="1">
        <f>IF(Data!G817&gt;0,Data!G817,"")</f>
        <v/>
      </c>
      <c r="H817" s="1">
        <f>IF(Data!H817&gt;0,Data!H817,"")</f>
        <v/>
      </c>
      <c r="I817" s="1">
        <f>IF(Data!I817&gt;0,Data!I817,"")</f>
        <v/>
      </c>
      <c r="J817" s="1">
        <f>IF(Data!J817&gt;0,Data!J817,"")</f>
        <v/>
      </c>
      <c r="K817" s="1">
        <f>IF(Data!K817&gt;0,Data!K817,"")</f>
        <v/>
      </c>
      <c r="L817" s="1">
        <f>IF(Data!L817&gt;0,Data!L817,"")</f>
        <v/>
      </c>
      <c r="M817" s="1">
        <f>IF(Data!M817&gt;0,Data!M817,"")</f>
        <v/>
      </c>
      <c r="N817" s="1">
        <f>IF(Data!N817&gt;0,Data!N817,"")</f>
        <v/>
      </c>
      <c r="O817" s="1">
        <f>IF(Data!O817&gt;0,Data!O817,"")</f>
        <v/>
      </c>
      <c r="P817" s="1">
        <f>IF(Data!P817&gt;0,Data!P817,"")</f>
        <v/>
      </c>
      <c r="Q817" s="1">
        <f>IF(Data!Q817&gt;0,Data!Q817,"")</f>
        <v/>
      </c>
      <c r="R817" s="1">
        <f>IF(Data!R817&gt;0,Data!R817,"")</f>
        <v/>
      </c>
      <c r="S817" s="1">
        <f>IF(Data!S817&gt;0,Data!S817,"")</f>
        <v/>
      </c>
      <c r="V817" s="3">
        <f>IF(COUNT(D817,J817,K817,L817,M817,O817)&gt;0,AVERAGE(D817,J817,K817,L817,M817,O817),"")</f>
        <v/>
      </c>
      <c r="W817" s="3">
        <f>IF(COUNT(C817,F817,G817,N817,Q817)&gt;0,AVERAGE(C817,F817,G817,N817,Q817),"")</f>
        <v/>
      </c>
      <c r="X817" s="3">
        <f>IF(COUNT(B817,E817,H817,I817,P817,R817,S817)&gt;0,AVERAGE(B817,E817,H817,I817,P817,R817,S817),"")</f>
        <v/>
      </c>
      <c r="Y817" s="3" t="n"/>
      <c r="AJ817">
        <f>IFERROR(AVERAGEIF($A$4:$A$1004,AI817,$V$4:$V$1004),"")</f>
        <v/>
      </c>
      <c r="AK817">
        <f>IFERROR(AVERAGEIF($A$4:$A$1004,AI817,$W$4:$W$1004),"")</f>
        <v/>
      </c>
      <c r="AL817">
        <f>IFERROR(AVERAGEIF($A$4:$A$1004,AI817,$X$4:$X$1004),"")</f>
        <v/>
      </c>
    </row>
    <row r="818">
      <c r="A818" s="1">
        <f>IF(Data!A818&gt;0,Data!A818,"")</f>
        <v/>
      </c>
      <c r="B818" s="1">
        <f>IF(Data!B818&gt;0,Data!B818,"")</f>
        <v/>
      </c>
      <c r="C818" s="1">
        <f>IF(Data!C818&gt;0,Data!C818,"")</f>
        <v/>
      </c>
      <c r="D818" s="1">
        <f>IF(Data!D818&gt;0,Data!D818,"")</f>
        <v/>
      </c>
      <c r="E818" s="1">
        <f>IF(Data!E818&gt;0,Data!E818,"")</f>
        <v/>
      </c>
      <c r="F818" s="1">
        <f>IF(Data!F818&gt;0,Data!F818,"")</f>
        <v/>
      </c>
      <c r="G818" s="1">
        <f>IF(Data!G818&gt;0,Data!G818,"")</f>
        <v/>
      </c>
      <c r="H818" s="1">
        <f>IF(Data!H818&gt;0,Data!H818,"")</f>
        <v/>
      </c>
      <c r="I818" s="1">
        <f>IF(Data!I818&gt;0,Data!I818,"")</f>
        <v/>
      </c>
      <c r="J818" s="1">
        <f>IF(Data!J818&gt;0,Data!J818,"")</f>
        <v/>
      </c>
      <c r="K818" s="1">
        <f>IF(Data!K818&gt;0,Data!K818,"")</f>
        <v/>
      </c>
      <c r="L818" s="1">
        <f>IF(Data!L818&gt;0,Data!L818,"")</f>
        <v/>
      </c>
      <c r="M818" s="1">
        <f>IF(Data!M818&gt;0,Data!M818,"")</f>
        <v/>
      </c>
      <c r="N818" s="1">
        <f>IF(Data!N818&gt;0,Data!N818,"")</f>
        <v/>
      </c>
      <c r="O818" s="1">
        <f>IF(Data!O818&gt;0,Data!O818,"")</f>
        <v/>
      </c>
      <c r="P818" s="1">
        <f>IF(Data!P818&gt;0,Data!P818,"")</f>
        <v/>
      </c>
      <c r="Q818" s="1">
        <f>IF(Data!Q818&gt;0,Data!Q818,"")</f>
        <v/>
      </c>
      <c r="R818" s="1">
        <f>IF(Data!R818&gt;0,Data!R818,"")</f>
        <v/>
      </c>
      <c r="S818" s="1">
        <f>IF(Data!S818&gt;0,Data!S818,"")</f>
        <v/>
      </c>
      <c r="V818" s="3">
        <f>IF(COUNT(D818,J818,K818,L818,M818,O818)&gt;0,AVERAGE(D818,J818,K818,L818,M818,O818),"")</f>
        <v/>
      </c>
      <c r="W818" s="3">
        <f>IF(COUNT(C818,F818,G818,N818,Q818)&gt;0,AVERAGE(C818,F818,G818,N818,Q818),"")</f>
        <v/>
      </c>
      <c r="X818" s="3">
        <f>IF(COUNT(B818,E818,H818,I818,P818,R818,S818)&gt;0,AVERAGE(B818,E818,H818,I818,P818,R818,S818),"")</f>
        <v/>
      </c>
      <c r="Y818" s="3" t="n"/>
      <c r="AJ818">
        <f>IFERROR(AVERAGEIF($A$4:$A$1004,AI818,$V$4:$V$1004),"")</f>
        <v/>
      </c>
      <c r="AK818">
        <f>IFERROR(AVERAGEIF($A$4:$A$1004,AI818,$W$4:$W$1004),"")</f>
        <v/>
      </c>
      <c r="AL818">
        <f>IFERROR(AVERAGEIF($A$4:$A$1004,AI818,$X$4:$X$1004),"")</f>
        <v/>
      </c>
    </row>
    <row r="819">
      <c r="A819" s="1">
        <f>IF(Data!A819&gt;0,Data!A819,"")</f>
        <v/>
      </c>
      <c r="B819" s="1">
        <f>IF(Data!B819&gt;0,Data!B819,"")</f>
        <v/>
      </c>
      <c r="C819" s="1">
        <f>IF(Data!C819&gt;0,Data!C819,"")</f>
        <v/>
      </c>
      <c r="D819" s="1">
        <f>IF(Data!D819&gt;0,Data!D819,"")</f>
        <v/>
      </c>
      <c r="E819" s="1">
        <f>IF(Data!E819&gt;0,Data!E819,"")</f>
        <v/>
      </c>
      <c r="F819" s="1">
        <f>IF(Data!F819&gt;0,Data!F819,"")</f>
        <v/>
      </c>
      <c r="G819" s="1">
        <f>IF(Data!G819&gt;0,Data!G819,"")</f>
        <v/>
      </c>
      <c r="H819" s="1">
        <f>IF(Data!H819&gt;0,Data!H819,"")</f>
        <v/>
      </c>
      <c r="I819" s="1">
        <f>IF(Data!I819&gt;0,Data!I819,"")</f>
        <v/>
      </c>
      <c r="J819" s="1">
        <f>IF(Data!J819&gt;0,Data!J819,"")</f>
        <v/>
      </c>
      <c r="K819" s="1">
        <f>IF(Data!K819&gt;0,Data!K819,"")</f>
        <v/>
      </c>
      <c r="L819" s="1">
        <f>IF(Data!L819&gt;0,Data!L819,"")</f>
        <v/>
      </c>
      <c r="M819" s="1">
        <f>IF(Data!M819&gt;0,Data!M819,"")</f>
        <v/>
      </c>
      <c r="N819" s="1">
        <f>IF(Data!N819&gt;0,Data!N819,"")</f>
        <v/>
      </c>
      <c r="O819" s="1">
        <f>IF(Data!O819&gt;0,Data!O819,"")</f>
        <v/>
      </c>
      <c r="P819" s="1">
        <f>IF(Data!P819&gt;0,Data!P819,"")</f>
        <v/>
      </c>
      <c r="Q819" s="1">
        <f>IF(Data!Q819&gt;0,Data!Q819,"")</f>
        <v/>
      </c>
      <c r="R819" s="1">
        <f>IF(Data!R819&gt;0,Data!R819,"")</f>
        <v/>
      </c>
      <c r="S819" s="1">
        <f>IF(Data!S819&gt;0,Data!S819,"")</f>
        <v/>
      </c>
      <c r="V819" s="3">
        <f>IF(COUNT(D819,J819,K819,L819,M819,O819)&gt;0,AVERAGE(D819,J819,K819,L819,M819,O819),"")</f>
        <v/>
      </c>
      <c r="W819" s="3">
        <f>IF(COUNT(C819,F819,G819,N819,Q819)&gt;0,AVERAGE(C819,F819,G819,N819,Q819),"")</f>
        <v/>
      </c>
      <c r="X819" s="3">
        <f>IF(COUNT(B819,E819,H819,I819,P819,R819,S819)&gt;0,AVERAGE(B819,E819,H819,I819,P819,R819,S819),"")</f>
        <v/>
      </c>
      <c r="Y819" s="3" t="n"/>
      <c r="AJ819">
        <f>IFERROR(AVERAGEIF($A$4:$A$1004,AI819,$V$4:$V$1004),"")</f>
        <v/>
      </c>
      <c r="AK819">
        <f>IFERROR(AVERAGEIF($A$4:$A$1004,AI819,$W$4:$W$1004),"")</f>
        <v/>
      </c>
      <c r="AL819">
        <f>IFERROR(AVERAGEIF($A$4:$A$1004,AI819,$X$4:$X$1004),"")</f>
        <v/>
      </c>
    </row>
    <row r="820">
      <c r="A820" s="1">
        <f>IF(Data!A820&gt;0,Data!A820,"")</f>
        <v/>
      </c>
      <c r="B820" s="1">
        <f>IF(Data!B820&gt;0,Data!B820,"")</f>
        <v/>
      </c>
      <c r="C820" s="1">
        <f>IF(Data!C820&gt;0,Data!C820,"")</f>
        <v/>
      </c>
      <c r="D820" s="1">
        <f>IF(Data!D820&gt;0,Data!D820,"")</f>
        <v/>
      </c>
      <c r="E820" s="1">
        <f>IF(Data!E820&gt;0,Data!E820,"")</f>
        <v/>
      </c>
      <c r="F820" s="1">
        <f>IF(Data!F820&gt;0,Data!F820,"")</f>
        <v/>
      </c>
      <c r="G820" s="1">
        <f>IF(Data!G820&gt;0,Data!G820,"")</f>
        <v/>
      </c>
      <c r="H820" s="1">
        <f>IF(Data!H820&gt;0,Data!H820,"")</f>
        <v/>
      </c>
      <c r="I820" s="1">
        <f>IF(Data!I820&gt;0,Data!I820,"")</f>
        <v/>
      </c>
      <c r="J820" s="1">
        <f>IF(Data!J820&gt;0,Data!J820,"")</f>
        <v/>
      </c>
      <c r="K820" s="1">
        <f>IF(Data!K820&gt;0,Data!K820,"")</f>
        <v/>
      </c>
      <c r="L820" s="1">
        <f>IF(Data!L820&gt;0,Data!L820,"")</f>
        <v/>
      </c>
      <c r="M820" s="1">
        <f>IF(Data!M820&gt;0,Data!M820,"")</f>
        <v/>
      </c>
      <c r="N820" s="1">
        <f>IF(Data!N820&gt;0,Data!N820,"")</f>
        <v/>
      </c>
      <c r="O820" s="1">
        <f>IF(Data!O820&gt;0,Data!O820,"")</f>
        <v/>
      </c>
      <c r="P820" s="1">
        <f>IF(Data!P820&gt;0,Data!P820,"")</f>
        <v/>
      </c>
      <c r="Q820" s="1">
        <f>IF(Data!Q820&gt;0,Data!Q820,"")</f>
        <v/>
      </c>
      <c r="R820" s="1">
        <f>IF(Data!R820&gt;0,Data!R820,"")</f>
        <v/>
      </c>
      <c r="S820" s="1">
        <f>IF(Data!S820&gt;0,Data!S820,"")</f>
        <v/>
      </c>
      <c r="V820" s="3">
        <f>IF(COUNT(D820,J820,K820,L820,M820,O820)&gt;0,AVERAGE(D820,J820,K820,L820,M820,O820),"")</f>
        <v/>
      </c>
      <c r="W820" s="3">
        <f>IF(COUNT(C820,F820,G820,N820,Q820)&gt;0,AVERAGE(C820,F820,G820,N820,Q820),"")</f>
        <v/>
      </c>
      <c r="X820" s="3">
        <f>IF(COUNT(B820,E820,H820,I820,P820,R820,S820)&gt;0,AVERAGE(B820,E820,H820,I820,P820,R820,S820),"")</f>
        <v/>
      </c>
      <c r="Y820" s="3" t="n"/>
      <c r="AJ820">
        <f>IFERROR(AVERAGEIF($A$4:$A$1004,AI820,$V$4:$V$1004),"")</f>
        <v/>
      </c>
      <c r="AK820">
        <f>IFERROR(AVERAGEIF($A$4:$A$1004,AI820,$W$4:$W$1004),"")</f>
        <v/>
      </c>
      <c r="AL820">
        <f>IFERROR(AVERAGEIF($A$4:$A$1004,AI820,$X$4:$X$1004),"")</f>
        <v/>
      </c>
    </row>
    <row r="821">
      <c r="A821" s="1">
        <f>IF(Data!A821&gt;0,Data!A821,"")</f>
        <v/>
      </c>
      <c r="B821" s="1">
        <f>IF(Data!B821&gt;0,Data!B821,"")</f>
        <v/>
      </c>
      <c r="C821" s="1">
        <f>IF(Data!C821&gt;0,Data!C821,"")</f>
        <v/>
      </c>
      <c r="D821" s="1">
        <f>IF(Data!D821&gt;0,Data!D821,"")</f>
        <v/>
      </c>
      <c r="E821" s="1">
        <f>IF(Data!E821&gt;0,Data!E821,"")</f>
        <v/>
      </c>
      <c r="F821" s="1">
        <f>IF(Data!F821&gt;0,Data!F821,"")</f>
        <v/>
      </c>
      <c r="G821" s="1">
        <f>IF(Data!G821&gt;0,Data!G821,"")</f>
        <v/>
      </c>
      <c r="H821" s="1">
        <f>IF(Data!H821&gt;0,Data!H821,"")</f>
        <v/>
      </c>
      <c r="I821" s="1">
        <f>IF(Data!I821&gt;0,Data!I821,"")</f>
        <v/>
      </c>
      <c r="J821" s="1">
        <f>IF(Data!J821&gt;0,Data!J821,"")</f>
        <v/>
      </c>
      <c r="K821" s="1">
        <f>IF(Data!K821&gt;0,Data!K821,"")</f>
        <v/>
      </c>
      <c r="L821" s="1">
        <f>IF(Data!L821&gt;0,Data!L821,"")</f>
        <v/>
      </c>
      <c r="M821" s="1">
        <f>IF(Data!M821&gt;0,Data!M821,"")</f>
        <v/>
      </c>
      <c r="N821" s="1">
        <f>IF(Data!N821&gt;0,Data!N821,"")</f>
        <v/>
      </c>
      <c r="O821" s="1">
        <f>IF(Data!O821&gt;0,Data!O821,"")</f>
        <v/>
      </c>
      <c r="P821" s="1">
        <f>IF(Data!P821&gt;0,Data!P821,"")</f>
        <v/>
      </c>
      <c r="Q821" s="1">
        <f>IF(Data!Q821&gt;0,Data!Q821,"")</f>
        <v/>
      </c>
      <c r="R821" s="1">
        <f>IF(Data!R821&gt;0,Data!R821,"")</f>
        <v/>
      </c>
      <c r="S821" s="1">
        <f>IF(Data!S821&gt;0,Data!S821,"")</f>
        <v/>
      </c>
      <c r="V821" s="3">
        <f>IF(COUNT(D821,J821,K821,L821,M821,O821)&gt;0,AVERAGE(D821,J821,K821,L821,M821,O821),"")</f>
        <v/>
      </c>
      <c r="W821" s="3">
        <f>IF(COUNT(C821,F821,G821,N821,Q821)&gt;0,AVERAGE(C821,F821,G821,N821,Q821),"")</f>
        <v/>
      </c>
      <c r="X821" s="3">
        <f>IF(COUNT(B821,E821,H821,I821,P821,R821,S821)&gt;0,AVERAGE(B821,E821,H821,I821,P821,R821,S821),"")</f>
        <v/>
      </c>
      <c r="Y821" s="3" t="n"/>
      <c r="AJ821">
        <f>IFERROR(AVERAGEIF($A$4:$A$1004,AI821,$V$4:$V$1004),"")</f>
        <v/>
      </c>
      <c r="AK821">
        <f>IFERROR(AVERAGEIF($A$4:$A$1004,AI821,$W$4:$W$1004),"")</f>
        <v/>
      </c>
      <c r="AL821">
        <f>IFERROR(AVERAGEIF($A$4:$A$1004,AI821,$X$4:$X$1004),"")</f>
        <v/>
      </c>
    </row>
    <row r="822">
      <c r="A822" s="1">
        <f>IF(Data!A822&gt;0,Data!A822,"")</f>
        <v/>
      </c>
      <c r="B822" s="1">
        <f>IF(Data!B822&gt;0,Data!B822,"")</f>
        <v/>
      </c>
      <c r="C822" s="1">
        <f>IF(Data!C822&gt;0,Data!C822,"")</f>
        <v/>
      </c>
      <c r="D822" s="1">
        <f>IF(Data!D822&gt;0,Data!D822,"")</f>
        <v/>
      </c>
      <c r="E822" s="1">
        <f>IF(Data!E822&gt;0,Data!E822,"")</f>
        <v/>
      </c>
      <c r="F822" s="1">
        <f>IF(Data!F822&gt;0,Data!F822,"")</f>
        <v/>
      </c>
      <c r="G822" s="1">
        <f>IF(Data!G822&gt;0,Data!G822,"")</f>
        <v/>
      </c>
      <c r="H822" s="1">
        <f>IF(Data!H822&gt;0,Data!H822,"")</f>
        <v/>
      </c>
      <c r="I822" s="1">
        <f>IF(Data!I822&gt;0,Data!I822,"")</f>
        <v/>
      </c>
      <c r="J822" s="1">
        <f>IF(Data!J822&gt;0,Data!J822,"")</f>
        <v/>
      </c>
      <c r="K822" s="1">
        <f>IF(Data!K822&gt;0,Data!K822,"")</f>
        <v/>
      </c>
      <c r="L822" s="1">
        <f>IF(Data!L822&gt;0,Data!L822,"")</f>
        <v/>
      </c>
      <c r="M822" s="1">
        <f>IF(Data!M822&gt;0,Data!M822,"")</f>
        <v/>
      </c>
      <c r="N822" s="1">
        <f>IF(Data!N822&gt;0,Data!N822,"")</f>
        <v/>
      </c>
      <c r="O822" s="1">
        <f>IF(Data!O822&gt;0,Data!O822,"")</f>
        <v/>
      </c>
      <c r="P822" s="1">
        <f>IF(Data!P822&gt;0,Data!P822,"")</f>
        <v/>
      </c>
      <c r="Q822" s="1">
        <f>IF(Data!Q822&gt;0,Data!Q822,"")</f>
        <v/>
      </c>
      <c r="R822" s="1">
        <f>IF(Data!R822&gt;0,Data!R822,"")</f>
        <v/>
      </c>
      <c r="S822" s="1">
        <f>IF(Data!S822&gt;0,Data!S822,"")</f>
        <v/>
      </c>
      <c r="V822" s="3">
        <f>IF(COUNT(D822,J822,K822,L822,M822,O822)&gt;0,AVERAGE(D822,J822,K822,L822,M822,O822),"")</f>
        <v/>
      </c>
      <c r="W822" s="3">
        <f>IF(COUNT(C822,F822,G822,N822,Q822)&gt;0,AVERAGE(C822,F822,G822,N822,Q822),"")</f>
        <v/>
      </c>
      <c r="X822" s="3">
        <f>IF(COUNT(B822,E822,H822,I822,P822,R822,S822)&gt;0,AVERAGE(B822,E822,H822,I822,P822,R822,S822),"")</f>
        <v/>
      </c>
      <c r="Y822" s="3" t="n"/>
      <c r="AJ822">
        <f>IFERROR(AVERAGEIF($A$4:$A$1004,AI822,$V$4:$V$1004),"")</f>
        <v/>
      </c>
      <c r="AK822">
        <f>IFERROR(AVERAGEIF($A$4:$A$1004,AI822,$W$4:$W$1004),"")</f>
        <v/>
      </c>
      <c r="AL822">
        <f>IFERROR(AVERAGEIF($A$4:$A$1004,AI822,$X$4:$X$1004),"")</f>
        <v/>
      </c>
    </row>
    <row r="823">
      <c r="A823" s="1">
        <f>IF(Data!A823&gt;0,Data!A823,"")</f>
        <v/>
      </c>
      <c r="B823" s="1">
        <f>IF(Data!B823&gt;0,Data!B823,"")</f>
        <v/>
      </c>
      <c r="C823" s="1">
        <f>IF(Data!C823&gt;0,Data!C823,"")</f>
        <v/>
      </c>
      <c r="D823" s="1">
        <f>IF(Data!D823&gt;0,Data!D823,"")</f>
        <v/>
      </c>
      <c r="E823" s="1">
        <f>IF(Data!E823&gt;0,Data!E823,"")</f>
        <v/>
      </c>
      <c r="F823" s="1">
        <f>IF(Data!F823&gt;0,Data!F823,"")</f>
        <v/>
      </c>
      <c r="G823" s="1">
        <f>IF(Data!G823&gt;0,Data!G823,"")</f>
        <v/>
      </c>
      <c r="H823" s="1">
        <f>IF(Data!H823&gt;0,Data!H823,"")</f>
        <v/>
      </c>
      <c r="I823" s="1">
        <f>IF(Data!I823&gt;0,Data!I823,"")</f>
        <v/>
      </c>
      <c r="J823" s="1">
        <f>IF(Data!J823&gt;0,Data!J823,"")</f>
        <v/>
      </c>
      <c r="K823" s="1">
        <f>IF(Data!K823&gt;0,Data!K823,"")</f>
        <v/>
      </c>
      <c r="L823" s="1">
        <f>IF(Data!L823&gt;0,Data!L823,"")</f>
        <v/>
      </c>
      <c r="M823" s="1">
        <f>IF(Data!M823&gt;0,Data!M823,"")</f>
        <v/>
      </c>
      <c r="N823" s="1">
        <f>IF(Data!N823&gt;0,Data!N823,"")</f>
        <v/>
      </c>
      <c r="O823" s="1">
        <f>IF(Data!O823&gt;0,Data!O823,"")</f>
        <v/>
      </c>
      <c r="P823" s="1">
        <f>IF(Data!P823&gt;0,Data!P823,"")</f>
        <v/>
      </c>
      <c r="Q823" s="1">
        <f>IF(Data!Q823&gt;0,Data!Q823,"")</f>
        <v/>
      </c>
      <c r="R823" s="1">
        <f>IF(Data!R823&gt;0,Data!R823,"")</f>
        <v/>
      </c>
      <c r="S823" s="1">
        <f>IF(Data!S823&gt;0,Data!S823,"")</f>
        <v/>
      </c>
      <c r="V823" s="3">
        <f>IF(COUNT(D823,J823,K823,L823,M823,O823)&gt;0,AVERAGE(D823,J823,K823,L823,M823,O823),"")</f>
        <v/>
      </c>
      <c r="W823" s="3">
        <f>IF(COUNT(C823,F823,G823,N823,Q823)&gt;0,AVERAGE(C823,F823,G823,N823,Q823),"")</f>
        <v/>
      </c>
      <c r="X823" s="3">
        <f>IF(COUNT(B823,E823,H823,I823,P823,R823,S823)&gt;0,AVERAGE(B823,E823,H823,I823,P823,R823,S823),"")</f>
        <v/>
      </c>
      <c r="Y823" s="3" t="n"/>
      <c r="AJ823">
        <f>IFERROR(AVERAGEIF($A$4:$A$1004,AI823,$V$4:$V$1004),"")</f>
        <v/>
      </c>
      <c r="AK823">
        <f>IFERROR(AVERAGEIF($A$4:$A$1004,AI823,$W$4:$W$1004),"")</f>
        <v/>
      </c>
      <c r="AL823">
        <f>IFERROR(AVERAGEIF($A$4:$A$1004,AI823,$X$4:$X$1004),"")</f>
        <v/>
      </c>
    </row>
    <row r="824">
      <c r="A824" s="1">
        <f>IF(Data!A824&gt;0,Data!A824,"")</f>
        <v/>
      </c>
      <c r="B824" s="1">
        <f>IF(Data!B824&gt;0,Data!B824,"")</f>
        <v/>
      </c>
      <c r="C824" s="1">
        <f>IF(Data!C824&gt;0,Data!C824,"")</f>
        <v/>
      </c>
      <c r="D824" s="1">
        <f>IF(Data!D824&gt;0,Data!D824,"")</f>
        <v/>
      </c>
      <c r="E824" s="1">
        <f>IF(Data!E824&gt;0,Data!E824,"")</f>
        <v/>
      </c>
      <c r="F824" s="1">
        <f>IF(Data!F824&gt;0,Data!F824,"")</f>
        <v/>
      </c>
      <c r="G824" s="1">
        <f>IF(Data!G824&gt;0,Data!G824,"")</f>
        <v/>
      </c>
      <c r="H824" s="1">
        <f>IF(Data!H824&gt;0,Data!H824,"")</f>
        <v/>
      </c>
      <c r="I824" s="1">
        <f>IF(Data!I824&gt;0,Data!I824,"")</f>
        <v/>
      </c>
      <c r="J824" s="1">
        <f>IF(Data!J824&gt;0,Data!J824,"")</f>
        <v/>
      </c>
      <c r="K824" s="1">
        <f>IF(Data!K824&gt;0,Data!K824,"")</f>
        <v/>
      </c>
      <c r="L824" s="1">
        <f>IF(Data!L824&gt;0,Data!L824,"")</f>
        <v/>
      </c>
      <c r="M824" s="1">
        <f>IF(Data!M824&gt;0,Data!M824,"")</f>
        <v/>
      </c>
      <c r="N824" s="1">
        <f>IF(Data!N824&gt;0,Data!N824,"")</f>
        <v/>
      </c>
      <c r="O824" s="1">
        <f>IF(Data!O824&gt;0,Data!O824,"")</f>
        <v/>
      </c>
      <c r="P824" s="1">
        <f>IF(Data!P824&gt;0,Data!P824,"")</f>
        <v/>
      </c>
      <c r="Q824" s="1">
        <f>IF(Data!Q824&gt;0,Data!Q824,"")</f>
        <v/>
      </c>
      <c r="R824" s="1">
        <f>IF(Data!R824&gt;0,Data!R824,"")</f>
        <v/>
      </c>
      <c r="S824" s="1">
        <f>IF(Data!S824&gt;0,Data!S824,"")</f>
        <v/>
      </c>
      <c r="V824" s="3">
        <f>IF(COUNT(D824,J824,K824,L824,M824,O824)&gt;0,AVERAGE(D824,J824,K824,L824,M824,O824),"")</f>
        <v/>
      </c>
      <c r="W824" s="3">
        <f>IF(COUNT(C824,F824,G824,N824,Q824)&gt;0,AVERAGE(C824,F824,G824,N824,Q824),"")</f>
        <v/>
      </c>
      <c r="X824" s="3">
        <f>IF(COUNT(B824,E824,H824,I824,P824,R824,S824)&gt;0,AVERAGE(B824,E824,H824,I824,P824,R824,S824),"")</f>
        <v/>
      </c>
      <c r="Y824" s="3" t="n"/>
      <c r="AJ824">
        <f>IFERROR(AVERAGEIF($A$4:$A$1004,AI824,$V$4:$V$1004),"")</f>
        <v/>
      </c>
      <c r="AK824">
        <f>IFERROR(AVERAGEIF($A$4:$A$1004,AI824,$W$4:$W$1004),"")</f>
        <v/>
      </c>
      <c r="AL824">
        <f>IFERROR(AVERAGEIF($A$4:$A$1004,AI824,$X$4:$X$1004),"")</f>
        <v/>
      </c>
    </row>
    <row r="825">
      <c r="A825" s="1">
        <f>IF(Data!A825&gt;0,Data!A825,"")</f>
        <v/>
      </c>
      <c r="B825" s="1">
        <f>IF(Data!B825&gt;0,Data!B825,"")</f>
        <v/>
      </c>
      <c r="C825" s="1">
        <f>IF(Data!C825&gt;0,Data!C825,"")</f>
        <v/>
      </c>
      <c r="D825" s="1">
        <f>IF(Data!D825&gt;0,Data!D825,"")</f>
        <v/>
      </c>
      <c r="E825" s="1">
        <f>IF(Data!E825&gt;0,Data!E825,"")</f>
        <v/>
      </c>
      <c r="F825" s="1">
        <f>IF(Data!F825&gt;0,Data!F825,"")</f>
        <v/>
      </c>
      <c r="G825" s="1">
        <f>IF(Data!G825&gt;0,Data!G825,"")</f>
        <v/>
      </c>
      <c r="H825" s="1">
        <f>IF(Data!H825&gt;0,Data!H825,"")</f>
        <v/>
      </c>
      <c r="I825" s="1">
        <f>IF(Data!I825&gt;0,Data!I825,"")</f>
        <v/>
      </c>
      <c r="J825" s="1">
        <f>IF(Data!J825&gt;0,Data!J825,"")</f>
        <v/>
      </c>
      <c r="K825" s="1">
        <f>IF(Data!K825&gt;0,Data!K825,"")</f>
        <v/>
      </c>
      <c r="L825" s="1">
        <f>IF(Data!L825&gt;0,Data!L825,"")</f>
        <v/>
      </c>
      <c r="M825" s="1">
        <f>IF(Data!M825&gt;0,Data!M825,"")</f>
        <v/>
      </c>
      <c r="N825" s="1">
        <f>IF(Data!N825&gt;0,Data!N825,"")</f>
        <v/>
      </c>
      <c r="O825" s="1">
        <f>IF(Data!O825&gt;0,Data!O825,"")</f>
        <v/>
      </c>
      <c r="P825" s="1">
        <f>IF(Data!P825&gt;0,Data!P825,"")</f>
        <v/>
      </c>
      <c r="Q825" s="1">
        <f>IF(Data!Q825&gt;0,Data!Q825,"")</f>
        <v/>
      </c>
      <c r="R825" s="1">
        <f>IF(Data!R825&gt;0,Data!R825,"")</f>
        <v/>
      </c>
      <c r="S825" s="1">
        <f>IF(Data!S825&gt;0,Data!S825,"")</f>
        <v/>
      </c>
      <c r="V825" s="3">
        <f>IF(COUNT(D825,J825,K825,L825,M825,O825)&gt;0,AVERAGE(D825,J825,K825,L825,M825,O825),"")</f>
        <v/>
      </c>
      <c r="W825" s="3">
        <f>IF(COUNT(C825,F825,G825,N825,Q825)&gt;0,AVERAGE(C825,F825,G825,N825,Q825),"")</f>
        <v/>
      </c>
      <c r="X825" s="3">
        <f>IF(COUNT(B825,E825,H825,I825,P825,R825,S825)&gt;0,AVERAGE(B825,E825,H825,I825,P825,R825,S825),"")</f>
        <v/>
      </c>
      <c r="Y825" s="3" t="n"/>
      <c r="AJ825">
        <f>IFERROR(AVERAGEIF($A$4:$A$1004,AI825,$V$4:$V$1004),"")</f>
        <v/>
      </c>
      <c r="AK825">
        <f>IFERROR(AVERAGEIF($A$4:$A$1004,AI825,$W$4:$W$1004),"")</f>
        <v/>
      </c>
      <c r="AL825">
        <f>IFERROR(AVERAGEIF($A$4:$A$1004,AI825,$X$4:$X$1004),"")</f>
        <v/>
      </c>
    </row>
    <row r="826">
      <c r="A826" s="1">
        <f>IF(Data!A826&gt;0,Data!A826,"")</f>
        <v/>
      </c>
      <c r="B826" s="1">
        <f>IF(Data!B826&gt;0,Data!B826,"")</f>
        <v/>
      </c>
      <c r="C826" s="1">
        <f>IF(Data!C826&gt;0,Data!C826,"")</f>
        <v/>
      </c>
      <c r="D826" s="1">
        <f>IF(Data!D826&gt;0,Data!D826,"")</f>
        <v/>
      </c>
      <c r="E826" s="1">
        <f>IF(Data!E826&gt;0,Data!E826,"")</f>
        <v/>
      </c>
      <c r="F826" s="1">
        <f>IF(Data!F826&gt;0,Data!F826,"")</f>
        <v/>
      </c>
      <c r="G826" s="1">
        <f>IF(Data!G826&gt;0,Data!G826,"")</f>
        <v/>
      </c>
      <c r="H826" s="1">
        <f>IF(Data!H826&gt;0,Data!H826,"")</f>
        <v/>
      </c>
      <c r="I826" s="1">
        <f>IF(Data!I826&gt;0,Data!I826,"")</f>
        <v/>
      </c>
      <c r="J826" s="1">
        <f>IF(Data!J826&gt;0,Data!J826,"")</f>
        <v/>
      </c>
      <c r="K826" s="1">
        <f>IF(Data!K826&gt;0,Data!K826,"")</f>
        <v/>
      </c>
      <c r="L826" s="1">
        <f>IF(Data!L826&gt;0,Data!L826,"")</f>
        <v/>
      </c>
      <c r="M826" s="1">
        <f>IF(Data!M826&gt;0,Data!M826,"")</f>
        <v/>
      </c>
      <c r="N826" s="1">
        <f>IF(Data!N826&gt;0,Data!N826,"")</f>
        <v/>
      </c>
      <c r="O826" s="1">
        <f>IF(Data!O826&gt;0,Data!O826,"")</f>
        <v/>
      </c>
      <c r="P826" s="1">
        <f>IF(Data!P826&gt;0,Data!P826,"")</f>
        <v/>
      </c>
      <c r="Q826" s="1">
        <f>IF(Data!Q826&gt;0,Data!Q826,"")</f>
        <v/>
      </c>
      <c r="R826" s="1">
        <f>IF(Data!R826&gt;0,Data!R826,"")</f>
        <v/>
      </c>
      <c r="S826" s="1">
        <f>IF(Data!S826&gt;0,Data!S826,"")</f>
        <v/>
      </c>
      <c r="V826" s="3">
        <f>IF(COUNT(D826,J826,K826,L826,M826,O826)&gt;0,AVERAGE(D826,J826,K826,L826,M826,O826),"")</f>
        <v/>
      </c>
      <c r="W826" s="3">
        <f>IF(COUNT(C826,F826,G826,N826,Q826)&gt;0,AVERAGE(C826,F826,G826,N826,Q826),"")</f>
        <v/>
      </c>
      <c r="X826" s="3">
        <f>IF(COUNT(B826,E826,H826,I826,P826,R826,S826)&gt;0,AVERAGE(B826,E826,H826,I826,P826,R826,S826),"")</f>
        <v/>
      </c>
      <c r="Y826" s="3" t="n"/>
      <c r="AJ826">
        <f>IFERROR(AVERAGEIF($A$4:$A$1004,AI826,$V$4:$V$1004),"")</f>
        <v/>
      </c>
      <c r="AK826">
        <f>IFERROR(AVERAGEIF($A$4:$A$1004,AI826,$W$4:$W$1004),"")</f>
        <v/>
      </c>
      <c r="AL826">
        <f>IFERROR(AVERAGEIF($A$4:$A$1004,AI826,$X$4:$X$1004),"")</f>
        <v/>
      </c>
    </row>
    <row r="827">
      <c r="A827" s="1">
        <f>IF(Data!A827&gt;0,Data!A827,"")</f>
        <v/>
      </c>
      <c r="B827" s="1">
        <f>IF(Data!B827&gt;0,Data!B827,"")</f>
        <v/>
      </c>
      <c r="C827" s="1">
        <f>IF(Data!C827&gt;0,Data!C827,"")</f>
        <v/>
      </c>
      <c r="D827" s="1">
        <f>IF(Data!D827&gt;0,Data!D827,"")</f>
        <v/>
      </c>
      <c r="E827" s="1">
        <f>IF(Data!E827&gt;0,Data!E827,"")</f>
        <v/>
      </c>
      <c r="F827" s="1">
        <f>IF(Data!F827&gt;0,Data!F827,"")</f>
        <v/>
      </c>
      <c r="G827" s="1">
        <f>IF(Data!G827&gt;0,Data!G827,"")</f>
        <v/>
      </c>
      <c r="H827" s="1">
        <f>IF(Data!H827&gt;0,Data!H827,"")</f>
        <v/>
      </c>
      <c r="I827" s="1">
        <f>IF(Data!I827&gt;0,Data!I827,"")</f>
        <v/>
      </c>
      <c r="J827" s="1">
        <f>IF(Data!J827&gt;0,Data!J827,"")</f>
        <v/>
      </c>
      <c r="K827" s="1">
        <f>IF(Data!K827&gt;0,Data!K827,"")</f>
        <v/>
      </c>
      <c r="L827" s="1">
        <f>IF(Data!L827&gt;0,Data!L827,"")</f>
        <v/>
      </c>
      <c r="M827" s="1">
        <f>IF(Data!M827&gt;0,Data!M827,"")</f>
        <v/>
      </c>
      <c r="N827" s="1">
        <f>IF(Data!N827&gt;0,Data!N827,"")</f>
        <v/>
      </c>
      <c r="O827" s="1">
        <f>IF(Data!O827&gt;0,Data!O827,"")</f>
        <v/>
      </c>
      <c r="P827" s="1">
        <f>IF(Data!P827&gt;0,Data!P827,"")</f>
        <v/>
      </c>
      <c r="Q827" s="1">
        <f>IF(Data!Q827&gt;0,Data!Q827,"")</f>
        <v/>
      </c>
      <c r="R827" s="1">
        <f>IF(Data!R827&gt;0,Data!R827,"")</f>
        <v/>
      </c>
      <c r="S827" s="1">
        <f>IF(Data!S827&gt;0,Data!S827,"")</f>
        <v/>
      </c>
      <c r="V827" s="3">
        <f>IF(COUNT(D827,J827,K827,L827,M827,O827)&gt;0,AVERAGE(D827,J827,K827,L827,M827,O827),"")</f>
        <v/>
      </c>
      <c r="W827" s="3">
        <f>IF(COUNT(C827,F827,G827,N827,Q827)&gt;0,AVERAGE(C827,F827,G827,N827,Q827),"")</f>
        <v/>
      </c>
      <c r="X827" s="3">
        <f>IF(COUNT(B827,E827,H827,I827,P827,R827,S827)&gt;0,AVERAGE(B827,E827,H827,I827,P827,R827,S827),"")</f>
        <v/>
      </c>
      <c r="Y827" s="3" t="n"/>
      <c r="AJ827">
        <f>IFERROR(AVERAGEIF($A$4:$A$1004,AI827,$V$4:$V$1004),"")</f>
        <v/>
      </c>
      <c r="AK827">
        <f>IFERROR(AVERAGEIF($A$4:$A$1004,AI827,$W$4:$W$1004),"")</f>
        <v/>
      </c>
      <c r="AL827">
        <f>IFERROR(AVERAGEIF($A$4:$A$1004,AI827,$X$4:$X$1004),"")</f>
        <v/>
      </c>
    </row>
    <row r="828">
      <c r="A828" s="1">
        <f>IF(Data!A828&gt;0,Data!A828,"")</f>
        <v/>
      </c>
      <c r="B828" s="1">
        <f>IF(Data!B828&gt;0,Data!B828,"")</f>
        <v/>
      </c>
      <c r="C828" s="1">
        <f>IF(Data!C828&gt;0,Data!C828,"")</f>
        <v/>
      </c>
      <c r="D828" s="1">
        <f>IF(Data!D828&gt;0,Data!D828,"")</f>
        <v/>
      </c>
      <c r="E828" s="1">
        <f>IF(Data!E828&gt;0,Data!E828,"")</f>
        <v/>
      </c>
      <c r="F828" s="1">
        <f>IF(Data!F828&gt;0,Data!F828,"")</f>
        <v/>
      </c>
      <c r="G828" s="1">
        <f>IF(Data!G828&gt;0,Data!G828,"")</f>
        <v/>
      </c>
      <c r="H828" s="1">
        <f>IF(Data!H828&gt;0,Data!H828,"")</f>
        <v/>
      </c>
      <c r="I828" s="1">
        <f>IF(Data!I828&gt;0,Data!I828,"")</f>
        <v/>
      </c>
      <c r="J828" s="1">
        <f>IF(Data!J828&gt;0,Data!J828,"")</f>
        <v/>
      </c>
      <c r="K828" s="1">
        <f>IF(Data!K828&gt;0,Data!K828,"")</f>
        <v/>
      </c>
      <c r="L828" s="1">
        <f>IF(Data!L828&gt;0,Data!L828,"")</f>
        <v/>
      </c>
      <c r="M828" s="1">
        <f>IF(Data!M828&gt;0,Data!M828,"")</f>
        <v/>
      </c>
      <c r="N828" s="1">
        <f>IF(Data!N828&gt;0,Data!N828,"")</f>
        <v/>
      </c>
      <c r="O828" s="1">
        <f>IF(Data!O828&gt;0,Data!O828,"")</f>
        <v/>
      </c>
      <c r="P828" s="1">
        <f>IF(Data!P828&gt;0,Data!P828,"")</f>
        <v/>
      </c>
      <c r="Q828" s="1">
        <f>IF(Data!Q828&gt;0,Data!Q828,"")</f>
        <v/>
      </c>
      <c r="R828" s="1">
        <f>IF(Data!R828&gt;0,Data!R828,"")</f>
        <v/>
      </c>
      <c r="S828" s="1">
        <f>IF(Data!S828&gt;0,Data!S828,"")</f>
        <v/>
      </c>
      <c r="V828" s="3">
        <f>IF(COUNT(D828,J828,K828,L828,M828,O828)&gt;0,AVERAGE(D828,J828,K828,L828,M828,O828),"")</f>
        <v/>
      </c>
      <c r="W828" s="3">
        <f>IF(COUNT(C828,F828,G828,N828,Q828)&gt;0,AVERAGE(C828,F828,G828,N828,Q828),"")</f>
        <v/>
      </c>
      <c r="X828" s="3">
        <f>IF(COUNT(B828,E828,H828,I828,P828,R828,S828)&gt;0,AVERAGE(B828,E828,H828,I828,P828,R828,S828),"")</f>
        <v/>
      </c>
      <c r="Y828" s="3" t="n"/>
      <c r="AJ828">
        <f>IFERROR(AVERAGEIF($A$4:$A$1004,AI828,$V$4:$V$1004),"")</f>
        <v/>
      </c>
      <c r="AK828">
        <f>IFERROR(AVERAGEIF($A$4:$A$1004,AI828,$W$4:$W$1004),"")</f>
        <v/>
      </c>
      <c r="AL828">
        <f>IFERROR(AVERAGEIF($A$4:$A$1004,AI828,$X$4:$X$1004),"")</f>
        <v/>
      </c>
    </row>
    <row r="829">
      <c r="A829" s="1">
        <f>IF(Data!A829&gt;0,Data!A829,"")</f>
        <v/>
      </c>
      <c r="B829" s="1">
        <f>IF(Data!B829&gt;0,Data!B829,"")</f>
        <v/>
      </c>
      <c r="C829" s="1">
        <f>IF(Data!C829&gt;0,Data!C829,"")</f>
        <v/>
      </c>
      <c r="D829" s="1">
        <f>IF(Data!D829&gt;0,Data!D829,"")</f>
        <v/>
      </c>
      <c r="E829" s="1">
        <f>IF(Data!E829&gt;0,Data!E829,"")</f>
        <v/>
      </c>
      <c r="F829" s="1">
        <f>IF(Data!F829&gt;0,Data!F829,"")</f>
        <v/>
      </c>
      <c r="G829" s="1">
        <f>IF(Data!G829&gt;0,Data!G829,"")</f>
        <v/>
      </c>
      <c r="H829" s="1">
        <f>IF(Data!H829&gt;0,Data!H829,"")</f>
        <v/>
      </c>
      <c r="I829" s="1">
        <f>IF(Data!I829&gt;0,Data!I829,"")</f>
        <v/>
      </c>
      <c r="J829" s="1">
        <f>IF(Data!J829&gt;0,Data!J829,"")</f>
        <v/>
      </c>
      <c r="K829" s="1">
        <f>IF(Data!K829&gt;0,Data!K829,"")</f>
        <v/>
      </c>
      <c r="L829" s="1">
        <f>IF(Data!L829&gt;0,Data!L829,"")</f>
        <v/>
      </c>
      <c r="M829" s="1">
        <f>IF(Data!M829&gt;0,Data!M829,"")</f>
        <v/>
      </c>
      <c r="N829" s="1">
        <f>IF(Data!N829&gt;0,Data!N829,"")</f>
        <v/>
      </c>
      <c r="O829" s="1">
        <f>IF(Data!O829&gt;0,Data!O829,"")</f>
        <v/>
      </c>
      <c r="P829" s="1">
        <f>IF(Data!P829&gt;0,Data!P829,"")</f>
        <v/>
      </c>
      <c r="Q829" s="1">
        <f>IF(Data!Q829&gt;0,Data!Q829,"")</f>
        <v/>
      </c>
      <c r="R829" s="1">
        <f>IF(Data!R829&gt;0,Data!R829,"")</f>
        <v/>
      </c>
      <c r="S829" s="1">
        <f>IF(Data!S829&gt;0,Data!S829,"")</f>
        <v/>
      </c>
      <c r="V829" s="3">
        <f>IF(COUNT(D829,J829,K829,L829,M829,O829)&gt;0,AVERAGE(D829,J829,K829,L829,M829,O829),"")</f>
        <v/>
      </c>
      <c r="W829" s="3">
        <f>IF(COUNT(C829,F829,G829,N829,Q829)&gt;0,AVERAGE(C829,F829,G829,N829,Q829),"")</f>
        <v/>
      </c>
      <c r="X829" s="3">
        <f>IF(COUNT(B829,E829,H829,I829,P829,R829,S829)&gt;0,AVERAGE(B829,E829,H829,I829,P829,R829,S829),"")</f>
        <v/>
      </c>
      <c r="Y829" s="3" t="n"/>
      <c r="AJ829">
        <f>IFERROR(AVERAGEIF($A$4:$A$1004,AI829,$V$4:$V$1004),"")</f>
        <v/>
      </c>
      <c r="AK829">
        <f>IFERROR(AVERAGEIF($A$4:$A$1004,AI829,$W$4:$W$1004),"")</f>
        <v/>
      </c>
      <c r="AL829">
        <f>IFERROR(AVERAGEIF($A$4:$A$1004,AI829,$X$4:$X$1004),"")</f>
        <v/>
      </c>
    </row>
    <row r="830">
      <c r="A830" s="1">
        <f>IF(Data!A830&gt;0,Data!A830,"")</f>
        <v/>
      </c>
      <c r="B830" s="1">
        <f>IF(Data!B830&gt;0,Data!B830,"")</f>
        <v/>
      </c>
      <c r="C830" s="1">
        <f>IF(Data!C830&gt;0,Data!C830,"")</f>
        <v/>
      </c>
      <c r="D830" s="1">
        <f>IF(Data!D830&gt;0,Data!D830,"")</f>
        <v/>
      </c>
      <c r="E830" s="1">
        <f>IF(Data!E830&gt;0,Data!E830,"")</f>
        <v/>
      </c>
      <c r="F830" s="1">
        <f>IF(Data!F830&gt;0,Data!F830,"")</f>
        <v/>
      </c>
      <c r="G830" s="1">
        <f>IF(Data!G830&gt;0,Data!G830,"")</f>
        <v/>
      </c>
      <c r="H830" s="1">
        <f>IF(Data!H830&gt;0,Data!H830,"")</f>
        <v/>
      </c>
      <c r="I830" s="1">
        <f>IF(Data!I830&gt;0,Data!I830,"")</f>
        <v/>
      </c>
      <c r="J830" s="1">
        <f>IF(Data!J830&gt;0,Data!J830,"")</f>
        <v/>
      </c>
      <c r="K830" s="1">
        <f>IF(Data!K830&gt;0,Data!K830,"")</f>
        <v/>
      </c>
      <c r="L830" s="1">
        <f>IF(Data!L830&gt;0,Data!L830,"")</f>
        <v/>
      </c>
      <c r="M830" s="1">
        <f>IF(Data!M830&gt;0,Data!M830,"")</f>
        <v/>
      </c>
      <c r="N830" s="1">
        <f>IF(Data!N830&gt;0,Data!N830,"")</f>
        <v/>
      </c>
      <c r="O830" s="1">
        <f>IF(Data!O830&gt;0,Data!O830,"")</f>
        <v/>
      </c>
      <c r="P830" s="1">
        <f>IF(Data!P830&gt;0,Data!P830,"")</f>
        <v/>
      </c>
      <c r="Q830" s="1">
        <f>IF(Data!Q830&gt;0,Data!Q830,"")</f>
        <v/>
      </c>
      <c r="R830" s="1">
        <f>IF(Data!R830&gt;0,Data!R830,"")</f>
        <v/>
      </c>
      <c r="S830" s="1">
        <f>IF(Data!S830&gt;0,Data!S830,"")</f>
        <v/>
      </c>
      <c r="V830" s="3">
        <f>IF(COUNT(D830,J830,K830,L830,M830,O830)&gt;0,AVERAGE(D830,J830,K830,L830,M830,O830),"")</f>
        <v/>
      </c>
      <c r="W830" s="3">
        <f>IF(COUNT(C830,F830,G830,N830,Q830)&gt;0,AVERAGE(C830,F830,G830,N830,Q830),"")</f>
        <v/>
      </c>
      <c r="X830" s="3">
        <f>IF(COUNT(B830,E830,H830,I830,P830,R830,S830)&gt;0,AVERAGE(B830,E830,H830,I830,P830,R830,S830),"")</f>
        <v/>
      </c>
      <c r="Y830" s="3" t="n"/>
      <c r="AJ830">
        <f>IFERROR(AVERAGEIF($A$4:$A$1004,AI830,$V$4:$V$1004),"")</f>
        <v/>
      </c>
      <c r="AK830">
        <f>IFERROR(AVERAGEIF($A$4:$A$1004,AI830,$W$4:$W$1004),"")</f>
        <v/>
      </c>
      <c r="AL830">
        <f>IFERROR(AVERAGEIF($A$4:$A$1004,AI830,$X$4:$X$1004),"")</f>
        <v/>
      </c>
    </row>
    <row r="831">
      <c r="A831" s="1">
        <f>IF(Data!A831&gt;0,Data!A831,"")</f>
        <v/>
      </c>
      <c r="B831" s="1">
        <f>IF(Data!B831&gt;0,Data!B831,"")</f>
        <v/>
      </c>
      <c r="C831" s="1">
        <f>IF(Data!C831&gt;0,Data!C831,"")</f>
        <v/>
      </c>
      <c r="D831" s="1">
        <f>IF(Data!D831&gt;0,Data!D831,"")</f>
        <v/>
      </c>
      <c r="E831" s="1">
        <f>IF(Data!E831&gt;0,Data!E831,"")</f>
        <v/>
      </c>
      <c r="F831" s="1">
        <f>IF(Data!F831&gt;0,Data!F831,"")</f>
        <v/>
      </c>
      <c r="G831" s="1">
        <f>IF(Data!G831&gt;0,Data!G831,"")</f>
        <v/>
      </c>
      <c r="H831" s="1">
        <f>IF(Data!H831&gt;0,Data!H831,"")</f>
        <v/>
      </c>
      <c r="I831" s="1">
        <f>IF(Data!I831&gt;0,Data!I831,"")</f>
        <v/>
      </c>
      <c r="J831" s="1">
        <f>IF(Data!J831&gt;0,Data!J831,"")</f>
        <v/>
      </c>
      <c r="K831" s="1">
        <f>IF(Data!K831&gt;0,Data!K831,"")</f>
        <v/>
      </c>
      <c r="L831" s="1">
        <f>IF(Data!L831&gt;0,Data!L831,"")</f>
        <v/>
      </c>
      <c r="M831" s="1">
        <f>IF(Data!M831&gt;0,Data!M831,"")</f>
        <v/>
      </c>
      <c r="N831" s="1">
        <f>IF(Data!N831&gt;0,Data!N831,"")</f>
        <v/>
      </c>
      <c r="O831" s="1">
        <f>IF(Data!O831&gt;0,Data!O831,"")</f>
        <v/>
      </c>
      <c r="P831" s="1">
        <f>IF(Data!P831&gt;0,Data!P831,"")</f>
        <v/>
      </c>
      <c r="Q831" s="1">
        <f>IF(Data!Q831&gt;0,Data!Q831,"")</f>
        <v/>
      </c>
      <c r="R831" s="1">
        <f>IF(Data!R831&gt;0,Data!R831,"")</f>
        <v/>
      </c>
      <c r="S831" s="1">
        <f>IF(Data!S831&gt;0,Data!S831,"")</f>
        <v/>
      </c>
      <c r="V831" s="3">
        <f>IF(COUNT(D831,J831,K831,L831,M831,O831)&gt;0,AVERAGE(D831,J831,K831,L831,M831,O831),"")</f>
        <v/>
      </c>
      <c r="W831" s="3">
        <f>IF(COUNT(C831,F831,G831,N831,Q831)&gt;0,AVERAGE(C831,F831,G831,N831,Q831),"")</f>
        <v/>
      </c>
      <c r="X831" s="3">
        <f>IF(COUNT(B831,E831,H831,I831,P831,R831,S831)&gt;0,AVERAGE(B831,E831,H831,I831,P831,R831,S831),"")</f>
        <v/>
      </c>
      <c r="Y831" s="3" t="n"/>
      <c r="AJ831">
        <f>IFERROR(AVERAGEIF($A$4:$A$1004,AI831,$V$4:$V$1004),"")</f>
        <v/>
      </c>
      <c r="AK831">
        <f>IFERROR(AVERAGEIF($A$4:$A$1004,AI831,$W$4:$W$1004),"")</f>
        <v/>
      </c>
      <c r="AL831">
        <f>IFERROR(AVERAGEIF($A$4:$A$1004,AI831,$X$4:$X$1004),"")</f>
        <v/>
      </c>
    </row>
    <row r="832">
      <c r="A832" s="1">
        <f>IF(Data!A832&gt;0,Data!A832,"")</f>
        <v/>
      </c>
      <c r="B832" s="1">
        <f>IF(Data!B832&gt;0,Data!B832,"")</f>
        <v/>
      </c>
      <c r="C832" s="1">
        <f>IF(Data!C832&gt;0,Data!C832,"")</f>
        <v/>
      </c>
      <c r="D832" s="1">
        <f>IF(Data!D832&gt;0,Data!D832,"")</f>
        <v/>
      </c>
      <c r="E832" s="1">
        <f>IF(Data!E832&gt;0,Data!E832,"")</f>
        <v/>
      </c>
      <c r="F832" s="1">
        <f>IF(Data!F832&gt;0,Data!F832,"")</f>
        <v/>
      </c>
      <c r="G832" s="1">
        <f>IF(Data!G832&gt;0,Data!G832,"")</f>
        <v/>
      </c>
      <c r="H832" s="1">
        <f>IF(Data!H832&gt;0,Data!H832,"")</f>
        <v/>
      </c>
      <c r="I832" s="1">
        <f>IF(Data!I832&gt;0,Data!I832,"")</f>
        <v/>
      </c>
      <c r="J832" s="1">
        <f>IF(Data!J832&gt;0,Data!J832,"")</f>
        <v/>
      </c>
      <c r="K832" s="1">
        <f>IF(Data!K832&gt;0,Data!K832,"")</f>
        <v/>
      </c>
      <c r="L832" s="1">
        <f>IF(Data!L832&gt;0,Data!L832,"")</f>
        <v/>
      </c>
      <c r="M832" s="1">
        <f>IF(Data!M832&gt;0,Data!M832,"")</f>
        <v/>
      </c>
      <c r="N832" s="1">
        <f>IF(Data!N832&gt;0,Data!N832,"")</f>
        <v/>
      </c>
      <c r="O832" s="1">
        <f>IF(Data!O832&gt;0,Data!O832,"")</f>
        <v/>
      </c>
      <c r="P832" s="1">
        <f>IF(Data!P832&gt;0,Data!P832,"")</f>
        <v/>
      </c>
      <c r="Q832" s="1">
        <f>IF(Data!Q832&gt;0,Data!Q832,"")</f>
        <v/>
      </c>
      <c r="R832" s="1">
        <f>IF(Data!R832&gt;0,Data!R832,"")</f>
        <v/>
      </c>
      <c r="S832" s="1">
        <f>IF(Data!S832&gt;0,Data!S832,"")</f>
        <v/>
      </c>
      <c r="V832" s="3">
        <f>IF(COUNT(D832,J832,K832,L832,M832,O832)&gt;0,AVERAGE(D832,J832,K832,L832,M832,O832),"")</f>
        <v/>
      </c>
      <c r="W832" s="3">
        <f>IF(COUNT(C832,F832,G832,N832,Q832)&gt;0,AVERAGE(C832,F832,G832,N832,Q832),"")</f>
        <v/>
      </c>
      <c r="X832" s="3">
        <f>IF(COUNT(B832,E832,H832,I832,P832,R832,S832)&gt;0,AVERAGE(B832,E832,H832,I832,P832,R832,S832),"")</f>
        <v/>
      </c>
      <c r="Y832" s="3" t="n"/>
      <c r="AJ832">
        <f>IFERROR(AVERAGEIF($A$4:$A$1004,AI832,$V$4:$V$1004),"")</f>
        <v/>
      </c>
      <c r="AK832">
        <f>IFERROR(AVERAGEIF($A$4:$A$1004,AI832,$W$4:$W$1004),"")</f>
        <v/>
      </c>
      <c r="AL832">
        <f>IFERROR(AVERAGEIF($A$4:$A$1004,AI832,$X$4:$X$1004),"")</f>
        <v/>
      </c>
    </row>
    <row r="833">
      <c r="A833" s="1">
        <f>IF(Data!A833&gt;0,Data!A833,"")</f>
        <v/>
      </c>
      <c r="B833" s="1">
        <f>IF(Data!B833&gt;0,Data!B833,"")</f>
        <v/>
      </c>
      <c r="C833" s="1">
        <f>IF(Data!C833&gt;0,Data!C833,"")</f>
        <v/>
      </c>
      <c r="D833" s="1">
        <f>IF(Data!D833&gt;0,Data!D833,"")</f>
        <v/>
      </c>
      <c r="E833" s="1">
        <f>IF(Data!E833&gt;0,Data!E833,"")</f>
        <v/>
      </c>
      <c r="F833" s="1">
        <f>IF(Data!F833&gt;0,Data!F833,"")</f>
        <v/>
      </c>
      <c r="G833" s="1">
        <f>IF(Data!G833&gt;0,Data!G833,"")</f>
        <v/>
      </c>
      <c r="H833" s="1">
        <f>IF(Data!H833&gt;0,Data!H833,"")</f>
        <v/>
      </c>
      <c r="I833" s="1">
        <f>IF(Data!I833&gt;0,Data!I833,"")</f>
        <v/>
      </c>
      <c r="J833" s="1">
        <f>IF(Data!J833&gt;0,Data!J833,"")</f>
        <v/>
      </c>
      <c r="K833" s="1">
        <f>IF(Data!K833&gt;0,Data!K833,"")</f>
        <v/>
      </c>
      <c r="L833" s="1">
        <f>IF(Data!L833&gt;0,Data!L833,"")</f>
        <v/>
      </c>
      <c r="M833" s="1">
        <f>IF(Data!M833&gt;0,Data!M833,"")</f>
        <v/>
      </c>
      <c r="N833" s="1">
        <f>IF(Data!N833&gt;0,Data!N833,"")</f>
        <v/>
      </c>
      <c r="O833" s="1">
        <f>IF(Data!O833&gt;0,Data!O833,"")</f>
        <v/>
      </c>
      <c r="P833" s="1">
        <f>IF(Data!P833&gt;0,Data!P833,"")</f>
        <v/>
      </c>
      <c r="Q833" s="1">
        <f>IF(Data!Q833&gt;0,Data!Q833,"")</f>
        <v/>
      </c>
      <c r="R833" s="1">
        <f>IF(Data!R833&gt;0,Data!R833,"")</f>
        <v/>
      </c>
      <c r="S833" s="1">
        <f>IF(Data!S833&gt;0,Data!S833,"")</f>
        <v/>
      </c>
      <c r="V833" s="3">
        <f>IF(COUNT(D833,J833,K833,L833,M833,O833)&gt;0,AVERAGE(D833,J833,K833,L833,M833,O833),"")</f>
        <v/>
      </c>
      <c r="W833" s="3">
        <f>IF(COUNT(C833,F833,G833,N833,Q833)&gt;0,AVERAGE(C833,F833,G833,N833,Q833),"")</f>
        <v/>
      </c>
      <c r="X833" s="3">
        <f>IF(COUNT(B833,E833,H833,I833,P833,R833,S833)&gt;0,AVERAGE(B833,E833,H833,I833,P833,R833,S833),"")</f>
        <v/>
      </c>
      <c r="Y833" s="3" t="n"/>
      <c r="AJ833">
        <f>IFERROR(AVERAGEIF($A$4:$A$1004,AI833,$V$4:$V$1004),"")</f>
        <v/>
      </c>
      <c r="AK833">
        <f>IFERROR(AVERAGEIF($A$4:$A$1004,AI833,$W$4:$W$1004),"")</f>
        <v/>
      </c>
      <c r="AL833">
        <f>IFERROR(AVERAGEIF($A$4:$A$1004,AI833,$X$4:$X$1004),"")</f>
        <v/>
      </c>
    </row>
    <row r="834">
      <c r="A834" s="1">
        <f>IF(Data!A834&gt;0,Data!A834,"")</f>
        <v/>
      </c>
      <c r="B834" s="1">
        <f>IF(Data!B834&gt;0,Data!B834,"")</f>
        <v/>
      </c>
      <c r="C834" s="1">
        <f>IF(Data!C834&gt;0,Data!C834,"")</f>
        <v/>
      </c>
      <c r="D834" s="1">
        <f>IF(Data!D834&gt;0,Data!D834,"")</f>
        <v/>
      </c>
      <c r="E834" s="1">
        <f>IF(Data!E834&gt;0,Data!E834,"")</f>
        <v/>
      </c>
      <c r="F834" s="1">
        <f>IF(Data!F834&gt;0,Data!F834,"")</f>
        <v/>
      </c>
      <c r="G834" s="1">
        <f>IF(Data!G834&gt;0,Data!G834,"")</f>
        <v/>
      </c>
      <c r="H834" s="1">
        <f>IF(Data!H834&gt;0,Data!H834,"")</f>
        <v/>
      </c>
      <c r="I834" s="1">
        <f>IF(Data!I834&gt;0,Data!I834,"")</f>
        <v/>
      </c>
      <c r="J834" s="1">
        <f>IF(Data!J834&gt;0,Data!J834,"")</f>
        <v/>
      </c>
      <c r="K834" s="1">
        <f>IF(Data!K834&gt;0,Data!K834,"")</f>
        <v/>
      </c>
      <c r="L834" s="1">
        <f>IF(Data!L834&gt;0,Data!L834,"")</f>
        <v/>
      </c>
      <c r="M834" s="1">
        <f>IF(Data!M834&gt;0,Data!M834,"")</f>
        <v/>
      </c>
      <c r="N834" s="1">
        <f>IF(Data!N834&gt;0,Data!N834,"")</f>
        <v/>
      </c>
      <c r="O834" s="1">
        <f>IF(Data!O834&gt;0,Data!O834,"")</f>
        <v/>
      </c>
      <c r="P834" s="1">
        <f>IF(Data!P834&gt;0,Data!P834,"")</f>
        <v/>
      </c>
      <c r="Q834" s="1">
        <f>IF(Data!Q834&gt;0,Data!Q834,"")</f>
        <v/>
      </c>
      <c r="R834" s="1">
        <f>IF(Data!R834&gt;0,Data!R834,"")</f>
        <v/>
      </c>
      <c r="S834" s="1">
        <f>IF(Data!S834&gt;0,Data!S834,"")</f>
        <v/>
      </c>
      <c r="V834" s="3">
        <f>IF(COUNT(D834,J834,K834,L834,M834,O834)&gt;0,AVERAGE(D834,J834,K834,L834,M834,O834),"")</f>
        <v/>
      </c>
      <c r="W834" s="3">
        <f>IF(COUNT(C834,F834,G834,N834,Q834)&gt;0,AVERAGE(C834,F834,G834,N834,Q834),"")</f>
        <v/>
      </c>
      <c r="X834" s="3">
        <f>IF(COUNT(B834,E834,H834,I834,P834,R834,S834)&gt;0,AVERAGE(B834,E834,H834,I834,P834,R834,S834),"")</f>
        <v/>
      </c>
      <c r="Y834" s="3" t="n"/>
      <c r="AJ834">
        <f>IFERROR(AVERAGEIF($A$4:$A$1004,AI834,$V$4:$V$1004),"")</f>
        <v/>
      </c>
      <c r="AK834">
        <f>IFERROR(AVERAGEIF($A$4:$A$1004,AI834,$W$4:$W$1004),"")</f>
        <v/>
      </c>
      <c r="AL834">
        <f>IFERROR(AVERAGEIF($A$4:$A$1004,AI834,$X$4:$X$1004),"")</f>
        <v/>
      </c>
    </row>
    <row r="835">
      <c r="A835" s="1">
        <f>IF(Data!A835&gt;0,Data!A835,"")</f>
        <v/>
      </c>
      <c r="B835" s="1">
        <f>IF(Data!B835&gt;0,Data!B835,"")</f>
        <v/>
      </c>
      <c r="C835" s="1">
        <f>IF(Data!C835&gt;0,Data!C835,"")</f>
        <v/>
      </c>
      <c r="D835" s="1">
        <f>IF(Data!D835&gt;0,Data!D835,"")</f>
        <v/>
      </c>
      <c r="E835" s="1">
        <f>IF(Data!E835&gt;0,Data!E835,"")</f>
        <v/>
      </c>
      <c r="F835" s="1">
        <f>IF(Data!F835&gt;0,Data!F835,"")</f>
        <v/>
      </c>
      <c r="G835" s="1">
        <f>IF(Data!G835&gt;0,Data!G835,"")</f>
        <v/>
      </c>
      <c r="H835" s="1">
        <f>IF(Data!H835&gt;0,Data!H835,"")</f>
        <v/>
      </c>
      <c r="I835" s="1">
        <f>IF(Data!I835&gt;0,Data!I835,"")</f>
        <v/>
      </c>
      <c r="J835" s="1">
        <f>IF(Data!J835&gt;0,Data!J835,"")</f>
        <v/>
      </c>
      <c r="K835" s="1">
        <f>IF(Data!K835&gt;0,Data!K835,"")</f>
        <v/>
      </c>
      <c r="L835" s="1">
        <f>IF(Data!L835&gt;0,Data!L835,"")</f>
        <v/>
      </c>
      <c r="M835" s="1">
        <f>IF(Data!M835&gt;0,Data!M835,"")</f>
        <v/>
      </c>
      <c r="N835" s="1">
        <f>IF(Data!N835&gt;0,Data!N835,"")</f>
        <v/>
      </c>
      <c r="O835" s="1">
        <f>IF(Data!O835&gt;0,Data!O835,"")</f>
        <v/>
      </c>
      <c r="P835" s="1">
        <f>IF(Data!P835&gt;0,Data!P835,"")</f>
        <v/>
      </c>
      <c r="Q835" s="1">
        <f>IF(Data!Q835&gt;0,Data!Q835,"")</f>
        <v/>
      </c>
      <c r="R835" s="1">
        <f>IF(Data!R835&gt;0,Data!R835,"")</f>
        <v/>
      </c>
      <c r="S835" s="1">
        <f>IF(Data!S835&gt;0,Data!S835,"")</f>
        <v/>
      </c>
      <c r="V835" s="3">
        <f>IF(COUNT(D835,J835,K835,L835,M835,O835)&gt;0,AVERAGE(D835,J835,K835,L835,M835,O835),"")</f>
        <v/>
      </c>
      <c r="W835" s="3">
        <f>IF(COUNT(C835,F835,G835,N835,Q835)&gt;0,AVERAGE(C835,F835,G835,N835,Q835),"")</f>
        <v/>
      </c>
      <c r="X835" s="3">
        <f>IF(COUNT(B835,E835,H835,I835,P835,R835,S835)&gt;0,AVERAGE(B835,E835,H835,I835,P835,R835,S835),"")</f>
        <v/>
      </c>
      <c r="Y835" s="3" t="n"/>
      <c r="AJ835">
        <f>IFERROR(AVERAGEIF($A$4:$A$1004,AI835,$V$4:$V$1004),"")</f>
        <v/>
      </c>
      <c r="AK835">
        <f>IFERROR(AVERAGEIF($A$4:$A$1004,AI835,$W$4:$W$1004),"")</f>
        <v/>
      </c>
      <c r="AL835">
        <f>IFERROR(AVERAGEIF($A$4:$A$1004,AI835,$X$4:$X$1004),"")</f>
        <v/>
      </c>
    </row>
    <row r="836">
      <c r="A836" s="1">
        <f>IF(Data!A836&gt;0,Data!A836,"")</f>
        <v/>
      </c>
      <c r="B836" s="1">
        <f>IF(Data!B836&gt;0,Data!B836,"")</f>
        <v/>
      </c>
      <c r="C836" s="1">
        <f>IF(Data!C836&gt;0,Data!C836,"")</f>
        <v/>
      </c>
      <c r="D836" s="1">
        <f>IF(Data!D836&gt;0,Data!D836,"")</f>
        <v/>
      </c>
      <c r="E836" s="1">
        <f>IF(Data!E836&gt;0,Data!E836,"")</f>
        <v/>
      </c>
      <c r="F836" s="1">
        <f>IF(Data!F836&gt;0,Data!F836,"")</f>
        <v/>
      </c>
      <c r="G836" s="1">
        <f>IF(Data!G836&gt;0,Data!G836,"")</f>
        <v/>
      </c>
      <c r="H836" s="1">
        <f>IF(Data!H836&gt;0,Data!H836,"")</f>
        <v/>
      </c>
      <c r="I836" s="1">
        <f>IF(Data!I836&gt;0,Data!I836,"")</f>
        <v/>
      </c>
      <c r="J836" s="1">
        <f>IF(Data!J836&gt;0,Data!J836,"")</f>
        <v/>
      </c>
      <c r="K836" s="1">
        <f>IF(Data!K836&gt;0,Data!K836,"")</f>
        <v/>
      </c>
      <c r="L836" s="1">
        <f>IF(Data!L836&gt;0,Data!L836,"")</f>
        <v/>
      </c>
      <c r="M836" s="1">
        <f>IF(Data!M836&gt;0,Data!M836,"")</f>
        <v/>
      </c>
      <c r="N836" s="1">
        <f>IF(Data!N836&gt;0,Data!N836,"")</f>
        <v/>
      </c>
      <c r="O836" s="1">
        <f>IF(Data!O836&gt;0,Data!O836,"")</f>
        <v/>
      </c>
      <c r="P836" s="1">
        <f>IF(Data!P836&gt;0,Data!P836,"")</f>
        <v/>
      </c>
      <c r="Q836" s="1">
        <f>IF(Data!Q836&gt;0,Data!Q836,"")</f>
        <v/>
      </c>
      <c r="R836" s="1">
        <f>IF(Data!R836&gt;0,Data!R836,"")</f>
        <v/>
      </c>
      <c r="S836" s="1">
        <f>IF(Data!S836&gt;0,Data!S836,"")</f>
        <v/>
      </c>
      <c r="V836" s="3">
        <f>IF(COUNT(D836,J836,K836,L836,M836,O836)&gt;0,AVERAGE(D836,J836,K836,L836,M836,O836),"")</f>
        <v/>
      </c>
      <c r="W836" s="3">
        <f>IF(COUNT(C836,F836,G836,N836,Q836)&gt;0,AVERAGE(C836,F836,G836,N836,Q836),"")</f>
        <v/>
      </c>
      <c r="X836" s="3">
        <f>IF(COUNT(B836,E836,H836,I836,P836,R836,S836)&gt;0,AVERAGE(B836,E836,H836,I836,P836,R836,S836),"")</f>
        <v/>
      </c>
      <c r="Y836" s="3" t="n"/>
      <c r="AJ836">
        <f>IFERROR(AVERAGEIF($A$4:$A$1004,AI836,$V$4:$V$1004),"")</f>
        <v/>
      </c>
      <c r="AK836">
        <f>IFERROR(AVERAGEIF($A$4:$A$1004,AI836,$W$4:$W$1004),"")</f>
        <v/>
      </c>
      <c r="AL836">
        <f>IFERROR(AVERAGEIF($A$4:$A$1004,AI836,$X$4:$X$1004),"")</f>
        <v/>
      </c>
    </row>
    <row r="837">
      <c r="A837" s="1">
        <f>IF(Data!A837&gt;0,Data!A837,"")</f>
        <v/>
      </c>
      <c r="B837" s="1">
        <f>IF(Data!B837&gt;0,Data!B837,"")</f>
        <v/>
      </c>
      <c r="C837" s="1">
        <f>IF(Data!C837&gt;0,Data!C837,"")</f>
        <v/>
      </c>
      <c r="D837" s="1">
        <f>IF(Data!D837&gt;0,Data!D837,"")</f>
        <v/>
      </c>
      <c r="E837" s="1">
        <f>IF(Data!E837&gt;0,Data!E837,"")</f>
        <v/>
      </c>
      <c r="F837" s="1">
        <f>IF(Data!F837&gt;0,Data!F837,"")</f>
        <v/>
      </c>
      <c r="G837" s="1">
        <f>IF(Data!G837&gt;0,Data!G837,"")</f>
        <v/>
      </c>
      <c r="H837" s="1">
        <f>IF(Data!H837&gt;0,Data!H837,"")</f>
        <v/>
      </c>
      <c r="I837" s="1">
        <f>IF(Data!I837&gt;0,Data!I837,"")</f>
        <v/>
      </c>
      <c r="J837" s="1">
        <f>IF(Data!J837&gt;0,Data!J837,"")</f>
        <v/>
      </c>
      <c r="K837" s="1">
        <f>IF(Data!K837&gt;0,Data!K837,"")</f>
        <v/>
      </c>
      <c r="L837" s="1">
        <f>IF(Data!L837&gt;0,Data!L837,"")</f>
        <v/>
      </c>
      <c r="M837" s="1">
        <f>IF(Data!M837&gt;0,Data!M837,"")</f>
        <v/>
      </c>
      <c r="N837" s="1">
        <f>IF(Data!N837&gt;0,Data!N837,"")</f>
        <v/>
      </c>
      <c r="O837" s="1">
        <f>IF(Data!O837&gt;0,Data!O837,"")</f>
        <v/>
      </c>
      <c r="P837" s="1">
        <f>IF(Data!P837&gt;0,Data!P837,"")</f>
        <v/>
      </c>
      <c r="Q837" s="1">
        <f>IF(Data!Q837&gt;0,Data!Q837,"")</f>
        <v/>
      </c>
      <c r="R837" s="1">
        <f>IF(Data!R837&gt;0,Data!R837,"")</f>
        <v/>
      </c>
      <c r="S837" s="1">
        <f>IF(Data!S837&gt;0,Data!S837,"")</f>
        <v/>
      </c>
      <c r="V837" s="3">
        <f>IF(COUNT(D837,J837,K837,L837,M837,O837)&gt;0,AVERAGE(D837,J837,K837,L837,M837,O837),"")</f>
        <v/>
      </c>
      <c r="W837" s="3">
        <f>IF(COUNT(C837,F837,G837,N837,Q837)&gt;0,AVERAGE(C837,F837,G837,N837,Q837),"")</f>
        <v/>
      </c>
      <c r="X837" s="3">
        <f>IF(COUNT(B837,E837,H837,I837,P837,R837,S837)&gt;0,AVERAGE(B837,E837,H837,I837,P837,R837,S837),"")</f>
        <v/>
      </c>
      <c r="Y837" s="3" t="n"/>
      <c r="AJ837">
        <f>IFERROR(AVERAGEIF($A$4:$A$1004,AI837,$V$4:$V$1004),"")</f>
        <v/>
      </c>
      <c r="AK837">
        <f>IFERROR(AVERAGEIF($A$4:$A$1004,AI837,$W$4:$W$1004),"")</f>
        <v/>
      </c>
      <c r="AL837">
        <f>IFERROR(AVERAGEIF($A$4:$A$1004,AI837,$X$4:$X$1004),"")</f>
        <v/>
      </c>
    </row>
    <row r="838">
      <c r="A838" s="1">
        <f>IF(Data!A838&gt;0,Data!A838,"")</f>
        <v/>
      </c>
      <c r="B838" s="1">
        <f>IF(Data!B838&gt;0,Data!B838,"")</f>
        <v/>
      </c>
      <c r="C838" s="1">
        <f>IF(Data!C838&gt;0,Data!C838,"")</f>
        <v/>
      </c>
      <c r="D838" s="1">
        <f>IF(Data!D838&gt;0,Data!D838,"")</f>
        <v/>
      </c>
      <c r="E838" s="1">
        <f>IF(Data!E838&gt;0,Data!E838,"")</f>
        <v/>
      </c>
      <c r="F838" s="1">
        <f>IF(Data!F838&gt;0,Data!F838,"")</f>
        <v/>
      </c>
      <c r="G838" s="1">
        <f>IF(Data!G838&gt;0,Data!G838,"")</f>
        <v/>
      </c>
      <c r="H838" s="1">
        <f>IF(Data!H838&gt;0,Data!H838,"")</f>
        <v/>
      </c>
      <c r="I838" s="1">
        <f>IF(Data!I838&gt;0,Data!I838,"")</f>
        <v/>
      </c>
      <c r="J838" s="1">
        <f>IF(Data!J838&gt;0,Data!J838,"")</f>
        <v/>
      </c>
      <c r="K838" s="1">
        <f>IF(Data!K838&gt;0,Data!K838,"")</f>
        <v/>
      </c>
      <c r="L838" s="1">
        <f>IF(Data!L838&gt;0,Data!L838,"")</f>
        <v/>
      </c>
      <c r="M838" s="1">
        <f>IF(Data!M838&gt;0,Data!M838,"")</f>
        <v/>
      </c>
      <c r="N838" s="1">
        <f>IF(Data!N838&gt;0,Data!N838,"")</f>
        <v/>
      </c>
      <c r="O838" s="1">
        <f>IF(Data!O838&gt;0,Data!O838,"")</f>
        <v/>
      </c>
      <c r="P838" s="1">
        <f>IF(Data!P838&gt;0,Data!P838,"")</f>
        <v/>
      </c>
      <c r="Q838" s="1">
        <f>IF(Data!Q838&gt;0,Data!Q838,"")</f>
        <v/>
      </c>
      <c r="R838" s="1">
        <f>IF(Data!R838&gt;0,Data!R838,"")</f>
        <v/>
      </c>
      <c r="S838" s="1">
        <f>IF(Data!S838&gt;0,Data!S838,"")</f>
        <v/>
      </c>
      <c r="V838" s="3">
        <f>IF(COUNT(D838,J838,K838,L838,M838,O838)&gt;0,AVERAGE(D838,J838,K838,L838,M838,O838),"")</f>
        <v/>
      </c>
      <c r="W838" s="3">
        <f>IF(COUNT(C838,F838,G838,N838,Q838)&gt;0,AVERAGE(C838,F838,G838,N838,Q838),"")</f>
        <v/>
      </c>
      <c r="X838" s="3">
        <f>IF(COUNT(B838,E838,H838,I838,P838,R838,S838)&gt;0,AVERAGE(B838,E838,H838,I838,P838,R838,S838),"")</f>
        <v/>
      </c>
      <c r="Y838" s="3" t="n"/>
      <c r="AJ838">
        <f>IFERROR(AVERAGEIF($A$4:$A$1004,AI838,$V$4:$V$1004),"")</f>
        <v/>
      </c>
      <c r="AK838">
        <f>IFERROR(AVERAGEIF($A$4:$A$1004,AI838,$W$4:$W$1004),"")</f>
        <v/>
      </c>
      <c r="AL838">
        <f>IFERROR(AVERAGEIF($A$4:$A$1004,AI838,$X$4:$X$1004),"")</f>
        <v/>
      </c>
    </row>
    <row r="839">
      <c r="A839" s="1">
        <f>IF(Data!A839&gt;0,Data!A839,"")</f>
        <v/>
      </c>
      <c r="B839" s="1">
        <f>IF(Data!B839&gt;0,Data!B839,"")</f>
        <v/>
      </c>
      <c r="C839" s="1">
        <f>IF(Data!C839&gt;0,Data!C839,"")</f>
        <v/>
      </c>
      <c r="D839" s="1">
        <f>IF(Data!D839&gt;0,Data!D839,"")</f>
        <v/>
      </c>
      <c r="E839" s="1">
        <f>IF(Data!E839&gt;0,Data!E839,"")</f>
        <v/>
      </c>
      <c r="F839" s="1">
        <f>IF(Data!F839&gt;0,Data!F839,"")</f>
        <v/>
      </c>
      <c r="G839" s="1">
        <f>IF(Data!G839&gt;0,Data!G839,"")</f>
        <v/>
      </c>
      <c r="H839" s="1">
        <f>IF(Data!H839&gt;0,Data!H839,"")</f>
        <v/>
      </c>
      <c r="I839" s="1">
        <f>IF(Data!I839&gt;0,Data!I839,"")</f>
        <v/>
      </c>
      <c r="J839" s="1">
        <f>IF(Data!J839&gt;0,Data!J839,"")</f>
        <v/>
      </c>
      <c r="K839" s="1">
        <f>IF(Data!K839&gt;0,Data!K839,"")</f>
        <v/>
      </c>
      <c r="L839" s="1">
        <f>IF(Data!L839&gt;0,Data!L839,"")</f>
        <v/>
      </c>
      <c r="M839" s="1">
        <f>IF(Data!M839&gt;0,Data!M839,"")</f>
        <v/>
      </c>
      <c r="N839" s="1">
        <f>IF(Data!N839&gt;0,Data!N839,"")</f>
        <v/>
      </c>
      <c r="O839" s="1">
        <f>IF(Data!O839&gt;0,Data!O839,"")</f>
        <v/>
      </c>
      <c r="P839" s="1">
        <f>IF(Data!P839&gt;0,Data!P839,"")</f>
        <v/>
      </c>
      <c r="Q839" s="1">
        <f>IF(Data!Q839&gt;0,Data!Q839,"")</f>
        <v/>
      </c>
      <c r="R839" s="1">
        <f>IF(Data!R839&gt;0,Data!R839,"")</f>
        <v/>
      </c>
      <c r="S839" s="1">
        <f>IF(Data!S839&gt;0,Data!S839,"")</f>
        <v/>
      </c>
      <c r="V839" s="3">
        <f>IF(COUNT(D839,J839,K839,L839,M839,O839)&gt;0,AVERAGE(D839,J839,K839,L839,M839,O839),"")</f>
        <v/>
      </c>
      <c r="W839" s="3">
        <f>IF(COUNT(C839,F839,G839,N839,Q839)&gt;0,AVERAGE(C839,F839,G839,N839,Q839),"")</f>
        <v/>
      </c>
      <c r="X839" s="3">
        <f>IF(COUNT(B839,E839,H839,I839,P839,R839,S839)&gt;0,AVERAGE(B839,E839,H839,I839,P839,R839,S839),"")</f>
        <v/>
      </c>
      <c r="Y839" s="3" t="n"/>
      <c r="AJ839">
        <f>IFERROR(AVERAGEIF($A$4:$A$1004,AI839,$V$4:$V$1004),"")</f>
        <v/>
      </c>
      <c r="AK839">
        <f>IFERROR(AVERAGEIF($A$4:$A$1004,AI839,$W$4:$W$1004),"")</f>
        <v/>
      </c>
      <c r="AL839">
        <f>IFERROR(AVERAGEIF($A$4:$A$1004,AI839,$X$4:$X$1004),"")</f>
        <v/>
      </c>
    </row>
    <row r="840">
      <c r="A840" s="1">
        <f>IF(Data!A840&gt;0,Data!A840,"")</f>
        <v/>
      </c>
      <c r="B840" s="1">
        <f>IF(Data!B840&gt;0,Data!B840,"")</f>
        <v/>
      </c>
      <c r="C840" s="1">
        <f>IF(Data!C840&gt;0,Data!C840,"")</f>
        <v/>
      </c>
      <c r="D840" s="1">
        <f>IF(Data!D840&gt;0,Data!D840,"")</f>
        <v/>
      </c>
      <c r="E840" s="1">
        <f>IF(Data!E840&gt;0,Data!E840,"")</f>
        <v/>
      </c>
      <c r="F840" s="1">
        <f>IF(Data!F840&gt;0,Data!F840,"")</f>
        <v/>
      </c>
      <c r="G840" s="1">
        <f>IF(Data!G840&gt;0,Data!G840,"")</f>
        <v/>
      </c>
      <c r="H840" s="1">
        <f>IF(Data!H840&gt;0,Data!H840,"")</f>
        <v/>
      </c>
      <c r="I840" s="1">
        <f>IF(Data!I840&gt;0,Data!I840,"")</f>
        <v/>
      </c>
      <c r="J840" s="1">
        <f>IF(Data!J840&gt;0,Data!J840,"")</f>
        <v/>
      </c>
      <c r="K840" s="1">
        <f>IF(Data!K840&gt;0,Data!K840,"")</f>
        <v/>
      </c>
      <c r="L840" s="1">
        <f>IF(Data!L840&gt;0,Data!L840,"")</f>
        <v/>
      </c>
      <c r="M840" s="1">
        <f>IF(Data!M840&gt;0,Data!M840,"")</f>
        <v/>
      </c>
      <c r="N840" s="1">
        <f>IF(Data!N840&gt;0,Data!N840,"")</f>
        <v/>
      </c>
      <c r="O840" s="1">
        <f>IF(Data!O840&gt;0,Data!O840,"")</f>
        <v/>
      </c>
      <c r="P840" s="1">
        <f>IF(Data!P840&gt;0,Data!P840,"")</f>
        <v/>
      </c>
      <c r="Q840" s="1">
        <f>IF(Data!Q840&gt;0,Data!Q840,"")</f>
        <v/>
      </c>
      <c r="R840" s="1">
        <f>IF(Data!R840&gt;0,Data!R840,"")</f>
        <v/>
      </c>
      <c r="S840" s="1">
        <f>IF(Data!S840&gt;0,Data!S840,"")</f>
        <v/>
      </c>
      <c r="V840" s="3">
        <f>IF(COUNT(D840,J840,K840,L840,M840,O840)&gt;0,AVERAGE(D840,J840,K840,L840,M840,O840),"")</f>
        <v/>
      </c>
      <c r="W840" s="3">
        <f>IF(COUNT(C840,F840,G840,N840,Q840)&gt;0,AVERAGE(C840,F840,G840,N840,Q840),"")</f>
        <v/>
      </c>
      <c r="X840" s="3">
        <f>IF(COUNT(B840,E840,H840,I840,P840,R840,S840)&gt;0,AVERAGE(B840,E840,H840,I840,P840,R840,S840),"")</f>
        <v/>
      </c>
      <c r="Y840" s="3" t="n"/>
      <c r="AJ840">
        <f>IFERROR(AVERAGEIF($A$4:$A$1004,AI840,$V$4:$V$1004),"")</f>
        <v/>
      </c>
      <c r="AK840">
        <f>IFERROR(AVERAGEIF($A$4:$A$1004,AI840,$W$4:$W$1004),"")</f>
        <v/>
      </c>
      <c r="AL840">
        <f>IFERROR(AVERAGEIF($A$4:$A$1004,AI840,$X$4:$X$1004),"")</f>
        <v/>
      </c>
    </row>
    <row r="841">
      <c r="A841" s="1">
        <f>IF(Data!A841&gt;0,Data!A841,"")</f>
        <v/>
      </c>
      <c r="B841" s="1">
        <f>IF(Data!B841&gt;0,Data!B841,"")</f>
        <v/>
      </c>
      <c r="C841" s="1">
        <f>IF(Data!C841&gt;0,Data!C841,"")</f>
        <v/>
      </c>
      <c r="D841" s="1">
        <f>IF(Data!D841&gt;0,Data!D841,"")</f>
        <v/>
      </c>
      <c r="E841" s="1">
        <f>IF(Data!E841&gt;0,Data!E841,"")</f>
        <v/>
      </c>
      <c r="F841" s="1">
        <f>IF(Data!F841&gt;0,Data!F841,"")</f>
        <v/>
      </c>
      <c r="G841" s="1">
        <f>IF(Data!G841&gt;0,Data!G841,"")</f>
        <v/>
      </c>
      <c r="H841" s="1">
        <f>IF(Data!H841&gt;0,Data!H841,"")</f>
        <v/>
      </c>
      <c r="I841" s="1">
        <f>IF(Data!I841&gt;0,Data!I841,"")</f>
        <v/>
      </c>
      <c r="J841" s="1">
        <f>IF(Data!J841&gt;0,Data!J841,"")</f>
        <v/>
      </c>
      <c r="K841" s="1">
        <f>IF(Data!K841&gt;0,Data!K841,"")</f>
        <v/>
      </c>
      <c r="L841" s="1">
        <f>IF(Data!L841&gt;0,Data!L841,"")</f>
        <v/>
      </c>
      <c r="M841" s="1">
        <f>IF(Data!M841&gt;0,Data!M841,"")</f>
        <v/>
      </c>
      <c r="N841" s="1">
        <f>IF(Data!N841&gt;0,Data!N841,"")</f>
        <v/>
      </c>
      <c r="O841" s="1">
        <f>IF(Data!O841&gt;0,Data!O841,"")</f>
        <v/>
      </c>
      <c r="P841" s="1">
        <f>IF(Data!P841&gt;0,Data!P841,"")</f>
        <v/>
      </c>
      <c r="Q841" s="1">
        <f>IF(Data!Q841&gt;0,Data!Q841,"")</f>
        <v/>
      </c>
      <c r="R841" s="1">
        <f>IF(Data!R841&gt;0,Data!R841,"")</f>
        <v/>
      </c>
      <c r="S841" s="1">
        <f>IF(Data!S841&gt;0,Data!S841,"")</f>
        <v/>
      </c>
      <c r="V841" s="3">
        <f>IF(COUNT(D841,J841,K841,L841,M841,O841)&gt;0,AVERAGE(D841,J841,K841,L841,M841,O841),"")</f>
        <v/>
      </c>
      <c r="W841" s="3">
        <f>IF(COUNT(C841,F841,G841,N841,Q841)&gt;0,AVERAGE(C841,F841,G841,N841,Q841),"")</f>
        <v/>
      </c>
      <c r="X841" s="3">
        <f>IF(COUNT(B841,E841,H841,I841,P841,R841,S841)&gt;0,AVERAGE(B841,E841,H841,I841,P841,R841,S841),"")</f>
        <v/>
      </c>
      <c r="Y841" s="3" t="n"/>
      <c r="AJ841">
        <f>IFERROR(AVERAGEIF($A$4:$A$1004,AI841,$V$4:$V$1004),"")</f>
        <v/>
      </c>
      <c r="AK841">
        <f>IFERROR(AVERAGEIF($A$4:$A$1004,AI841,$W$4:$W$1004),"")</f>
        <v/>
      </c>
      <c r="AL841">
        <f>IFERROR(AVERAGEIF($A$4:$A$1004,AI841,$X$4:$X$1004),"")</f>
        <v/>
      </c>
    </row>
    <row r="842">
      <c r="A842" s="1">
        <f>IF(Data!A842&gt;0,Data!A842,"")</f>
        <v/>
      </c>
      <c r="B842" s="1">
        <f>IF(Data!B842&gt;0,Data!B842,"")</f>
        <v/>
      </c>
      <c r="C842" s="1">
        <f>IF(Data!C842&gt;0,Data!C842,"")</f>
        <v/>
      </c>
      <c r="D842" s="1">
        <f>IF(Data!D842&gt;0,Data!D842,"")</f>
        <v/>
      </c>
      <c r="E842" s="1">
        <f>IF(Data!E842&gt;0,Data!E842,"")</f>
        <v/>
      </c>
      <c r="F842" s="1">
        <f>IF(Data!F842&gt;0,Data!F842,"")</f>
        <v/>
      </c>
      <c r="G842" s="1">
        <f>IF(Data!G842&gt;0,Data!G842,"")</f>
        <v/>
      </c>
      <c r="H842" s="1">
        <f>IF(Data!H842&gt;0,Data!H842,"")</f>
        <v/>
      </c>
      <c r="I842" s="1">
        <f>IF(Data!I842&gt;0,Data!I842,"")</f>
        <v/>
      </c>
      <c r="J842" s="1">
        <f>IF(Data!J842&gt;0,Data!J842,"")</f>
        <v/>
      </c>
      <c r="K842" s="1">
        <f>IF(Data!K842&gt;0,Data!K842,"")</f>
        <v/>
      </c>
      <c r="L842" s="1">
        <f>IF(Data!L842&gt;0,Data!L842,"")</f>
        <v/>
      </c>
      <c r="M842" s="1">
        <f>IF(Data!M842&gt;0,Data!M842,"")</f>
        <v/>
      </c>
      <c r="N842" s="1">
        <f>IF(Data!N842&gt;0,Data!N842,"")</f>
        <v/>
      </c>
      <c r="O842" s="1">
        <f>IF(Data!O842&gt;0,Data!O842,"")</f>
        <v/>
      </c>
      <c r="P842" s="1">
        <f>IF(Data!P842&gt;0,Data!P842,"")</f>
        <v/>
      </c>
      <c r="Q842" s="1">
        <f>IF(Data!Q842&gt;0,Data!Q842,"")</f>
        <v/>
      </c>
      <c r="R842" s="1">
        <f>IF(Data!R842&gt;0,Data!R842,"")</f>
        <v/>
      </c>
      <c r="S842" s="1">
        <f>IF(Data!S842&gt;0,Data!S842,"")</f>
        <v/>
      </c>
      <c r="V842" s="3">
        <f>IF(COUNT(D842,J842,K842,L842,M842,O842)&gt;0,AVERAGE(D842,J842,K842,L842,M842,O842),"")</f>
        <v/>
      </c>
      <c r="W842" s="3">
        <f>IF(COUNT(C842,F842,G842,N842,Q842)&gt;0,AVERAGE(C842,F842,G842,N842,Q842),"")</f>
        <v/>
      </c>
      <c r="X842" s="3">
        <f>IF(COUNT(B842,E842,H842,I842,P842,R842,S842)&gt;0,AVERAGE(B842,E842,H842,I842,P842,R842,S842),"")</f>
        <v/>
      </c>
      <c r="Y842" s="3" t="n"/>
      <c r="AJ842">
        <f>IFERROR(AVERAGEIF($A$4:$A$1004,AI842,$V$4:$V$1004),"")</f>
        <v/>
      </c>
      <c r="AK842">
        <f>IFERROR(AVERAGEIF($A$4:$A$1004,AI842,$W$4:$W$1004),"")</f>
        <v/>
      </c>
      <c r="AL842">
        <f>IFERROR(AVERAGEIF($A$4:$A$1004,AI842,$X$4:$X$1004),"")</f>
        <v/>
      </c>
    </row>
    <row r="843">
      <c r="A843" s="1">
        <f>IF(Data!A843&gt;0,Data!A843,"")</f>
        <v/>
      </c>
      <c r="B843" s="1">
        <f>IF(Data!B843&gt;0,Data!B843,"")</f>
        <v/>
      </c>
      <c r="C843" s="1">
        <f>IF(Data!C843&gt;0,Data!C843,"")</f>
        <v/>
      </c>
      <c r="D843" s="1">
        <f>IF(Data!D843&gt;0,Data!D843,"")</f>
        <v/>
      </c>
      <c r="E843" s="1">
        <f>IF(Data!E843&gt;0,Data!E843,"")</f>
        <v/>
      </c>
      <c r="F843" s="1">
        <f>IF(Data!F843&gt;0,Data!F843,"")</f>
        <v/>
      </c>
      <c r="G843" s="1">
        <f>IF(Data!G843&gt;0,Data!G843,"")</f>
        <v/>
      </c>
      <c r="H843" s="1">
        <f>IF(Data!H843&gt;0,Data!H843,"")</f>
        <v/>
      </c>
      <c r="I843" s="1">
        <f>IF(Data!I843&gt;0,Data!I843,"")</f>
        <v/>
      </c>
      <c r="J843" s="1">
        <f>IF(Data!J843&gt;0,Data!J843,"")</f>
        <v/>
      </c>
      <c r="K843" s="1">
        <f>IF(Data!K843&gt;0,Data!K843,"")</f>
        <v/>
      </c>
      <c r="L843" s="1">
        <f>IF(Data!L843&gt;0,Data!L843,"")</f>
        <v/>
      </c>
      <c r="M843" s="1">
        <f>IF(Data!M843&gt;0,Data!M843,"")</f>
        <v/>
      </c>
      <c r="N843" s="1">
        <f>IF(Data!N843&gt;0,Data!N843,"")</f>
        <v/>
      </c>
      <c r="O843" s="1">
        <f>IF(Data!O843&gt;0,Data!O843,"")</f>
        <v/>
      </c>
      <c r="P843" s="1">
        <f>IF(Data!P843&gt;0,Data!P843,"")</f>
        <v/>
      </c>
      <c r="Q843" s="1">
        <f>IF(Data!Q843&gt;0,Data!Q843,"")</f>
        <v/>
      </c>
      <c r="R843" s="1">
        <f>IF(Data!R843&gt;0,Data!R843,"")</f>
        <v/>
      </c>
      <c r="S843" s="1">
        <f>IF(Data!S843&gt;0,Data!S843,"")</f>
        <v/>
      </c>
      <c r="V843" s="3">
        <f>IF(COUNT(D843,J843,K843,L843,M843,O843)&gt;0,AVERAGE(D843,J843,K843,L843,M843,O843),"")</f>
        <v/>
      </c>
      <c r="W843" s="3">
        <f>IF(COUNT(C843,F843,G843,N843,Q843)&gt;0,AVERAGE(C843,F843,G843,N843,Q843),"")</f>
        <v/>
      </c>
      <c r="X843" s="3">
        <f>IF(COUNT(B843,E843,H843,I843,P843,R843,S843)&gt;0,AVERAGE(B843,E843,H843,I843,P843,R843,S843),"")</f>
        <v/>
      </c>
      <c r="Y843" s="3" t="n"/>
      <c r="AJ843">
        <f>IFERROR(AVERAGEIF($A$4:$A$1004,AI843,$V$4:$V$1004),"")</f>
        <v/>
      </c>
      <c r="AK843">
        <f>IFERROR(AVERAGEIF($A$4:$A$1004,AI843,$W$4:$W$1004),"")</f>
        <v/>
      </c>
      <c r="AL843">
        <f>IFERROR(AVERAGEIF($A$4:$A$1004,AI843,$X$4:$X$1004),"")</f>
        <v/>
      </c>
    </row>
    <row r="844">
      <c r="A844" s="1">
        <f>IF(Data!A844&gt;0,Data!A844,"")</f>
        <v/>
      </c>
      <c r="B844" s="1">
        <f>IF(Data!B844&gt;0,Data!B844,"")</f>
        <v/>
      </c>
      <c r="C844" s="1">
        <f>IF(Data!C844&gt;0,Data!C844,"")</f>
        <v/>
      </c>
      <c r="D844" s="1">
        <f>IF(Data!D844&gt;0,Data!D844,"")</f>
        <v/>
      </c>
      <c r="E844" s="1">
        <f>IF(Data!E844&gt;0,Data!E844,"")</f>
        <v/>
      </c>
      <c r="F844" s="1">
        <f>IF(Data!F844&gt;0,Data!F844,"")</f>
        <v/>
      </c>
      <c r="G844" s="1">
        <f>IF(Data!G844&gt;0,Data!G844,"")</f>
        <v/>
      </c>
      <c r="H844" s="1">
        <f>IF(Data!H844&gt;0,Data!H844,"")</f>
        <v/>
      </c>
      <c r="I844" s="1">
        <f>IF(Data!I844&gt;0,Data!I844,"")</f>
        <v/>
      </c>
      <c r="J844" s="1">
        <f>IF(Data!J844&gt;0,Data!J844,"")</f>
        <v/>
      </c>
      <c r="K844" s="1">
        <f>IF(Data!K844&gt;0,Data!K844,"")</f>
        <v/>
      </c>
      <c r="L844" s="1">
        <f>IF(Data!L844&gt;0,Data!L844,"")</f>
        <v/>
      </c>
      <c r="M844" s="1">
        <f>IF(Data!M844&gt;0,Data!M844,"")</f>
        <v/>
      </c>
      <c r="N844" s="1">
        <f>IF(Data!N844&gt;0,Data!N844,"")</f>
        <v/>
      </c>
      <c r="O844" s="1">
        <f>IF(Data!O844&gt;0,Data!O844,"")</f>
        <v/>
      </c>
      <c r="P844" s="1">
        <f>IF(Data!P844&gt;0,Data!P844,"")</f>
        <v/>
      </c>
      <c r="Q844" s="1">
        <f>IF(Data!Q844&gt;0,Data!Q844,"")</f>
        <v/>
      </c>
      <c r="R844" s="1">
        <f>IF(Data!R844&gt;0,Data!R844,"")</f>
        <v/>
      </c>
      <c r="S844" s="1">
        <f>IF(Data!S844&gt;0,Data!S844,"")</f>
        <v/>
      </c>
      <c r="V844" s="3">
        <f>IF(COUNT(D844,J844,K844,L844,M844,O844)&gt;0,AVERAGE(D844,J844,K844,L844,M844,O844),"")</f>
        <v/>
      </c>
      <c r="W844" s="3">
        <f>IF(COUNT(C844,F844,G844,N844,Q844)&gt;0,AVERAGE(C844,F844,G844,N844,Q844),"")</f>
        <v/>
      </c>
      <c r="X844" s="3">
        <f>IF(COUNT(B844,E844,H844,I844,P844,R844,S844)&gt;0,AVERAGE(B844,E844,H844,I844,P844,R844,S844),"")</f>
        <v/>
      </c>
      <c r="Y844" s="3" t="n"/>
      <c r="AJ844">
        <f>IFERROR(AVERAGEIF($A$4:$A$1004,AI844,$V$4:$V$1004),"")</f>
        <v/>
      </c>
      <c r="AK844">
        <f>IFERROR(AVERAGEIF($A$4:$A$1004,AI844,$W$4:$W$1004),"")</f>
        <v/>
      </c>
      <c r="AL844">
        <f>IFERROR(AVERAGEIF($A$4:$A$1004,AI844,$X$4:$X$1004),"")</f>
        <v/>
      </c>
    </row>
    <row r="845">
      <c r="A845" s="1">
        <f>IF(Data!A845&gt;0,Data!A845,"")</f>
        <v/>
      </c>
      <c r="B845" s="1">
        <f>IF(Data!B845&gt;0,Data!B845,"")</f>
        <v/>
      </c>
      <c r="C845" s="1">
        <f>IF(Data!C845&gt;0,Data!C845,"")</f>
        <v/>
      </c>
      <c r="D845" s="1">
        <f>IF(Data!D845&gt;0,Data!D845,"")</f>
        <v/>
      </c>
      <c r="E845" s="1">
        <f>IF(Data!E845&gt;0,Data!E845,"")</f>
        <v/>
      </c>
      <c r="F845" s="1">
        <f>IF(Data!F845&gt;0,Data!F845,"")</f>
        <v/>
      </c>
      <c r="G845" s="1">
        <f>IF(Data!G845&gt;0,Data!G845,"")</f>
        <v/>
      </c>
      <c r="H845" s="1">
        <f>IF(Data!H845&gt;0,Data!H845,"")</f>
        <v/>
      </c>
      <c r="I845" s="1">
        <f>IF(Data!I845&gt;0,Data!I845,"")</f>
        <v/>
      </c>
      <c r="J845" s="1">
        <f>IF(Data!J845&gt;0,Data!J845,"")</f>
        <v/>
      </c>
      <c r="K845" s="1">
        <f>IF(Data!K845&gt;0,Data!K845,"")</f>
        <v/>
      </c>
      <c r="L845" s="1">
        <f>IF(Data!L845&gt;0,Data!L845,"")</f>
        <v/>
      </c>
      <c r="M845" s="1">
        <f>IF(Data!M845&gt;0,Data!M845,"")</f>
        <v/>
      </c>
      <c r="N845" s="1">
        <f>IF(Data!N845&gt;0,Data!N845,"")</f>
        <v/>
      </c>
      <c r="O845" s="1">
        <f>IF(Data!O845&gt;0,Data!O845,"")</f>
        <v/>
      </c>
      <c r="P845" s="1">
        <f>IF(Data!P845&gt;0,Data!P845,"")</f>
        <v/>
      </c>
      <c r="Q845" s="1">
        <f>IF(Data!Q845&gt;0,Data!Q845,"")</f>
        <v/>
      </c>
      <c r="R845" s="1">
        <f>IF(Data!R845&gt;0,Data!R845,"")</f>
        <v/>
      </c>
      <c r="S845" s="1">
        <f>IF(Data!S845&gt;0,Data!S845,"")</f>
        <v/>
      </c>
      <c r="V845" s="3">
        <f>IF(COUNT(D845,J845,K845,L845,M845,O845)&gt;0,AVERAGE(D845,J845,K845,L845,M845,O845),"")</f>
        <v/>
      </c>
      <c r="W845" s="3">
        <f>IF(COUNT(C845,F845,G845,N845,Q845)&gt;0,AVERAGE(C845,F845,G845,N845,Q845),"")</f>
        <v/>
      </c>
      <c r="X845" s="3">
        <f>IF(COUNT(B845,E845,H845,I845,P845,R845,S845)&gt;0,AVERAGE(B845,E845,H845,I845,P845,R845,S845),"")</f>
        <v/>
      </c>
      <c r="Y845" s="3" t="n"/>
      <c r="AJ845">
        <f>IFERROR(AVERAGEIF($A$4:$A$1004,AI845,$V$4:$V$1004),"")</f>
        <v/>
      </c>
      <c r="AK845">
        <f>IFERROR(AVERAGEIF($A$4:$A$1004,AI845,$W$4:$W$1004),"")</f>
        <v/>
      </c>
      <c r="AL845">
        <f>IFERROR(AVERAGEIF($A$4:$A$1004,AI845,$X$4:$X$1004),"")</f>
        <v/>
      </c>
    </row>
    <row r="846">
      <c r="A846" s="1">
        <f>IF(Data!A846&gt;0,Data!A846,"")</f>
        <v/>
      </c>
      <c r="B846" s="1">
        <f>IF(Data!B846&gt;0,Data!B846,"")</f>
        <v/>
      </c>
      <c r="C846" s="1">
        <f>IF(Data!C846&gt;0,Data!C846,"")</f>
        <v/>
      </c>
      <c r="D846" s="1">
        <f>IF(Data!D846&gt;0,Data!D846,"")</f>
        <v/>
      </c>
      <c r="E846" s="1">
        <f>IF(Data!E846&gt;0,Data!E846,"")</f>
        <v/>
      </c>
      <c r="F846" s="1">
        <f>IF(Data!F846&gt;0,Data!F846,"")</f>
        <v/>
      </c>
      <c r="G846" s="1">
        <f>IF(Data!G846&gt;0,Data!G846,"")</f>
        <v/>
      </c>
      <c r="H846" s="1">
        <f>IF(Data!H846&gt;0,Data!H846,"")</f>
        <v/>
      </c>
      <c r="I846" s="1">
        <f>IF(Data!I846&gt;0,Data!I846,"")</f>
        <v/>
      </c>
      <c r="J846" s="1">
        <f>IF(Data!J846&gt;0,Data!J846,"")</f>
        <v/>
      </c>
      <c r="K846" s="1">
        <f>IF(Data!K846&gt;0,Data!K846,"")</f>
        <v/>
      </c>
      <c r="L846" s="1">
        <f>IF(Data!L846&gt;0,Data!L846,"")</f>
        <v/>
      </c>
      <c r="M846" s="1">
        <f>IF(Data!M846&gt;0,Data!M846,"")</f>
        <v/>
      </c>
      <c r="N846" s="1">
        <f>IF(Data!N846&gt;0,Data!N846,"")</f>
        <v/>
      </c>
      <c r="O846" s="1">
        <f>IF(Data!O846&gt;0,Data!O846,"")</f>
        <v/>
      </c>
      <c r="P846" s="1">
        <f>IF(Data!P846&gt;0,Data!P846,"")</f>
        <v/>
      </c>
      <c r="Q846" s="1">
        <f>IF(Data!Q846&gt;0,Data!Q846,"")</f>
        <v/>
      </c>
      <c r="R846" s="1">
        <f>IF(Data!R846&gt;0,Data!R846,"")</f>
        <v/>
      </c>
      <c r="S846" s="1">
        <f>IF(Data!S846&gt;0,Data!S846,"")</f>
        <v/>
      </c>
      <c r="V846" s="3">
        <f>IF(COUNT(D846,J846,K846,L846,M846,O846)&gt;0,AVERAGE(D846,J846,K846,L846,M846,O846),"")</f>
        <v/>
      </c>
      <c r="W846" s="3">
        <f>IF(COUNT(C846,F846,G846,N846,Q846)&gt;0,AVERAGE(C846,F846,G846,N846,Q846),"")</f>
        <v/>
      </c>
      <c r="X846" s="3">
        <f>IF(COUNT(B846,E846,H846,I846,P846,R846,S846)&gt;0,AVERAGE(B846,E846,H846,I846,P846,R846,S846),"")</f>
        <v/>
      </c>
      <c r="Y846" s="3" t="n"/>
      <c r="AJ846">
        <f>IFERROR(AVERAGEIF($A$4:$A$1004,AI846,$V$4:$V$1004),"")</f>
        <v/>
      </c>
      <c r="AK846">
        <f>IFERROR(AVERAGEIF($A$4:$A$1004,AI846,$W$4:$W$1004),"")</f>
        <v/>
      </c>
      <c r="AL846">
        <f>IFERROR(AVERAGEIF($A$4:$A$1004,AI846,$X$4:$X$1004),"")</f>
        <v/>
      </c>
    </row>
    <row r="847">
      <c r="A847" s="1">
        <f>IF(Data!A847&gt;0,Data!A847,"")</f>
        <v/>
      </c>
      <c r="B847" s="1">
        <f>IF(Data!B847&gt;0,Data!B847,"")</f>
        <v/>
      </c>
      <c r="C847" s="1">
        <f>IF(Data!C847&gt;0,Data!C847,"")</f>
        <v/>
      </c>
      <c r="D847" s="1">
        <f>IF(Data!D847&gt;0,Data!D847,"")</f>
        <v/>
      </c>
      <c r="E847" s="1">
        <f>IF(Data!E847&gt;0,Data!E847,"")</f>
        <v/>
      </c>
      <c r="F847" s="1">
        <f>IF(Data!F847&gt;0,Data!F847,"")</f>
        <v/>
      </c>
      <c r="G847" s="1">
        <f>IF(Data!G847&gt;0,Data!G847,"")</f>
        <v/>
      </c>
      <c r="H847" s="1">
        <f>IF(Data!H847&gt;0,Data!H847,"")</f>
        <v/>
      </c>
      <c r="I847" s="1">
        <f>IF(Data!I847&gt;0,Data!I847,"")</f>
        <v/>
      </c>
      <c r="J847" s="1">
        <f>IF(Data!J847&gt;0,Data!J847,"")</f>
        <v/>
      </c>
      <c r="K847" s="1">
        <f>IF(Data!K847&gt;0,Data!K847,"")</f>
        <v/>
      </c>
      <c r="L847" s="1">
        <f>IF(Data!L847&gt;0,Data!L847,"")</f>
        <v/>
      </c>
      <c r="M847" s="1">
        <f>IF(Data!M847&gt;0,Data!M847,"")</f>
        <v/>
      </c>
      <c r="N847" s="1">
        <f>IF(Data!N847&gt;0,Data!N847,"")</f>
        <v/>
      </c>
      <c r="O847" s="1">
        <f>IF(Data!O847&gt;0,Data!O847,"")</f>
        <v/>
      </c>
      <c r="P847" s="1">
        <f>IF(Data!P847&gt;0,Data!P847,"")</f>
        <v/>
      </c>
      <c r="Q847" s="1">
        <f>IF(Data!Q847&gt;0,Data!Q847,"")</f>
        <v/>
      </c>
      <c r="R847" s="1">
        <f>IF(Data!R847&gt;0,Data!R847,"")</f>
        <v/>
      </c>
      <c r="S847" s="1">
        <f>IF(Data!S847&gt;0,Data!S847,"")</f>
        <v/>
      </c>
      <c r="V847" s="3">
        <f>IF(COUNT(D847,J847,K847,L847,M847,O847)&gt;0,AVERAGE(D847,J847,K847,L847,M847,O847),"")</f>
        <v/>
      </c>
      <c r="W847" s="3">
        <f>IF(COUNT(C847,F847,G847,N847,Q847)&gt;0,AVERAGE(C847,F847,G847,N847,Q847),"")</f>
        <v/>
      </c>
      <c r="X847" s="3">
        <f>IF(COUNT(B847,E847,H847,I847,P847,R847,S847)&gt;0,AVERAGE(B847,E847,H847,I847,P847,R847,S847),"")</f>
        <v/>
      </c>
      <c r="Y847" s="3" t="n"/>
      <c r="AJ847">
        <f>IFERROR(AVERAGEIF($A$4:$A$1004,AI847,$V$4:$V$1004),"")</f>
        <v/>
      </c>
      <c r="AK847">
        <f>IFERROR(AVERAGEIF($A$4:$A$1004,AI847,$W$4:$W$1004),"")</f>
        <v/>
      </c>
      <c r="AL847">
        <f>IFERROR(AVERAGEIF($A$4:$A$1004,AI847,$X$4:$X$1004),"")</f>
        <v/>
      </c>
    </row>
    <row r="848">
      <c r="A848" s="1">
        <f>IF(Data!A848&gt;0,Data!A848,"")</f>
        <v/>
      </c>
      <c r="B848" s="1">
        <f>IF(Data!B848&gt;0,Data!B848,"")</f>
        <v/>
      </c>
      <c r="C848" s="1">
        <f>IF(Data!C848&gt;0,Data!C848,"")</f>
        <v/>
      </c>
      <c r="D848" s="1">
        <f>IF(Data!D848&gt;0,Data!D848,"")</f>
        <v/>
      </c>
      <c r="E848" s="1">
        <f>IF(Data!E848&gt;0,Data!E848,"")</f>
        <v/>
      </c>
      <c r="F848" s="1">
        <f>IF(Data!F848&gt;0,Data!F848,"")</f>
        <v/>
      </c>
      <c r="G848" s="1">
        <f>IF(Data!G848&gt;0,Data!G848,"")</f>
        <v/>
      </c>
      <c r="H848" s="1">
        <f>IF(Data!H848&gt;0,Data!H848,"")</f>
        <v/>
      </c>
      <c r="I848" s="1">
        <f>IF(Data!I848&gt;0,Data!I848,"")</f>
        <v/>
      </c>
      <c r="J848" s="1">
        <f>IF(Data!J848&gt;0,Data!J848,"")</f>
        <v/>
      </c>
      <c r="K848" s="1">
        <f>IF(Data!K848&gt;0,Data!K848,"")</f>
        <v/>
      </c>
      <c r="L848" s="1">
        <f>IF(Data!L848&gt;0,Data!L848,"")</f>
        <v/>
      </c>
      <c r="M848" s="1">
        <f>IF(Data!M848&gt;0,Data!M848,"")</f>
        <v/>
      </c>
      <c r="N848" s="1">
        <f>IF(Data!N848&gt;0,Data!N848,"")</f>
        <v/>
      </c>
      <c r="O848" s="1">
        <f>IF(Data!O848&gt;0,Data!O848,"")</f>
        <v/>
      </c>
      <c r="P848" s="1">
        <f>IF(Data!P848&gt;0,Data!P848,"")</f>
        <v/>
      </c>
      <c r="Q848" s="1">
        <f>IF(Data!Q848&gt;0,Data!Q848,"")</f>
        <v/>
      </c>
      <c r="R848" s="1">
        <f>IF(Data!R848&gt;0,Data!R848,"")</f>
        <v/>
      </c>
      <c r="S848" s="1">
        <f>IF(Data!S848&gt;0,Data!S848,"")</f>
        <v/>
      </c>
      <c r="V848" s="3">
        <f>IF(COUNT(D848,J848,K848,L848,M848,O848)&gt;0,AVERAGE(D848,J848,K848,L848,M848,O848),"")</f>
        <v/>
      </c>
      <c r="W848" s="3">
        <f>IF(COUNT(C848,F848,G848,N848,Q848)&gt;0,AVERAGE(C848,F848,G848,N848,Q848),"")</f>
        <v/>
      </c>
      <c r="X848" s="3">
        <f>IF(COUNT(B848,E848,H848,I848,P848,R848,S848)&gt;0,AVERAGE(B848,E848,H848,I848,P848,R848,S848),"")</f>
        <v/>
      </c>
      <c r="Y848" s="3" t="n"/>
      <c r="AJ848">
        <f>IFERROR(AVERAGEIF($A$4:$A$1004,AI848,$V$4:$V$1004),"")</f>
        <v/>
      </c>
      <c r="AK848">
        <f>IFERROR(AVERAGEIF($A$4:$A$1004,AI848,$W$4:$W$1004),"")</f>
        <v/>
      </c>
      <c r="AL848">
        <f>IFERROR(AVERAGEIF($A$4:$A$1004,AI848,$X$4:$X$1004),"")</f>
        <v/>
      </c>
    </row>
    <row r="849">
      <c r="A849" s="1">
        <f>IF(Data!A849&gt;0,Data!A849,"")</f>
        <v/>
      </c>
      <c r="B849" s="1">
        <f>IF(Data!B849&gt;0,Data!B849,"")</f>
        <v/>
      </c>
      <c r="C849" s="1">
        <f>IF(Data!C849&gt;0,Data!C849,"")</f>
        <v/>
      </c>
      <c r="D849" s="1">
        <f>IF(Data!D849&gt;0,Data!D849,"")</f>
        <v/>
      </c>
      <c r="E849" s="1">
        <f>IF(Data!E849&gt;0,Data!E849,"")</f>
        <v/>
      </c>
      <c r="F849" s="1">
        <f>IF(Data!F849&gt;0,Data!F849,"")</f>
        <v/>
      </c>
      <c r="G849" s="1">
        <f>IF(Data!G849&gt;0,Data!G849,"")</f>
        <v/>
      </c>
      <c r="H849" s="1">
        <f>IF(Data!H849&gt;0,Data!H849,"")</f>
        <v/>
      </c>
      <c r="I849" s="1">
        <f>IF(Data!I849&gt;0,Data!I849,"")</f>
        <v/>
      </c>
      <c r="J849" s="1">
        <f>IF(Data!J849&gt;0,Data!J849,"")</f>
        <v/>
      </c>
      <c r="K849" s="1">
        <f>IF(Data!K849&gt;0,Data!K849,"")</f>
        <v/>
      </c>
      <c r="L849" s="1">
        <f>IF(Data!L849&gt;0,Data!L849,"")</f>
        <v/>
      </c>
      <c r="M849" s="1">
        <f>IF(Data!M849&gt;0,Data!M849,"")</f>
        <v/>
      </c>
      <c r="N849" s="1">
        <f>IF(Data!N849&gt;0,Data!N849,"")</f>
        <v/>
      </c>
      <c r="O849" s="1">
        <f>IF(Data!O849&gt;0,Data!O849,"")</f>
        <v/>
      </c>
      <c r="P849" s="1">
        <f>IF(Data!P849&gt;0,Data!P849,"")</f>
        <v/>
      </c>
      <c r="Q849" s="1">
        <f>IF(Data!Q849&gt;0,Data!Q849,"")</f>
        <v/>
      </c>
      <c r="R849" s="1">
        <f>IF(Data!R849&gt;0,Data!R849,"")</f>
        <v/>
      </c>
      <c r="S849" s="1">
        <f>IF(Data!S849&gt;0,Data!S849,"")</f>
        <v/>
      </c>
      <c r="V849" s="3">
        <f>IF(COUNT(D849,J849,K849,L849,M849,O849)&gt;0,AVERAGE(D849,J849,K849,L849,M849,O849),"")</f>
        <v/>
      </c>
      <c r="W849" s="3">
        <f>IF(COUNT(C849,F849,G849,N849,Q849)&gt;0,AVERAGE(C849,F849,G849,N849,Q849),"")</f>
        <v/>
      </c>
      <c r="X849" s="3">
        <f>IF(COUNT(B849,E849,H849,I849,P849,R849,S849)&gt;0,AVERAGE(B849,E849,H849,I849,P849,R849,S849),"")</f>
        <v/>
      </c>
      <c r="Y849" s="3" t="n"/>
      <c r="AJ849">
        <f>IFERROR(AVERAGEIF($A$4:$A$1004,AI849,$V$4:$V$1004),"")</f>
        <v/>
      </c>
      <c r="AK849">
        <f>IFERROR(AVERAGEIF($A$4:$A$1004,AI849,$W$4:$W$1004),"")</f>
        <v/>
      </c>
      <c r="AL849">
        <f>IFERROR(AVERAGEIF($A$4:$A$1004,AI849,$X$4:$X$1004),"")</f>
        <v/>
      </c>
    </row>
    <row r="850">
      <c r="A850" s="1">
        <f>IF(Data!A850&gt;0,Data!A850,"")</f>
        <v/>
      </c>
      <c r="B850" s="1">
        <f>IF(Data!B850&gt;0,Data!B850,"")</f>
        <v/>
      </c>
      <c r="C850" s="1">
        <f>IF(Data!C850&gt;0,Data!C850,"")</f>
        <v/>
      </c>
      <c r="D850" s="1">
        <f>IF(Data!D850&gt;0,Data!D850,"")</f>
        <v/>
      </c>
      <c r="E850" s="1">
        <f>IF(Data!E850&gt;0,Data!E850,"")</f>
        <v/>
      </c>
      <c r="F850" s="1">
        <f>IF(Data!F850&gt;0,Data!F850,"")</f>
        <v/>
      </c>
      <c r="G850" s="1">
        <f>IF(Data!G850&gt;0,Data!G850,"")</f>
        <v/>
      </c>
      <c r="H850" s="1">
        <f>IF(Data!H850&gt;0,Data!H850,"")</f>
        <v/>
      </c>
      <c r="I850" s="1">
        <f>IF(Data!I850&gt;0,Data!I850,"")</f>
        <v/>
      </c>
      <c r="J850" s="1">
        <f>IF(Data!J850&gt;0,Data!J850,"")</f>
        <v/>
      </c>
      <c r="K850" s="1">
        <f>IF(Data!K850&gt;0,Data!K850,"")</f>
        <v/>
      </c>
      <c r="L850" s="1">
        <f>IF(Data!L850&gt;0,Data!L850,"")</f>
        <v/>
      </c>
      <c r="M850" s="1">
        <f>IF(Data!M850&gt;0,Data!M850,"")</f>
        <v/>
      </c>
      <c r="N850" s="1">
        <f>IF(Data!N850&gt;0,Data!N850,"")</f>
        <v/>
      </c>
      <c r="O850" s="1">
        <f>IF(Data!O850&gt;0,Data!O850,"")</f>
        <v/>
      </c>
      <c r="P850" s="1">
        <f>IF(Data!P850&gt;0,Data!P850,"")</f>
        <v/>
      </c>
      <c r="Q850" s="1">
        <f>IF(Data!Q850&gt;0,Data!Q850,"")</f>
        <v/>
      </c>
      <c r="R850" s="1">
        <f>IF(Data!R850&gt;0,Data!R850,"")</f>
        <v/>
      </c>
      <c r="S850" s="1">
        <f>IF(Data!S850&gt;0,Data!S850,"")</f>
        <v/>
      </c>
      <c r="V850" s="3">
        <f>IF(COUNT(D850,J850,K850,L850,M850,O850)&gt;0,AVERAGE(D850,J850,K850,L850,M850,O850),"")</f>
        <v/>
      </c>
      <c r="W850" s="3">
        <f>IF(COUNT(C850,F850,G850,N850,Q850)&gt;0,AVERAGE(C850,F850,G850,N850,Q850),"")</f>
        <v/>
      </c>
      <c r="X850" s="3">
        <f>IF(COUNT(B850,E850,H850,I850,P850,R850,S850)&gt;0,AVERAGE(B850,E850,H850,I850,P850,R850,S850),"")</f>
        <v/>
      </c>
      <c r="Y850" s="3" t="n"/>
      <c r="AJ850">
        <f>IFERROR(AVERAGEIF($A$4:$A$1004,AI850,$V$4:$V$1004),"")</f>
        <v/>
      </c>
      <c r="AK850">
        <f>IFERROR(AVERAGEIF($A$4:$A$1004,AI850,$W$4:$W$1004),"")</f>
        <v/>
      </c>
      <c r="AL850">
        <f>IFERROR(AVERAGEIF($A$4:$A$1004,AI850,$X$4:$X$1004),"")</f>
        <v/>
      </c>
    </row>
    <row r="851">
      <c r="A851" s="1">
        <f>IF(Data!A851&gt;0,Data!A851,"")</f>
        <v/>
      </c>
      <c r="B851" s="1">
        <f>IF(Data!B851&gt;0,Data!B851,"")</f>
        <v/>
      </c>
      <c r="C851" s="1">
        <f>IF(Data!C851&gt;0,Data!C851,"")</f>
        <v/>
      </c>
      <c r="D851" s="1">
        <f>IF(Data!D851&gt;0,Data!D851,"")</f>
        <v/>
      </c>
      <c r="E851" s="1">
        <f>IF(Data!E851&gt;0,Data!E851,"")</f>
        <v/>
      </c>
      <c r="F851" s="1">
        <f>IF(Data!F851&gt;0,Data!F851,"")</f>
        <v/>
      </c>
      <c r="G851" s="1">
        <f>IF(Data!G851&gt;0,Data!G851,"")</f>
        <v/>
      </c>
      <c r="H851" s="1">
        <f>IF(Data!H851&gt;0,Data!H851,"")</f>
        <v/>
      </c>
      <c r="I851" s="1">
        <f>IF(Data!I851&gt;0,Data!I851,"")</f>
        <v/>
      </c>
      <c r="J851" s="1">
        <f>IF(Data!J851&gt;0,Data!J851,"")</f>
        <v/>
      </c>
      <c r="K851" s="1">
        <f>IF(Data!K851&gt;0,Data!K851,"")</f>
        <v/>
      </c>
      <c r="L851" s="1">
        <f>IF(Data!L851&gt;0,Data!L851,"")</f>
        <v/>
      </c>
      <c r="M851" s="1">
        <f>IF(Data!M851&gt;0,Data!M851,"")</f>
        <v/>
      </c>
      <c r="N851" s="1">
        <f>IF(Data!N851&gt;0,Data!N851,"")</f>
        <v/>
      </c>
      <c r="O851" s="1">
        <f>IF(Data!O851&gt;0,Data!O851,"")</f>
        <v/>
      </c>
      <c r="P851" s="1">
        <f>IF(Data!P851&gt;0,Data!P851,"")</f>
        <v/>
      </c>
      <c r="Q851" s="1">
        <f>IF(Data!Q851&gt;0,Data!Q851,"")</f>
        <v/>
      </c>
      <c r="R851" s="1">
        <f>IF(Data!R851&gt;0,Data!R851,"")</f>
        <v/>
      </c>
      <c r="S851" s="1">
        <f>IF(Data!S851&gt;0,Data!S851,"")</f>
        <v/>
      </c>
      <c r="V851" s="3">
        <f>IF(COUNT(D851,J851,K851,L851,M851,O851)&gt;0,AVERAGE(D851,J851,K851,L851,M851,O851),"")</f>
        <v/>
      </c>
      <c r="W851" s="3">
        <f>IF(COUNT(C851,F851,G851,N851,Q851)&gt;0,AVERAGE(C851,F851,G851,N851,Q851),"")</f>
        <v/>
      </c>
      <c r="X851" s="3">
        <f>IF(COUNT(B851,E851,H851,I851,P851,R851,S851)&gt;0,AVERAGE(B851,E851,H851,I851,P851,R851,S851),"")</f>
        <v/>
      </c>
      <c r="Y851" s="3" t="n"/>
      <c r="AJ851">
        <f>IFERROR(AVERAGEIF($A$4:$A$1004,AI851,$V$4:$V$1004),"")</f>
        <v/>
      </c>
      <c r="AK851">
        <f>IFERROR(AVERAGEIF($A$4:$A$1004,AI851,$W$4:$W$1004),"")</f>
        <v/>
      </c>
      <c r="AL851">
        <f>IFERROR(AVERAGEIF($A$4:$A$1004,AI851,$X$4:$X$1004),"")</f>
        <v/>
      </c>
    </row>
    <row r="852">
      <c r="A852" s="1">
        <f>IF(Data!A852&gt;0,Data!A852,"")</f>
        <v/>
      </c>
      <c r="B852" s="1">
        <f>IF(Data!B852&gt;0,Data!B852,"")</f>
        <v/>
      </c>
      <c r="C852" s="1">
        <f>IF(Data!C852&gt;0,Data!C852,"")</f>
        <v/>
      </c>
      <c r="D852" s="1">
        <f>IF(Data!D852&gt;0,Data!D852,"")</f>
        <v/>
      </c>
      <c r="E852" s="1">
        <f>IF(Data!E852&gt;0,Data!E852,"")</f>
        <v/>
      </c>
      <c r="F852" s="1">
        <f>IF(Data!F852&gt;0,Data!F852,"")</f>
        <v/>
      </c>
      <c r="G852" s="1">
        <f>IF(Data!G852&gt;0,Data!G852,"")</f>
        <v/>
      </c>
      <c r="H852" s="1">
        <f>IF(Data!H852&gt;0,Data!H852,"")</f>
        <v/>
      </c>
      <c r="I852" s="1">
        <f>IF(Data!I852&gt;0,Data!I852,"")</f>
        <v/>
      </c>
      <c r="J852" s="1">
        <f>IF(Data!J852&gt;0,Data!J852,"")</f>
        <v/>
      </c>
      <c r="K852" s="1">
        <f>IF(Data!K852&gt;0,Data!K852,"")</f>
        <v/>
      </c>
      <c r="L852" s="1">
        <f>IF(Data!L852&gt;0,Data!L852,"")</f>
        <v/>
      </c>
      <c r="M852" s="1">
        <f>IF(Data!M852&gt;0,Data!M852,"")</f>
        <v/>
      </c>
      <c r="N852" s="1">
        <f>IF(Data!N852&gt;0,Data!N852,"")</f>
        <v/>
      </c>
      <c r="O852" s="1">
        <f>IF(Data!O852&gt;0,Data!O852,"")</f>
        <v/>
      </c>
      <c r="P852" s="1">
        <f>IF(Data!P852&gt;0,Data!P852,"")</f>
        <v/>
      </c>
      <c r="Q852" s="1">
        <f>IF(Data!Q852&gt;0,Data!Q852,"")</f>
        <v/>
      </c>
      <c r="R852" s="1">
        <f>IF(Data!R852&gt;0,Data!R852,"")</f>
        <v/>
      </c>
      <c r="S852" s="1">
        <f>IF(Data!S852&gt;0,Data!S852,"")</f>
        <v/>
      </c>
      <c r="V852" s="3">
        <f>IF(COUNT(D852,J852,K852,L852,M852,O852)&gt;0,AVERAGE(D852,J852,K852,L852,M852,O852),"")</f>
        <v/>
      </c>
      <c r="W852" s="3">
        <f>IF(COUNT(C852,F852,G852,N852,Q852)&gt;0,AVERAGE(C852,F852,G852,N852,Q852),"")</f>
        <v/>
      </c>
      <c r="X852" s="3">
        <f>IF(COUNT(B852,E852,H852,I852,P852,R852,S852)&gt;0,AVERAGE(B852,E852,H852,I852,P852,R852,S852),"")</f>
        <v/>
      </c>
      <c r="Y852" s="3" t="n"/>
      <c r="AJ852">
        <f>IFERROR(AVERAGEIF($A$4:$A$1004,AI852,$V$4:$V$1004),"")</f>
        <v/>
      </c>
      <c r="AK852">
        <f>IFERROR(AVERAGEIF($A$4:$A$1004,AI852,$W$4:$W$1004),"")</f>
        <v/>
      </c>
      <c r="AL852">
        <f>IFERROR(AVERAGEIF($A$4:$A$1004,AI852,$X$4:$X$1004),"")</f>
        <v/>
      </c>
    </row>
    <row r="853">
      <c r="A853" s="1">
        <f>IF(Data!A853&gt;0,Data!A853,"")</f>
        <v/>
      </c>
      <c r="B853" s="1">
        <f>IF(Data!B853&gt;0,Data!B853,"")</f>
        <v/>
      </c>
      <c r="C853" s="1">
        <f>IF(Data!C853&gt;0,Data!C853,"")</f>
        <v/>
      </c>
      <c r="D853" s="1">
        <f>IF(Data!D853&gt;0,Data!D853,"")</f>
        <v/>
      </c>
      <c r="E853" s="1">
        <f>IF(Data!E853&gt;0,Data!E853,"")</f>
        <v/>
      </c>
      <c r="F853" s="1">
        <f>IF(Data!F853&gt;0,Data!F853,"")</f>
        <v/>
      </c>
      <c r="G853" s="1">
        <f>IF(Data!G853&gt;0,Data!G853,"")</f>
        <v/>
      </c>
      <c r="H853" s="1">
        <f>IF(Data!H853&gt;0,Data!H853,"")</f>
        <v/>
      </c>
      <c r="I853" s="1">
        <f>IF(Data!I853&gt;0,Data!I853,"")</f>
        <v/>
      </c>
      <c r="J853" s="1">
        <f>IF(Data!J853&gt;0,Data!J853,"")</f>
        <v/>
      </c>
      <c r="K853" s="1">
        <f>IF(Data!K853&gt;0,Data!K853,"")</f>
        <v/>
      </c>
      <c r="L853" s="1">
        <f>IF(Data!L853&gt;0,Data!L853,"")</f>
        <v/>
      </c>
      <c r="M853" s="1">
        <f>IF(Data!M853&gt;0,Data!M853,"")</f>
        <v/>
      </c>
      <c r="N853" s="1">
        <f>IF(Data!N853&gt;0,Data!N853,"")</f>
        <v/>
      </c>
      <c r="O853" s="1">
        <f>IF(Data!O853&gt;0,Data!O853,"")</f>
        <v/>
      </c>
      <c r="P853" s="1">
        <f>IF(Data!P853&gt;0,Data!P853,"")</f>
        <v/>
      </c>
      <c r="Q853" s="1">
        <f>IF(Data!Q853&gt;0,Data!Q853,"")</f>
        <v/>
      </c>
      <c r="R853" s="1">
        <f>IF(Data!R853&gt;0,Data!R853,"")</f>
        <v/>
      </c>
      <c r="S853" s="1">
        <f>IF(Data!S853&gt;0,Data!S853,"")</f>
        <v/>
      </c>
      <c r="V853" s="3">
        <f>IF(COUNT(D853,J853,K853,L853,M853,O853)&gt;0,AVERAGE(D853,J853,K853,L853,M853,O853),"")</f>
        <v/>
      </c>
      <c r="W853" s="3">
        <f>IF(COUNT(C853,F853,G853,N853,Q853)&gt;0,AVERAGE(C853,F853,G853,N853,Q853),"")</f>
        <v/>
      </c>
      <c r="X853" s="3">
        <f>IF(COUNT(B853,E853,H853,I853,P853,R853,S853)&gt;0,AVERAGE(B853,E853,H853,I853,P853,R853,S853),"")</f>
        <v/>
      </c>
      <c r="Y853" s="3" t="n"/>
      <c r="AJ853">
        <f>IFERROR(AVERAGEIF($A$4:$A$1004,AI853,$V$4:$V$1004),"")</f>
        <v/>
      </c>
      <c r="AK853">
        <f>IFERROR(AVERAGEIF($A$4:$A$1004,AI853,$W$4:$W$1004),"")</f>
        <v/>
      </c>
      <c r="AL853">
        <f>IFERROR(AVERAGEIF($A$4:$A$1004,AI853,$X$4:$X$1004),"")</f>
        <v/>
      </c>
    </row>
    <row r="854">
      <c r="A854" s="1">
        <f>IF(Data!A854&gt;0,Data!A854,"")</f>
        <v/>
      </c>
      <c r="B854" s="1">
        <f>IF(Data!B854&gt;0,Data!B854,"")</f>
        <v/>
      </c>
      <c r="C854" s="1">
        <f>IF(Data!C854&gt;0,Data!C854,"")</f>
        <v/>
      </c>
      <c r="D854" s="1">
        <f>IF(Data!D854&gt;0,Data!D854,"")</f>
        <v/>
      </c>
      <c r="E854" s="1">
        <f>IF(Data!E854&gt;0,Data!E854,"")</f>
        <v/>
      </c>
      <c r="F854" s="1">
        <f>IF(Data!F854&gt;0,Data!F854,"")</f>
        <v/>
      </c>
      <c r="G854" s="1">
        <f>IF(Data!G854&gt;0,Data!G854,"")</f>
        <v/>
      </c>
      <c r="H854" s="1">
        <f>IF(Data!H854&gt;0,Data!H854,"")</f>
        <v/>
      </c>
      <c r="I854" s="1">
        <f>IF(Data!I854&gt;0,Data!I854,"")</f>
        <v/>
      </c>
      <c r="J854" s="1">
        <f>IF(Data!J854&gt;0,Data!J854,"")</f>
        <v/>
      </c>
      <c r="K854" s="1">
        <f>IF(Data!K854&gt;0,Data!K854,"")</f>
        <v/>
      </c>
      <c r="L854" s="1">
        <f>IF(Data!L854&gt;0,Data!L854,"")</f>
        <v/>
      </c>
      <c r="M854" s="1">
        <f>IF(Data!M854&gt;0,Data!M854,"")</f>
        <v/>
      </c>
      <c r="N854" s="1">
        <f>IF(Data!N854&gt;0,Data!N854,"")</f>
        <v/>
      </c>
      <c r="O854" s="1">
        <f>IF(Data!O854&gt;0,Data!O854,"")</f>
        <v/>
      </c>
      <c r="P854" s="1">
        <f>IF(Data!P854&gt;0,Data!P854,"")</f>
        <v/>
      </c>
      <c r="Q854" s="1">
        <f>IF(Data!Q854&gt;0,Data!Q854,"")</f>
        <v/>
      </c>
      <c r="R854" s="1">
        <f>IF(Data!R854&gt;0,Data!R854,"")</f>
        <v/>
      </c>
      <c r="S854" s="1">
        <f>IF(Data!S854&gt;0,Data!S854,"")</f>
        <v/>
      </c>
      <c r="V854" s="3">
        <f>IF(COUNT(D854,J854,K854,L854,M854,O854)&gt;0,AVERAGE(D854,J854,K854,L854,M854,O854),"")</f>
        <v/>
      </c>
      <c r="W854" s="3">
        <f>IF(COUNT(C854,F854,G854,N854,Q854)&gt;0,AVERAGE(C854,F854,G854,N854,Q854),"")</f>
        <v/>
      </c>
      <c r="X854" s="3">
        <f>IF(COUNT(B854,E854,H854,I854,P854,R854,S854)&gt;0,AVERAGE(B854,E854,H854,I854,P854,R854,S854),"")</f>
        <v/>
      </c>
      <c r="Y854" s="3" t="n"/>
      <c r="AJ854">
        <f>IFERROR(AVERAGEIF($A$4:$A$1004,AI854,$V$4:$V$1004),"")</f>
        <v/>
      </c>
      <c r="AK854">
        <f>IFERROR(AVERAGEIF($A$4:$A$1004,AI854,$W$4:$W$1004),"")</f>
        <v/>
      </c>
      <c r="AL854">
        <f>IFERROR(AVERAGEIF($A$4:$A$1004,AI854,$X$4:$X$1004),"")</f>
        <v/>
      </c>
    </row>
    <row r="855">
      <c r="A855" s="1">
        <f>IF(Data!A855&gt;0,Data!A855,"")</f>
        <v/>
      </c>
      <c r="B855" s="1">
        <f>IF(Data!B855&gt;0,Data!B855,"")</f>
        <v/>
      </c>
      <c r="C855" s="1">
        <f>IF(Data!C855&gt;0,Data!C855,"")</f>
        <v/>
      </c>
      <c r="D855" s="1">
        <f>IF(Data!D855&gt;0,Data!D855,"")</f>
        <v/>
      </c>
      <c r="E855" s="1">
        <f>IF(Data!E855&gt;0,Data!E855,"")</f>
        <v/>
      </c>
      <c r="F855" s="1">
        <f>IF(Data!F855&gt;0,Data!F855,"")</f>
        <v/>
      </c>
      <c r="G855" s="1">
        <f>IF(Data!G855&gt;0,Data!G855,"")</f>
        <v/>
      </c>
      <c r="H855" s="1">
        <f>IF(Data!H855&gt;0,Data!H855,"")</f>
        <v/>
      </c>
      <c r="I855" s="1">
        <f>IF(Data!I855&gt;0,Data!I855,"")</f>
        <v/>
      </c>
      <c r="J855" s="1">
        <f>IF(Data!J855&gt;0,Data!J855,"")</f>
        <v/>
      </c>
      <c r="K855" s="1">
        <f>IF(Data!K855&gt;0,Data!K855,"")</f>
        <v/>
      </c>
      <c r="L855" s="1">
        <f>IF(Data!L855&gt;0,Data!L855,"")</f>
        <v/>
      </c>
      <c r="M855" s="1">
        <f>IF(Data!M855&gt;0,Data!M855,"")</f>
        <v/>
      </c>
      <c r="N855" s="1">
        <f>IF(Data!N855&gt;0,Data!N855,"")</f>
        <v/>
      </c>
      <c r="O855" s="1">
        <f>IF(Data!O855&gt;0,Data!O855,"")</f>
        <v/>
      </c>
      <c r="P855" s="1">
        <f>IF(Data!P855&gt;0,Data!P855,"")</f>
        <v/>
      </c>
      <c r="Q855" s="1">
        <f>IF(Data!Q855&gt;0,Data!Q855,"")</f>
        <v/>
      </c>
      <c r="R855" s="1">
        <f>IF(Data!R855&gt;0,Data!R855,"")</f>
        <v/>
      </c>
      <c r="S855" s="1">
        <f>IF(Data!S855&gt;0,Data!S855,"")</f>
        <v/>
      </c>
      <c r="V855" s="3">
        <f>IF(COUNT(D855,J855,K855,L855,M855,O855)&gt;0,AVERAGE(D855,J855,K855,L855,M855,O855),"")</f>
        <v/>
      </c>
      <c r="W855" s="3">
        <f>IF(COUNT(C855,F855,G855,N855,Q855)&gt;0,AVERAGE(C855,F855,G855,N855,Q855),"")</f>
        <v/>
      </c>
      <c r="X855" s="3">
        <f>IF(COUNT(B855,E855,H855,I855,P855,R855,S855)&gt;0,AVERAGE(B855,E855,H855,I855,P855,R855,S855),"")</f>
        <v/>
      </c>
      <c r="Y855" s="3" t="n"/>
      <c r="AJ855">
        <f>IFERROR(AVERAGEIF($A$4:$A$1004,AI855,$V$4:$V$1004),"")</f>
        <v/>
      </c>
      <c r="AK855">
        <f>IFERROR(AVERAGEIF($A$4:$A$1004,AI855,$W$4:$W$1004),"")</f>
        <v/>
      </c>
      <c r="AL855">
        <f>IFERROR(AVERAGEIF($A$4:$A$1004,AI855,$X$4:$X$1004),"")</f>
        <v/>
      </c>
    </row>
    <row r="856">
      <c r="A856" s="1">
        <f>IF(Data!A856&gt;0,Data!A856,"")</f>
        <v/>
      </c>
      <c r="B856" s="1">
        <f>IF(Data!B856&gt;0,Data!B856,"")</f>
        <v/>
      </c>
      <c r="C856" s="1">
        <f>IF(Data!C856&gt;0,Data!C856,"")</f>
        <v/>
      </c>
      <c r="D856" s="1">
        <f>IF(Data!D856&gt;0,Data!D856,"")</f>
        <v/>
      </c>
      <c r="E856" s="1">
        <f>IF(Data!E856&gt;0,Data!E856,"")</f>
        <v/>
      </c>
      <c r="F856" s="1">
        <f>IF(Data!F856&gt;0,Data!F856,"")</f>
        <v/>
      </c>
      <c r="G856" s="1">
        <f>IF(Data!G856&gt;0,Data!G856,"")</f>
        <v/>
      </c>
      <c r="H856" s="1">
        <f>IF(Data!H856&gt;0,Data!H856,"")</f>
        <v/>
      </c>
      <c r="I856" s="1">
        <f>IF(Data!I856&gt;0,Data!I856,"")</f>
        <v/>
      </c>
      <c r="J856" s="1">
        <f>IF(Data!J856&gt;0,Data!J856,"")</f>
        <v/>
      </c>
      <c r="K856" s="1">
        <f>IF(Data!K856&gt;0,Data!K856,"")</f>
        <v/>
      </c>
      <c r="L856" s="1">
        <f>IF(Data!L856&gt;0,Data!L856,"")</f>
        <v/>
      </c>
      <c r="M856" s="1">
        <f>IF(Data!M856&gt;0,Data!M856,"")</f>
        <v/>
      </c>
      <c r="N856" s="1">
        <f>IF(Data!N856&gt;0,Data!N856,"")</f>
        <v/>
      </c>
      <c r="O856" s="1">
        <f>IF(Data!O856&gt;0,Data!O856,"")</f>
        <v/>
      </c>
      <c r="P856" s="1">
        <f>IF(Data!P856&gt;0,Data!P856,"")</f>
        <v/>
      </c>
      <c r="Q856" s="1">
        <f>IF(Data!Q856&gt;0,Data!Q856,"")</f>
        <v/>
      </c>
      <c r="R856" s="1">
        <f>IF(Data!R856&gt;0,Data!R856,"")</f>
        <v/>
      </c>
      <c r="S856" s="1">
        <f>IF(Data!S856&gt;0,Data!S856,"")</f>
        <v/>
      </c>
      <c r="V856" s="3">
        <f>IF(COUNT(D856,J856,K856,L856,M856,O856)&gt;0,AVERAGE(D856,J856,K856,L856,M856,O856),"")</f>
        <v/>
      </c>
      <c r="W856" s="3">
        <f>IF(COUNT(C856,F856,G856,N856,Q856)&gt;0,AVERAGE(C856,F856,G856,N856,Q856),"")</f>
        <v/>
      </c>
      <c r="X856" s="3">
        <f>IF(COUNT(B856,E856,H856,I856,P856,R856,S856)&gt;0,AVERAGE(B856,E856,H856,I856,P856,R856,S856),"")</f>
        <v/>
      </c>
      <c r="Y856" s="3" t="n"/>
      <c r="AJ856">
        <f>IFERROR(AVERAGEIF($A$4:$A$1004,AI856,$V$4:$V$1004),"")</f>
        <v/>
      </c>
      <c r="AK856">
        <f>IFERROR(AVERAGEIF($A$4:$A$1004,AI856,$W$4:$W$1004),"")</f>
        <v/>
      </c>
      <c r="AL856">
        <f>IFERROR(AVERAGEIF($A$4:$A$1004,AI856,$X$4:$X$1004),"")</f>
        <v/>
      </c>
    </row>
    <row r="857">
      <c r="A857" s="1">
        <f>IF(Data!A857&gt;0,Data!A857,"")</f>
        <v/>
      </c>
      <c r="B857" s="1">
        <f>IF(Data!B857&gt;0,Data!B857,"")</f>
        <v/>
      </c>
      <c r="C857" s="1">
        <f>IF(Data!C857&gt;0,Data!C857,"")</f>
        <v/>
      </c>
      <c r="D857" s="1">
        <f>IF(Data!D857&gt;0,Data!D857,"")</f>
        <v/>
      </c>
      <c r="E857" s="1">
        <f>IF(Data!E857&gt;0,Data!E857,"")</f>
        <v/>
      </c>
      <c r="F857" s="1">
        <f>IF(Data!F857&gt;0,Data!F857,"")</f>
        <v/>
      </c>
      <c r="G857" s="1">
        <f>IF(Data!G857&gt;0,Data!G857,"")</f>
        <v/>
      </c>
      <c r="H857" s="1">
        <f>IF(Data!H857&gt;0,Data!H857,"")</f>
        <v/>
      </c>
      <c r="I857" s="1">
        <f>IF(Data!I857&gt;0,Data!I857,"")</f>
        <v/>
      </c>
      <c r="J857" s="1">
        <f>IF(Data!J857&gt;0,Data!J857,"")</f>
        <v/>
      </c>
      <c r="K857" s="1">
        <f>IF(Data!K857&gt;0,Data!K857,"")</f>
        <v/>
      </c>
      <c r="L857" s="1">
        <f>IF(Data!L857&gt;0,Data!L857,"")</f>
        <v/>
      </c>
      <c r="M857" s="1">
        <f>IF(Data!M857&gt;0,Data!M857,"")</f>
        <v/>
      </c>
      <c r="N857" s="1">
        <f>IF(Data!N857&gt;0,Data!N857,"")</f>
        <v/>
      </c>
      <c r="O857" s="1">
        <f>IF(Data!O857&gt;0,Data!O857,"")</f>
        <v/>
      </c>
      <c r="P857" s="1">
        <f>IF(Data!P857&gt;0,Data!P857,"")</f>
        <v/>
      </c>
      <c r="Q857" s="1">
        <f>IF(Data!Q857&gt;0,Data!Q857,"")</f>
        <v/>
      </c>
      <c r="R857" s="1">
        <f>IF(Data!R857&gt;0,Data!R857,"")</f>
        <v/>
      </c>
      <c r="S857" s="1">
        <f>IF(Data!S857&gt;0,Data!S857,"")</f>
        <v/>
      </c>
      <c r="V857" s="3">
        <f>IF(COUNT(D857,J857,K857,L857,M857,O857)&gt;0,AVERAGE(D857,J857,K857,L857,M857,O857),"")</f>
        <v/>
      </c>
      <c r="W857" s="3">
        <f>IF(COUNT(C857,F857,G857,N857,Q857)&gt;0,AVERAGE(C857,F857,G857,N857,Q857),"")</f>
        <v/>
      </c>
      <c r="X857" s="3">
        <f>IF(COUNT(B857,E857,H857,I857,P857,R857,S857)&gt;0,AVERAGE(B857,E857,H857,I857,P857,R857,S857),"")</f>
        <v/>
      </c>
      <c r="Y857" s="3" t="n"/>
      <c r="AJ857">
        <f>IFERROR(AVERAGEIF($A$4:$A$1004,AI857,$V$4:$V$1004),"")</f>
        <v/>
      </c>
      <c r="AK857">
        <f>IFERROR(AVERAGEIF($A$4:$A$1004,AI857,$W$4:$W$1004),"")</f>
        <v/>
      </c>
      <c r="AL857">
        <f>IFERROR(AVERAGEIF($A$4:$A$1004,AI857,$X$4:$X$1004),"")</f>
        <v/>
      </c>
    </row>
    <row r="858">
      <c r="A858" s="1">
        <f>IF(Data!A858&gt;0,Data!A858,"")</f>
        <v/>
      </c>
      <c r="B858" s="1">
        <f>IF(Data!B858&gt;0,Data!B858,"")</f>
        <v/>
      </c>
      <c r="C858" s="1">
        <f>IF(Data!C858&gt;0,Data!C858,"")</f>
        <v/>
      </c>
      <c r="D858" s="1">
        <f>IF(Data!D858&gt;0,Data!D858,"")</f>
        <v/>
      </c>
      <c r="E858" s="1">
        <f>IF(Data!E858&gt;0,Data!E858,"")</f>
        <v/>
      </c>
      <c r="F858" s="1">
        <f>IF(Data!F858&gt;0,Data!F858,"")</f>
        <v/>
      </c>
      <c r="G858" s="1">
        <f>IF(Data!G858&gt;0,Data!G858,"")</f>
        <v/>
      </c>
      <c r="H858" s="1">
        <f>IF(Data!H858&gt;0,Data!H858,"")</f>
        <v/>
      </c>
      <c r="I858" s="1">
        <f>IF(Data!I858&gt;0,Data!I858,"")</f>
        <v/>
      </c>
      <c r="J858" s="1">
        <f>IF(Data!J858&gt;0,Data!J858,"")</f>
        <v/>
      </c>
      <c r="K858" s="1">
        <f>IF(Data!K858&gt;0,Data!K858,"")</f>
        <v/>
      </c>
      <c r="L858" s="1">
        <f>IF(Data!L858&gt;0,Data!L858,"")</f>
        <v/>
      </c>
      <c r="M858" s="1">
        <f>IF(Data!M858&gt;0,Data!M858,"")</f>
        <v/>
      </c>
      <c r="N858" s="1">
        <f>IF(Data!N858&gt;0,Data!N858,"")</f>
        <v/>
      </c>
      <c r="O858" s="1">
        <f>IF(Data!O858&gt;0,Data!O858,"")</f>
        <v/>
      </c>
      <c r="P858" s="1">
        <f>IF(Data!P858&gt;0,Data!P858,"")</f>
        <v/>
      </c>
      <c r="Q858" s="1">
        <f>IF(Data!Q858&gt;0,Data!Q858,"")</f>
        <v/>
      </c>
      <c r="R858" s="1">
        <f>IF(Data!R858&gt;0,Data!R858,"")</f>
        <v/>
      </c>
      <c r="S858" s="1">
        <f>IF(Data!S858&gt;0,Data!S858,"")</f>
        <v/>
      </c>
      <c r="V858" s="3">
        <f>IF(COUNT(D858,J858,K858,L858,M858,O858)&gt;0,AVERAGE(D858,J858,K858,L858,M858,O858),"")</f>
        <v/>
      </c>
      <c r="W858" s="3">
        <f>IF(COUNT(C858,F858,G858,N858,Q858)&gt;0,AVERAGE(C858,F858,G858,N858,Q858),"")</f>
        <v/>
      </c>
      <c r="X858" s="3">
        <f>IF(COUNT(B858,E858,H858,I858,P858,R858,S858)&gt;0,AVERAGE(B858,E858,H858,I858,P858,R858,S858),"")</f>
        <v/>
      </c>
      <c r="Y858" s="3" t="n"/>
      <c r="AJ858">
        <f>IFERROR(AVERAGEIF($A$4:$A$1004,AI858,$V$4:$V$1004),"")</f>
        <v/>
      </c>
      <c r="AK858">
        <f>IFERROR(AVERAGEIF($A$4:$A$1004,AI858,$W$4:$W$1004),"")</f>
        <v/>
      </c>
      <c r="AL858">
        <f>IFERROR(AVERAGEIF($A$4:$A$1004,AI858,$X$4:$X$1004),"")</f>
        <v/>
      </c>
    </row>
    <row r="859">
      <c r="A859" s="1">
        <f>IF(Data!A859&gt;0,Data!A859,"")</f>
        <v/>
      </c>
      <c r="B859" s="1">
        <f>IF(Data!B859&gt;0,Data!B859,"")</f>
        <v/>
      </c>
      <c r="C859" s="1">
        <f>IF(Data!C859&gt;0,Data!C859,"")</f>
        <v/>
      </c>
      <c r="D859" s="1">
        <f>IF(Data!D859&gt;0,Data!D859,"")</f>
        <v/>
      </c>
      <c r="E859" s="1">
        <f>IF(Data!E859&gt;0,Data!E859,"")</f>
        <v/>
      </c>
      <c r="F859" s="1">
        <f>IF(Data!F859&gt;0,Data!F859,"")</f>
        <v/>
      </c>
      <c r="G859" s="1">
        <f>IF(Data!G859&gt;0,Data!G859,"")</f>
        <v/>
      </c>
      <c r="H859" s="1">
        <f>IF(Data!H859&gt;0,Data!H859,"")</f>
        <v/>
      </c>
      <c r="I859" s="1">
        <f>IF(Data!I859&gt;0,Data!I859,"")</f>
        <v/>
      </c>
      <c r="J859" s="1">
        <f>IF(Data!J859&gt;0,Data!J859,"")</f>
        <v/>
      </c>
      <c r="K859" s="1">
        <f>IF(Data!K859&gt;0,Data!K859,"")</f>
        <v/>
      </c>
      <c r="L859" s="1">
        <f>IF(Data!L859&gt;0,Data!L859,"")</f>
        <v/>
      </c>
      <c r="M859" s="1">
        <f>IF(Data!M859&gt;0,Data!M859,"")</f>
        <v/>
      </c>
      <c r="N859" s="1">
        <f>IF(Data!N859&gt;0,Data!N859,"")</f>
        <v/>
      </c>
      <c r="O859" s="1">
        <f>IF(Data!O859&gt;0,Data!O859,"")</f>
        <v/>
      </c>
      <c r="P859" s="1">
        <f>IF(Data!P859&gt;0,Data!P859,"")</f>
        <v/>
      </c>
      <c r="Q859" s="1">
        <f>IF(Data!Q859&gt;0,Data!Q859,"")</f>
        <v/>
      </c>
      <c r="R859" s="1">
        <f>IF(Data!R859&gt;0,Data!R859,"")</f>
        <v/>
      </c>
      <c r="S859" s="1">
        <f>IF(Data!S859&gt;0,Data!S859,"")</f>
        <v/>
      </c>
      <c r="V859" s="3">
        <f>IF(COUNT(D859,J859,K859,L859,M859,O859)&gt;0,AVERAGE(D859,J859,K859,L859,M859,O859),"")</f>
        <v/>
      </c>
      <c r="W859" s="3">
        <f>IF(COUNT(C859,F859,G859,N859,Q859)&gt;0,AVERAGE(C859,F859,G859,N859,Q859),"")</f>
        <v/>
      </c>
      <c r="X859" s="3">
        <f>IF(COUNT(B859,E859,H859,I859,P859,R859,S859)&gt;0,AVERAGE(B859,E859,H859,I859,P859,R859,S859),"")</f>
        <v/>
      </c>
      <c r="Y859" s="3" t="n"/>
      <c r="AJ859">
        <f>IFERROR(AVERAGEIF($A$4:$A$1004,AI859,$V$4:$V$1004),"")</f>
        <v/>
      </c>
      <c r="AK859">
        <f>IFERROR(AVERAGEIF($A$4:$A$1004,AI859,$W$4:$W$1004),"")</f>
        <v/>
      </c>
      <c r="AL859">
        <f>IFERROR(AVERAGEIF($A$4:$A$1004,AI859,$X$4:$X$1004),"")</f>
        <v/>
      </c>
    </row>
    <row r="860">
      <c r="A860" s="1">
        <f>IF(Data!A860&gt;0,Data!A860,"")</f>
        <v/>
      </c>
      <c r="B860" s="1">
        <f>IF(Data!B860&gt;0,Data!B860,"")</f>
        <v/>
      </c>
      <c r="C860" s="1">
        <f>IF(Data!C860&gt;0,Data!C860,"")</f>
        <v/>
      </c>
      <c r="D860" s="1">
        <f>IF(Data!D860&gt;0,Data!D860,"")</f>
        <v/>
      </c>
      <c r="E860" s="1">
        <f>IF(Data!E860&gt;0,Data!E860,"")</f>
        <v/>
      </c>
      <c r="F860" s="1">
        <f>IF(Data!F860&gt;0,Data!F860,"")</f>
        <v/>
      </c>
      <c r="G860" s="1">
        <f>IF(Data!G860&gt;0,Data!G860,"")</f>
        <v/>
      </c>
      <c r="H860" s="1">
        <f>IF(Data!H860&gt;0,Data!H860,"")</f>
        <v/>
      </c>
      <c r="I860" s="1">
        <f>IF(Data!I860&gt;0,Data!I860,"")</f>
        <v/>
      </c>
      <c r="J860" s="1">
        <f>IF(Data!J860&gt;0,Data!J860,"")</f>
        <v/>
      </c>
      <c r="K860" s="1">
        <f>IF(Data!K860&gt;0,Data!K860,"")</f>
        <v/>
      </c>
      <c r="L860" s="1">
        <f>IF(Data!L860&gt;0,Data!L860,"")</f>
        <v/>
      </c>
      <c r="M860" s="1">
        <f>IF(Data!M860&gt;0,Data!M860,"")</f>
        <v/>
      </c>
      <c r="N860" s="1">
        <f>IF(Data!N860&gt;0,Data!N860,"")</f>
        <v/>
      </c>
      <c r="O860" s="1">
        <f>IF(Data!O860&gt;0,Data!O860,"")</f>
        <v/>
      </c>
      <c r="P860" s="1">
        <f>IF(Data!P860&gt;0,Data!P860,"")</f>
        <v/>
      </c>
      <c r="Q860" s="1">
        <f>IF(Data!Q860&gt;0,Data!Q860,"")</f>
        <v/>
      </c>
      <c r="R860" s="1">
        <f>IF(Data!R860&gt;0,Data!R860,"")</f>
        <v/>
      </c>
      <c r="S860" s="1">
        <f>IF(Data!S860&gt;0,Data!S860,"")</f>
        <v/>
      </c>
      <c r="V860" s="3">
        <f>IF(COUNT(D860,J860,K860,L860,M860,O860)&gt;0,AVERAGE(D860,J860,K860,L860,M860,O860),"")</f>
        <v/>
      </c>
      <c r="W860" s="3">
        <f>IF(COUNT(C860,F860,G860,N860,Q860)&gt;0,AVERAGE(C860,F860,G860,N860,Q860),"")</f>
        <v/>
      </c>
      <c r="X860" s="3">
        <f>IF(COUNT(B860,E860,H860,I860,P860,R860,S860)&gt;0,AVERAGE(B860,E860,H860,I860,P860,R860,S860),"")</f>
        <v/>
      </c>
      <c r="Y860" s="3" t="n"/>
      <c r="AJ860">
        <f>IFERROR(AVERAGEIF($A$4:$A$1004,AI860,$V$4:$V$1004),"")</f>
        <v/>
      </c>
      <c r="AK860">
        <f>IFERROR(AVERAGEIF($A$4:$A$1004,AI860,$W$4:$W$1004),"")</f>
        <v/>
      </c>
      <c r="AL860">
        <f>IFERROR(AVERAGEIF($A$4:$A$1004,AI860,$X$4:$X$1004),"")</f>
        <v/>
      </c>
    </row>
    <row r="861">
      <c r="A861" s="1">
        <f>IF(Data!A861&gt;0,Data!A861,"")</f>
        <v/>
      </c>
      <c r="B861" s="1">
        <f>IF(Data!B861&gt;0,Data!B861,"")</f>
        <v/>
      </c>
      <c r="C861" s="1">
        <f>IF(Data!C861&gt;0,Data!C861,"")</f>
        <v/>
      </c>
      <c r="D861" s="1">
        <f>IF(Data!D861&gt;0,Data!D861,"")</f>
        <v/>
      </c>
      <c r="E861" s="1">
        <f>IF(Data!E861&gt;0,Data!E861,"")</f>
        <v/>
      </c>
      <c r="F861" s="1">
        <f>IF(Data!F861&gt;0,Data!F861,"")</f>
        <v/>
      </c>
      <c r="G861" s="1">
        <f>IF(Data!G861&gt;0,Data!G861,"")</f>
        <v/>
      </c>
      <c r="H861" s="1">
        <f>IF(Data!H861&gt;0,Data!H861,"")</f>
        <v/>
      </c>
      <c r="I861" s="1">
        <f>IF(Data!I861&gt;0,Data!I861,"")</f>
        <v/>
      </c>
      <c r="J861" s="1">
        <f>IF(Data!J861&gt;0,Data!J861,"")</f>
        <v/>
      </c>
      <c r="K861" s="1">
        <f>IF(Data!K861&gt;0,Data!K861,"")</f>
        <v/>
      </c>
      <c r="L861" s="1">
        <f>IF(Data!L861&gt;0,Data!L861,"")</f>
        <v/>
      </c>
      <c r="M861" s="1">
        <f>IF(Data!M861&gt;0,Data!M861,"")</f>
        <v/>
      </c>
      <c r="N861" s="1">
        <f>IF(Data!N861&gt;0,Data!N861,"")</f>
        <v/>
      </c>
      <c r="O861" s="1">
        <f>IF(Data!O861&gt;0,Data!O861,"")</f>
        <v/>
      </c>
      <c r="P861" s="1">
        <f>IF(Data!P861&gt;0,Data!P861,"")</f>
        <v/>
      </c>
      <c r="Q861" s="1">
        <f>IF(Data!Q861&gt;0,Data!Q861,"")</f>
        <v/>
      </c>
      <c r="R861" s="1">
        <f>IF(Data!R861&gt;0,Data!R861,"")</f>
        <v/>
      </c>
      <c r="S861" s="1">
        <f>IF(Data!S861&gt;0,Data!S861,"")</f>
        <v/>
      </c>
      <c r="V861" s="3">
        <f>IF(COUNT(D861,J861,K861,L861,M861,O861)&gt;0,AVERAGE(D861,J861,K861,L861,M861,O861),"")</f>
        <v/>
      </c>
      <c r="W861" s="3">
        <f>IF(COUNT(C861,F861,G861,N861,Q861)&gt;0,AVERAGE(C861,F861,G861,N861,Q861),"")</f>
        <v/>
      </c>
      <c r="X861" s="3">
        <f>IF(COUNT(B861,E861,H861,I861,P861,R861,S861)&gt;0,AVERAGE(B861,E861,H861,I861,P861,R861,S861),"")</f>
        <v/>
      </c>
      <c r="Y861" s="3" t="n"/>
      <c r="AJ861">
        <f>IFERROR(AVERAGEIF($A$4:$A$1004,AI861,$V$4:$V$1004),"")</f>
        <v/>
      </c>
      <c r="AK861">
        <f>IFERROR(AVERAGEIF($A$4:$A$1004,AI861,$W$4:$W$1004),"")</f>
        <v/>
      </c>
      <c r="AL861">
        <f>IFERROR(AVERAGEIF($A$4:$A$1004,AI861,$X$4:$X$1004),"")</f>
        <v/>
      </c>
    </row>
    <row r="862">
      <c r="A862" s="1">
        <f>IF(Data!A862&gt;0,Data!A862,"")</f>
        <v/>
      </c>
      <c r="B862" s="1">
        <f>IF(Data!B862&gt;0,Data!B862,"")</f>
        <v/>
      </c>
      <c r="C862" s="1">
        <f>IF(Data!C862&gt;0,Data!C862,"")</f>
        <v/>
      </c>
      <c r="D862" s="1">
        <f>IF(Data!D862&gt;0,Data!D862,"")</f>
        <v/>
      </c>
      <c r="E862" s="1">
        <f>IF(Data!E862&gt;0,Data!E862,"")</f>
        <v/>
      </c>
      <c r="F862" s="1">
        <f>IF(Data!F862&gt;0,Data!F862,"")</f>
        <v/>
      </c>
      <c r="G862" s="1">
        <f>IF(Data!G862&gt;0,Data!G862,"")</f>
        <v/>
      </c>
      <c r="H862" s="1">
        <f>IF(Data!H862&gt;0,Data!H862,"")</f>
        <v/>
      </c>
      <c r="I862" s="1">
        <f>IF(Data!I862&gt;0,Data!I862,"")</f>
        <v/>
      </c>
      <c r="J862" s="1">
        <f>IF(Data!J862&gt;0,Data!J862,"")</f>
        <v/>
      </c>
      <c r="K862" s="1">
        <f>IF(Data!K862&gt;0,Data!K862,"")</f>
        <v/>
      </c>
      <c r="L862" s="1">
        <f>IF(Data!L862&gt;0,Data!L862,"")</f>
        <v/>
      </c>
      <c r="M862" s="1">
        <f>IF(Data!M862&gt;0,Data!M862,"")</f>
        <v/>
      </c>
      <c r="N862" s="1">
        <f>IF(Data!N862&gt;0,Data!N862,"")</f>
        <v/>
      </c>
      <c r="O862" s="1">
        <f>IF(Data!O862&gt;0,Data!O862,"")</f>
        <v/>
      </c>
      <c r="P862" s="1">
        <f>IF(Data!P862&gt;0,Data!P862,"")</f>
        <v/>
      </c>
      <c r="Q862" s="1">
        <f>IF(Data!Q862&gt;0,Data!Q862,"")</f>
        <v/>
      </c>
      <c r="R862" s="1">
        <f>IF(Data!R862&gt;0,Data!R862,"")</f>
        <v/>
      </c>
      <c r="S862" s="1">
        <f>IF(Data!S862&gt;0,Data!S862,"")</f>
        <v/>
      </c>
      <c r="V862" s="3">
        <f>IF(COUNT(D862,J862,K862,L862,M862,O862)&gt;0,AVERAGE(D862,J862,K862,L862,M862,O862),"")</f>
        <v/>
      </c>
      <c r="W862" s="3">
        <f>IF(COUNT(C862,F862,G862,N862,Q862)&gt;0,AVERAGE(C862,F862,G862,N862,Q862),"")</f>
        <v/>
      </c>
      <c r="X862" s="3">
        <f>IF(COUNT(B862,E862,H862,I862,P862,R862,S862)&gt;0,AVERAGE(B862,E862,H862,I862,P862,R862,S862),"")</f>
        <v/>
      </c>
      <c r="Y862" s="3" t="n"/>
      <c r="AJ862">
        <f>IFERROR(AVERAGEIF($A$4:$A$1004,AI862,$V$4:$V$1004),"")</f>
        <v/>
      </c>
      <c r="AK862">
        <f>IFERROR(AVERAGEIF($A$4:$A$1004,AI862,$W$4:$W$1004),"")</f>
        <v/>
      </c>
      <c r="AL862">
        <f>IFERROR(AVERAGEIF($A$4:$A$1004,AI862,$X$4:$X$1004),"")</f>
        <v/>
      </c>
    </row>
    <row r="863">
      <c r="A863" s="1">
        <f>IF(Data!A863&gt;0,Data!A863,"")</f>
        <v/>
      </c>
      <c r="B863" s="1">
        <f>IF(Data!B863&gt;0,Data!B863,"")</f>
        <v/>
      </c>
      <c r="C863" s="1">
        <f>IF(Data!C863&gt;0,Data!C863,"")</f>
        <v/>
      </c>
      <c r="D863" s="1">
        <f>IF(Data!D863&gt;0,Data!D863,"")</f>
        <v/>
      </c>
      <c r="E863" s="1">
        <f>IF(Data!E863&gt;0,Data!E863,"")</f>
        <v/>
      </c>
      <c r="F863" s="1">
        <f>IF(Data!F863&gt;0,Data!F863,"")</f>
        <v/>
      </c>
      <c r="G863" s="1">
        <f>IF(Data!G863&gt;0,Data!G863,"")</f>
        <v/>
      </c>
      <c r="H863" s="1">
        <f>IF(Data!H863&gt;0,Data!H863,"")</f>
        <v/>
      </c>
      <c r="I863" s="1">
        <f>IF(Data!I863&gt;0,Data!I863,"")</f>
        <v/>
      </c>
      <c r="J863" s="1">
        <f>IF(Data!J863&gt;0,Data!J863,"")</f>
        <v/>
      </c>
      <c r="K863" s="1">
        <f>IF(Data!K863&gt;0,Data!K863,"")</f>
        <v/>
      </c>
      <c r="L863" s="1">
        <f>IF(Data!L863&gt;0,Data!L863,"")</f>
        <v/>
      </c>
      <c r="M863" s="1">
        <f>IF(Data!M863&gt;0,Data!M863,"")</f>
        <v/>
      </c>
      <c r="N863" s="1">
        <f>IF(Data!N863&gt;0,Data!N863,"")</f>
        <v/>
      </c>
      <c r="O863" s="1">
        <f>IF(Data!O863&gt;0,Data!O863,"")</f>
        <v/>
      </c>
      <c r="P863" s="1">
        <f>IF(Data!P863&gt;0,Data!P863,"")</f>
        <v/>
      </c>
      <c r="Q863" s="1">
        <f>IF(Data!Q863&gt;0,Data!Q863,"")</f>
        <v/>
      </c>
      <c r="R863" s="1">
        <f>IF(Data!R863&gt;0,Data!R863,"")</f>
        <v/>
      </c>
      <c r="S863" s="1">
        <f>IF(Data!S863&gt;0,Data!S863,"")</f>
        <v/>
      </c>
      <c r="V863" s="3">
        <f>IF(COUNT(D863,J863,K863,L863,M863,O863)&gt;0,AVERAGE(D863,J863,K863,L863,M863,O863),"")</f>
        <v/>
      </c>
      <c r="W863" s="3">
        <f>IF(COUNT(C863,F863,G863,N863,Q863)&gt;0,AVERAGE(C863,F863,G863,N863,Q863),"")</f>
        <v/>
      </c>
      <c r="X863" s="3">
        <f>IF(COUNT(B863,E863,H863,I863,P863,R863,S863)&gt;0,AVERAGE(B863,E863,H863,I863,P863,R863,S863),"")</f>
        <v/>
      </c>
      <c r="Y863" s="3" t="n"/>
      <c r="AJ863">
        <f>IFERROR(AVERAGEIF($A$4:$A$1004,AI863,$V$4:$V$1004),"")</f>
        <v/>
      </c>
      <c r="AK863">
        <f>IFERROR(AVERAGEIF($A$4:$A$1004,AI863,$W$4:$W$1004),"")</f>
        <v/>
      </c>
      <c r="AL863">
        <f>IFERROR(AVERAGEIF($A$4:$A$1004,AI863,$X$4:$X$1004),"")</f>
        <v/>
      </c>
    </row>
    <row r="864">
      <c r="A864" s="1">
        <f>IF(Data!A864&gt;0,Data!A864,"")</f>
        <v/>
      </c>
      <c r="B864" s="1">
        <f>IF(Data!B864&gt;0,Data!B864,"")</f>
        <v/>
      </c>
      <c r="C864" s="1">
        <f>IF(Data!C864&gt;0,Data!C864,"")</f>
        <v/>
      </c>
      <c r="D864" s="1">
        <f>IF(Data!D864&gt;0,Data!D864,"")</f>
        <v/>
      </c>
      <c r="E864" s="1">
        <f>IF(Data!E864&gt;0,Data!E864,"")</f>
        <v/>
      </c>
      <c r="F864" s="1">
        <f>IF(Data!F864&gt;0,Data!F864,"")</f>
        <v/>
      </c>
      <c r="G864" s="1">
        <f>IF(Data!G864&gt;0,Data!G864,"")</f>
        <v/>
      </c>
      <c r="H864" s="1">
        <f>IF(Data!H864&gt;0,Data!H864,"")</f>
        <v/>
      </c>
      <c r="I864" s="1">
        <f>IF(Data!I864&gt;0,Data!I864,"")</f>
        <v/>
      </c>
      <c r="J864" s="1">
        <f>IF(Data!J864&gt;0,Data!J864,"")</f>
        <v/>
      </c>
      <c r="K864" s="1">
        <f>IF(Data!K864&gt;0,Data!K864,"")</f>
        <v/>
      </c>
      <c r="L864" s="1">
        <f>IF(Data!L864&gt;0,Data!L864,"")</f>
        <v/>
      </c>
      <c r="M864" s="1">
        <f>IF(Data!M864&gt;0,Data!M864,"")</f>
        <v/>
      </c>
      <c r="N864" s="1">
        <f>IF(Data!N864&gt;0,Data!N864,"")</f>
        <v/>
      </c>
      <c r="O864" s="1">
        <f>IF(Data!O864&gt;0,Data!O864,"")</f>
        <v/>
      </c>
      <c r="P864" s="1">
        <f>IF(Data!P864&gt;0,Data!P864,"")</f>
        <v/>
      </c>
      <c r="Q864" s="1">
        <f>IF(Data!Q864&gt;0,Data!Q864,"")</f>
        <v/>
      </c>
      <c r="R864" s="1">
        <f>IF(Data!R864&gt;0,Data!R864,"")</f>
        <v/>
      </c>
      <c r="S864" s="1">
        <f>IF(Data!S864&gt;0,Data!S864,"")</f>
        <v/>
      </c>
      <c r="V864" s="3">
        <f>IF(COUNT(D864,J864,K864,L864,M864,O864)&gt;0,AVERAGE(D864,J864,K864,L864,M864,O864),"")</f>
        <v/>
      </c>
      <c r="W864" s="3">
        <f>IF(COUNT(C864,F864,G864,N864,Q864)&gt;0,AVERAGE(C864,F864,G864,N864,Q864),"")</f>
        <v/>
      </c>
      <c r="X864" s="3">
        <f>IF(COUNT(B864,E864,H864,I864,P864,R864,S864)&gt;0,AVERAGE(B864,E864,H864,I864,P864,R864,S864),"")</f>
        <v/>
      </c>
      <c r="Y864" s="3" t="n"/>
      <c r="AJ864">
        <f>IFERROR(AVERAGEIF($A$4:$A$1004,AI864,$V$4:$V$1004),"")</f>
        <v/>
      </c>
      <c r="AK864">
        <f>IFERROR(AVERAGEIF($A$4:$A$1004,AI864,$W$4:$W$1004),"")</f>
        <v/>
      </c>
      <c r="AL864">
        <f>IFERROR(AVERAGEIF($A$4:$A$1004,AI864,$X$4:$X$1004),"")</f>
        <v/>
      </c>
    </row>
    <row r="865">
      <c r="A865" s="1">
        <f>IF(Data!A865&gt;0,Data!A865,"")</f>
        <v/>
      </c>
      <c r="B865" s="1">
        <f>IF(Data!B865&gt;0,Data!B865,"")</f>
        <v/>
      </c>
      <c r="C865" s="1">
        <f>IF(Data!C865&gt;0,Data!C865,"")</f>
        <v/>
      </c>
      <c r="D865" s="1">
        <f>IF(Data!D865&gt;0,Data!D865,"")</f>
        <v/>
      </c>
      <c r="E865" s="1">
        <f>IF(Data!E865&gt;0,Data!E865,"")</f>
        <v/>
      </c>
      <c r="F865" s="1">
        <f>IF(Data!F865&gt;0,Data!F865,"")</f>
        <v/>
      </c>
      <c r="G865" s="1">
        <f>IF(Data!G865&gt;0,Data!G865,"")</f>
        <v/>
      </c>
      <c r="H865" s="1">
        <f>IF(Data!H865&gt;0,Data!H865,"")</f>
        <v/>
      </c>
      <c r="I865" s="1">
        <f>IF(Data!I865&gt;0,Data!I865,"")</f>
        <v/>
      </c>
      <c r="J865" s="1">
        <f>IF(Data!J865&gt;0,Data!J865,"")</f>
        <v/>
      </c>
      <c r="K865" s="1">
        <f>IF(Data!K865&gt;0,Data!K865,"")</f>
        <v/>
      </c>
      <c r="L865" s="1">
        <f>IF(Data!L865&gt;0,Data!L865,"")</f>
        <v/>
      </c>
      <c r="M865" s="1">
        <f>IF(Data!M865&gt;0,Data!M865,"")</f>
        <v/>
      </c>
      <c r="N865" s="1">
        <f>IF(Data!N865&gt;0,Data!N865,"")</f>
        <v/>
      </c>
      <c r="O865" s="1">
        <f>IF(Data!O865&gt;0,Data!O865,"")</f>
        <v/>
      </c>
      <c r="P865" s="1">
        <f>IF(Data!P865&gt;0,Data!P865,"")</f>
        <v/>
      </c>
      <c r="Q865" s="1">
        <f>IF(Data!Q865&gt;0,Data!Q865,"")</f>
        <v/>
      </c>
      <c r="R865" s="1">
        <f>IF(Data!R865&gt;0,Data!R865,"")</f>
        <v/>
      </c>
      <c r="S865" s="1">
        <f>IF(Data!S865&gt;0,Data!S865,"")</f>
        <v/>
      </c>
      <c r="V865" s="3">
        <f>IF(COUNT(D865,J865,K865,L865,M865,O865)&gt;0,AVERAGE(D865,J865,K865,L865,M865,O865),"")</f>
        <v/>
      </c>
      <c r="W865" s="3">
        <f>IF(COUNT(C865,F865,G865,N865,Q865)&gt;0,AVERAGE(C865,F865,G865,N865,Q865),"")</f>
        <v/>
      </c>
      <c r="X865" s="3">
        <f>IF(COUNT(B865,E865,H865,I865,P865,R865,S865)&gt;0,AVERAGE(B865,E865,H865,I865,P865,R865,S865),"")</f>
        <v/>
      </c>
      <c r="Y865" s="3" t="n"/>
      <c r="AJ865">
        <f>IFERROR(AVERAGEIF($A$4:$A$1004,AI865,$V$4:$V$1004),"")</f>
        <v/>
      </c>
      <c r="AK865">
        <f>IFERROR(AVERAGEIF($A$4:$A$1004,AI865,$W$4:$W$1004),"")</f>
        <v/>
      </c>
      <c r="AL865">
        <f>IFERROR(AVERAGEIF($A$4:$A$1004,AI865,$X$4:$X$1004),"")</f>
        <v/>
      </c>
    </row>
    <row r="866">
      <c r="A866" s="1">
        <f>IF(Data!A866&gt;0,Data!A866,"")</f>
        <v/>
      </c>
      <c r="B866" s="1">
        <f>IF(Data!B866&gt;0,Data!B866,"")</f>
        <v/>
      </c>
      <c r="C866" s="1">
        <f>IF(Data!C866&gt;0,Data!C866,"")</f>
        <v/>
      </c>
      <c r="D866" s="1">
        <f>IF(Data!D866&gt;0,Data!D866,"")</f>
        <v/>
      </c>
      <c r="E866" s="1">
        <f>IF(Data!E866&gt;0,Data!E866,"")</f>
        <v/>
      </c>
      <c r="F866" s="1">
        <f>IF(Data!F866&gt;0,Data!F866,"")</f>
        <v/>
      </c>
      <c r="G866" s="1">
        <f>IF(Data!G866&gt;0,Data!G866,"")</f>
        <v/>
      </c>
      <c r="H866" s="1">
        <f>IF(Data!H866&gt;0,Data!H866,"")</f>
        <v/>
      </c>
      <c r="I866" s="1">
        <f>IF(Data!I866&gt;0,Data!I866,"")</f>
        <v/>
      </c>
      <c r="J866" s="1">
        <f>IF(Data!J866&gt;0,Data!J866,"")</f>
        <v/>
      </c>
      <c r="K866" s="1">
        <f>IF(Data!K866&gt;0,Data!K866,"")</f>
        <v/>
      </c>
      <c r="L866" s="1">
        <f>IF(Data!L866&gt;0,Data!L866,"")</f>
        <v/>
      </c>
      <c r="M866" s="1">
        <f>IF(Data!M866&gt;0,Data!M866,"")</f>
        <v/>
      </c>
      <c r="N866" s="1">
        <f>IF(Data!N866&gt;0,Data!N866,"")</f>
        <v/>
      </c>
      <c r="O866" s="1">
        <f>IF(Data!O866&gt;0,Data!O866,"")</f>
        <v/>
      </c>
      <c r="P866" s="1">
        <f>IF(Data!P866&gt;0,Data!P866,"")</f>
        <v/>
      </c>
      <c r="Q866" s="1">
        <f>IF(Data!Q866&gt;0,Data!Q866,"")</f>
        <v/>
      </c>
      <c r="R866" s="1">
        <f>IF(Data!R866&gt;0,Data!R866,"")</f>
        <v/>
      </c>
      <c r="S866" s="1">
        <f>IF(Data!S866&gt;0,Data!S866,"")</f>
        <v/>
      </c>
      <c r="V866" s="3">
        <f>IF(COUNT(D866,J866,K866,L866,M866,O866)&gt;0,AVERAGE(D866,J866,K866,L866,M866,O866),"")</f>
        <v/>
      </c>
      <c r="W866" s="3">
        <f>IF(COUNT(C866,F866,G866,N866,Q866)&gt;0,AVERAGE(C866,F866,G866,N866,Q866),"")</f>
        <v/>
      </c>
      <c r="X866" s="3">
        <f>IF(COUNT(B866,E866,H866,I866,P866,R866,S866)&gt;0,AVERAGE(B866,E866,H866,I866,P866,R866,S866),"")</f>
        <v/>
      </c>
      <c r="Y866" s="3" t="n"/>
      <c r="AJ866">
        <f>IFERROR(AVERAGEIF($A$4:$A$1004,AI866,$V$4:$V$1004),"")</f>
        <v/>
      </c>
      <c r="AK866">
        <f>IFERROR(AVERAGEIF($A$4:$A$1004,AI866,$W$4:$W$1004),"")</f>
        <v/>
      </c>
      <c r="AL866">
        <f>IFERROR(AVERAGEIF($A$4:$A$1004,AI866,$X$4:$X$1004),"")</f>
        <v/>
      </c>
    </row>
    <row r="867">
      <c r="A867" s="1">
        <f>IF(Data!A867&gt;0,Data!A867,"")</f>
        <v/>
      </c>
      <c r="B867" s="1">
        <f>IF(Data!B867&gt;0,Data!B867,"")</f>
        <v/>
      </c>
      <c r="C867" s="1">
        <f>IF(Data!C867&gt;0,Data!C867,"")</f>
        <v/>
      </c>
      <c r="D867" s="1">
        <f>IF(Data!D867&gt;0,Data!D867,"")</f>
        <v/>
      </c>
      <c r="E867" s="1">
        <f>IF(Data!E867&gt;0,Data!E867,"")</f>
        <v/>
      </c>
      <c r="F867" s="1">
        <f>IF(Data!F867&gt;0,Data!F867,"")</f>
        <v/>
      </c>
      <c r="G867" s="1">
        <f>IF(Data!G867&gt;0,Data!G867,"")</f>
        <v/>
      </c>
      <c r="H867" s="1">
        <f>IF(Data!H867&gt;0,Data!H867,"")</f>
        <v/>
      </c>
      <c r="I867" s="1">
        <f>IF(Data!I867&gt;0,Data!I867,"")</f>
        <v/>
      </c>
      <c r="J867" s="1">
        <f>IF(Data!J867&gt;0,Data!J867,"")</f>
        <v/>
      </c>
      <c r="K867" s="1">
        <f>IF(Data!K867&gt;0,Data!K867,"")</f>
        <v/>
      </c>
      <c r="L867" s="1">
        <f>IF(Data!L867&gt;0,Data!L867,"")</f>
        <v/>
      </c>
      <c r="M867" s="1">
        <f>IF(Data!M867&gt;0,Data!M867,"")</f>
        <v/>
      </c>
      <c r="N867" s="1">
        <f>IF(Data!N867&gt;0,Data!N867,"")</f>
        <v/>
      </c>
      <c r="O867" s="1">
        <f>IF(Data!O867&gt;0,Data!O867,"")</f>
        <v/>
      </c>
      <c r="P867" s="1">
        <f>IF(Data!P867&gt;0,Data!P867,"")</f>
        <v/>
      </c>
      <c r="Q867" s="1">
        <f>IF(Data!Q867&gt;0,Data!Q867,"")</f>
        <v/>
      </c>
      <c r="R867" s="1">
        <f>IF(Data!R867&gt;0,Data!R867,"")</f>
        <v/>
      </c>
      <c r="S867" s="1">
        <f>IF(Data!S867&gt;0,Data!S867,"")</f>
        <v/>
      </c>
      <c r="V867" s="3">
        <f>IF(COUNT(D867,J867,K867,L867,M867,O867)&gt;0,AVERAGE(D867,J867,K867,L867,M867,O867),"")</f>
        <v/>
      </c>
      <c r="W867" s="3">
        <f>IF(COUNT(C867,F867,G867,N867,Q867)&gt;0,AVERAGE(C867,F867,G867,N867,Q867),"")</f>
        <v/>
      </c>
      <c r="X867" s="3">
        <f>IF(COUNT(B867,E867,H867,I867,P867,R867,S867)&gt;0,AVERAGE(B867,E867,H867,I867,P867,R867,S867),"")</f>
        <v/>
      </c>
      <c r="Y867" s="3" t="n"/>
      <c r="AJ867">
        <f>IFERROR(AVERAGEIF($A$4:$A$1004,AI867,$V$4:$V$1004),"")</f>
        <v/>
      </c>
      <c r="AK867">
        <f>IFERROR(AVERAGEIF($A$4:$A$1004,AI867,$W$4:$W$1004),"")</f>
        <v/>
      </c>
      <c r="AL867">
        <f>IFERROR(AVERAGEIF($A$4:$A$1004,AI867,$X$4:$X$1004),"")</f>
        <v/>
      </c>
    </row>
    <row r="868">
      <c r="A868" s="1">
        <f>IF(Data!A868&gt;0,Data!A868,"")</f>
        <v/>
      </c>
      <c r="B868" s="1">
        <f>IF(Data!B868&gt;0,Data!B868,"")</f>
        <v/>
      </c>
      <c r="C868" s="1">
        <f>IF(Data!C868&gt;0,Data!C868,"")</f>
        <v/>
      </c>
      <c r="D868" s="1">
        <f>IF(Data!D868&gt;0,Data!D868,"")</f>
        <v/>
      </c>
      <c r="E868" s="1">
        <f>IF(Data!E868&gt;0,Data!E868,"")</f>
        <v/>
      </c>
      <c r="F868" s="1">
        <f>IF(Data!F868&gt;0,Data!F868,"")</f>
        <v/>
      </c>
      <c r="G868" s="1">
        <f>IF(Data!G868&gt;0,Data!G868,"")</f>
        <v/>
      </c>
      <c r="H868" s="1">
        <f>IF(Data!H868&gt;0,Data!H868,"")</f>
        <v/>
      </c>
      <c r="I868" s="1">
        <f>IF(Data!I868&gt;0,Data!I868,"")</f>
        <v/>
      </c>
      <c r="J868" s="1">
        <f>IF(Data!J868&gt;0,Data!J868,"")</f>
        <v/>
      </c>
      <c r="K868" s="1">
        <f>IF(Data!K868&gt;0,Data!K868,"")</f>
        <v/>
      </c>
      <c r="L868" s="1">
        <f>IF(Data!L868&gt;0,Data!L868,"")</f>
        <v/>
      </c>
      <c r="M868" s="1">
        <f>IF(Data!M868&gt;0,Data!M868,"")</f>
        <v/>
      </c>
      <c r="N868" s="1">
        <f>IF(Data!N868&gt;0,Data!N868,"")</f>
        <v/>
      </c>
      <c r="O868" s="1">
        <f>IF(Data!O868&gt;0,Data!O868,"")</f>
        <v/>
      </c>
      <c r="P868" s="1">
        <f>IF(Data!P868&gt;0,Data!P868,"")</f>
        <v/>
      </c>
      <c r="Q868" s="1">
        <f>IF(Data!Q868&gt;0,Data!Q868,"")</f>
        <v/>
      </c>
      <c r="R868" s="1">
        <f>IF(Data!R868&gt;0,Data!R868,"")</f>
        <v/>
      </c>
      <c r="S868" s="1">
        <f>IF(Data!S868&gt;0,Data!S868,"")</f>
        <v/>
      </c>
      <c r="V868" s="3">
        <f>IF(COUNT(D868,J868,K868,L868,M868,O868)&gt;0,AVERAGE(D868,J868,K868,L868,M868,O868),"")</f>
        <v/>
      </c>
      <c r="W868" s="3">
        <f>IF(COUNT(C868,F868,G868,N868,Q868)&gt;0,AVERAGE(C868,F868,G868,N868,Q868),"")</f>
        <v/>
      </c>
      <c r="X868" s="3">
        <f>IF(COUNT(B868,E868,H868,I868,P868,R868,S868)&gt;0,AVERAGE(B868,E868,H868,I868,P868,R868,S868),"")</f>
        <v/>
      </c>
      <c r="Y868" s="3" t="n"/>
      <c r="AJ868">
        <f>IFERROR(AVERAGEIF($A$4:$A$1004,AI868,$V$4:$V$1004),"")</f>
        <v/>
      </c>
      <c r="AK868">
        <f>IFERROR(AVERAGEIF($A$4:$A$1004,AI868,$W$4:$W$1004),"")</f>
        <v/>
      </c>
      <c r="AL868">
        <f>IFERROR(AVERAGEIF($A$4:$A$1004,AI868,$X$4:$X$1004),"")</f>
        <v/>
      </c>
    </row>
    <row r="869">
      <c r="A869" s="1">
        <f>IF(Data!A869&gt;0,Data!A869,"")</f>
        <v/>
      </c>
      <c r="B869" s="1">
        <f>IF(Data!B869&gt;0,Data!B869,"")</f>
        <v/>
      </c>
      <c r="C869" s="1">
        <f>IF(Data!C869&gt;0,Data!C869,"")</f>
        <v/>
      </c>
      <c r="D869" s="1">
        <f>IF(Data!D869&gt;0,Data!D869,"")</f>
        <v/>
      </c>
      <c r="E869" s="1">
        <f>IF(Data!E869&gt;0,Data!E869,"")</f>
        <v/>
      </c>
      <c r="F869" s="1">
        <f>IF(Data!F869&gt;0,Data!F869,"")</f>
        <v/>
      </c>
      <c r="G869" s="1">
        <f>IF(Data!G869&gt;0,Data!G869,"")</f>
        <v/>
      </c>
      <c r="H869" s="1">
        <f>IF(Data!H869&gt;0,Data!H869,"")</f>
        <v/>
      </c>
      <c r="I869" s="1">
        <f>IF(Data!I869&gt;0,Data!I869,"")</f>
        <v/>
      </c>
      <c r="J869" s="1">
        <f>IF(Data!J869&gt;0,Data!J869,"")</f>
        <v/>
      </c>
      <c r="K869" s="1">
        <f>IF(Data!K869&gt;0,Data!K869,"")</f>
        <v/>
      </c>
      <c r="L869" s="1">
        <f>IF(Data!L869&gt;0,Data!L869,"")</f>
        <v/>
      </c>
      <c r="M869" s="1">
        <f>IF(Data!M869&gt;0,Data!M869,"")</f>
        <v/>
      </c>
      <c r="N869" s="1">
        <f>IF(Data!N869&gt;0,Data!N869,"")</f>
        <v/>
      </c>
      <c r="O869" s="1">
        <f>IF(Data!O869&gt;0,Data!O869,"")</f>
        <v/>
      </c>
      <c r="P869" s="1">
        <f>IF(Data!P869&gt;0,Data!P869,"")</f>
        <v/>
      </c>
      <c r="Q869" s="1">
        <f>IF(Data!Q869&gt;0,Data!Q869,"")</f>
        <v/>
      </c>
      <c r="R869" s="1">
        <f>IF(Data!R869&gt;0,Data!R869,"")</f>
        <v/>
      </c>
      <c r="S869" s="1">
        <f>IF(Data!S869&gt;0,Data!S869,"")</f>
        <v/>
      </c>
      <c r="V869" s="3">
        <f>IF(COUNT(D869,J869,K869,L869,M869,O869)&gt;0,AVERAGE(D869,J869,K869,L869,M869,O869),"")</f>
        <v/>
      </c>
      <c r="W869" s="3">
        <f>IF(COUNT(C869,F869,G869,N869,Q869)&gt;0,AVERAGE(C869,F869,G869,N869,Q869),"")</f>
        <v/>
      </c>
      <c r="X869" s="3">
        <f>IF(COUNT(B869,E869,H869,I869,P869,R869,S869)&gt;0,AVERAGE(B869,E869,H869,I869,P869,R869,S869),"")</f>
        <v/>
      </c>
      <c r="Y869" s="3" t="n"/>
      <c r="AJ869">
        <f>IFERROR(AVERAGEIF($A$4:$A$1004,AI869,$V$4:$V$1004),"")</f>
        <v/>
      </c>
      <c r="AK869">
        <f>IFERROR(AVERAGEIF($A$4:$A$1004,AI869,$W$4:$W$1004),"")</f>
        <v/>
      </c>
      <c r="AL869">
        <f>IFERROR(AVERAGEIF($A$4:$A$1004,AI869,$X$4:$X$1004),"")</f>
        <v/>
      </c>
    </row>
    <row r="870">
      <c r="A870" s="1">
        <f>IF(Data!A870&gt;0,Data!A870,"")</f>
        <v/>
      </c>
      <c r="B870" s="1">
        <f>IF(Data!B870&gt;0,Data!B870,"")</f>
        <v/>
      </c>
      <c r="C870" s="1">
        <f>IF(Data!C870&gt;0,Data!C870,"")</f>
        <v/>
      </c>
      <c r="D870" s="1">
        <f>IF(Data!D870&gt;0,Data!D870,"")</f>
        <v/>
      </c>
      <c r="E870" s="1">
        <f>IF(Data!E870&gt;0,Data!E870,"")</f>
        <v/>
      </c>
      <c r="F870" s="1">
        <f>IF(Data!F870&gt;0,Data!F870,"")</f>
        <v/>
      </c>
      <c r="G870" s="1">
        <f>IF(Data!G870&gt;0,Data!G870,"")</f>
        <v/>
      </c>
      <c r="H870" s="1">
        <f>IF(Data!H870&gt;0,Data!H870,"")</f>
        <v/>
      </c>
      <c r="I870" s="1">
        <f>IF(Data!I870&gt;0,Data!I870,"")</f>
        <v/>
      </c>
      <c r="J870" s="1">
        <f>IF(Data!J870&gt;0,Data!J870,"")</f>
        <v/>
      </c>
      <c r="K870" s="1">
        <f>IF(Data!K870&gt;0,Data!K870,"")</f>
        <v/>
      </c>
      <c r="L870" s="1">
        <f>IF(Data!L870&gt;0,Data!L870,"")</f>
        <v/>
      </c>
      <c r="M870" s="1">
        <f>IF(Data!M870&gt;0,Data!M870,"")</f>
        <v/>
      </c>
      <c r="N870" s="1">
        <f>IF(Data!N870&gt;0,Data!N870,"")</f>
        <v/>
      </c>
      <c r="O870" s="1">
        <f>IF(Data!O870&gt;0,Data!O870,"")</f>
        <v/>
      </c>
      <c r="P870" s="1">
        <f>IF(Data!P870&gt;0,Data!P870,"")</f>
        <v/>
      </c>
      <c r="Q870" s="1">
        <f>IF(Data!Q870&gt;0,Data!Q870,"")</f>
        <v/>
      </c>
      <c r="R870" s="1">
        <f>IF(Data!R870&gt;0,Data!R870,"")</f>
        <v/>
      </c>
      <c r="S870" s="1">
        <f>IF(Data!S870&gt;0,Data!S870,"")</f>
        <v/>
      </c>
      <c r="V870" s="3">
        <f>IF(COUNT(D870,J870,K870,L870,M870,O870)&gt;0,AVERAGE(D870,J870,K870,L870,M870,O870),"")</f>
        <v/>
      </c>
      <c r="W870" s="3">
        <f>IF(COUNT(C870,F870,G870,N870,Q870)&gt;0,AVERAGE(C870,F870,G870,N870,Q870),"")</f>
        <v/>
      </c>
      <c r="X870" s="3">
        <f>IF(COUNT(B870,E870,H870,I870,P870,R870,S870)&gt;0,AVERAGE(B870,E870,H870,I870,P870,R870,S870),"")</f>
        <v/>
      </c>
      <c r="Y870" s="3" t="n"/>
      <c r="AJ870">
        <f>IFERROR(AVERAGEIF($A$4:$A$1004,AI870,$V$4:$V$1004),"")</f>
        <v/>
      </c>
      <c r="AK870">
        <f>IFERROR(AVERAGEIF($A$4:$A$1004,AI870,$W$4:$W$1004),"")</f>
        <v/>
      </c>
      <c r="AL870">
        <f>IFERROR(AVERAGEIF($A$4:$A$1004,AI870,$X$4:$X$1004),"")</f>
        <v/>
      </c>
    </row>
    <row r="871">
      <c r="A871" s="1">
        <f>IF(Data!A871&gt;0,Data!A871,"")</f>
        <v/>
      </c>
      <c r="B871" s="1">
        <f>IF(Data!B871&gt;0,Data!B871,"")</f>
        <v/>
      </c>
      <c r="C871" s="1">
        <f>IF(Data!C871&gt;0,Data!C871,"")</f>
        <v/>
      </c>
      <c r="D871" s="1">
        <f>IF(Data!D871&gt;0,Data!D871,"")</f>
        <v/>
      </c>
      <c r="E871" s="1">
        <f>IF(Data!E871&gt;0,Data!E871,"")</f>
        <v/>
      </c>
      <c r="F871" s="1">
        <f>IF(Data!F871&gt;0,Data!F871,"")</f>
        <v/>
      </c>
      <c r="G871" s="1">
        <f>IF(Data!G871&gt;0,Data!G871,"")</f>
        <v/>
      </c>
      <c r="H871" s="1">
        <f>IF(Data!H871&gt;0,Data!H871,"")</f>
        <v/>
      </c>
      <c r="I871" s="1">
        <f>IF(Data!I871&gt;0,Data!I871,"")</f>
        <v/>
      </c>
      <c r="J871" s="1">
        <f>IF(Data!J871&gt;0,Data!J871,"")</f>
        <v/>
      </c>
      <c r="K871" s="1">
        <f>IF(Data!K871&gt;0,Data!K871,"")</f>
        <v/>
      </c>
      <c r="L871" s="1">
        <f>IF(Data!L871&gt;0,Data!L871,"")</f>
        <v/>
      </c>
      <c r="M871" s="1">
        <f>IF(Data!M871&gt;0,Data!M871,"")</f>
        <v/>
      </c>
      <c r="N871" s="1">
        <f>IF(Data!N871&gt;0,Data!N871,"")</f>
        <v/>
      </c>
      <c r="O871" s="1">
        <f>IF(Data!O871&gt;0,Data!O871,"")</f>
        <v/>
      </c>
      <c r="P871" s="1">
        <f>IF(Data!P871&gt;0,Data!P871,"")</f>
        <v/>
      </c>
      <c r="Q871" s="1">
        <f>IF(Data!Q871&gt;0,Data!Q871,"")</f>
        <v/>
      </c>
      <c r="R871" s="1">
        <f>IF(Data!R871&gt;0,Data!R871,"")</f>
        <v/>
      </c>
      <c r="S871" s="1">
        <f>IF(Data!S871&gt;0,Data!S871,"")</f>
        <v/>
      </c>
      <c r="V871" s="3">
        <f>IF(COUNT(D871,J871,K871,L871,M871,O871)&gt;0,AVERAGE(D871,J871,K871,L871,M871,O871),"")</f>
        <v/>
      </c>
      <c r="W871" s="3">
        <f>IF(COUNT(C871,F871,G871,N871,Q871)&gt;0,AVERAGE(C871,F871,G871,N871,Q871),"")</f>
        <v/>
      </c>
      <c r="X871" s="3">
        <f>IF(COUNT(B871,E871,H871,I871,P871,R871,S871)&gt;0,AVERAGE(B871,E871,H871,I871,P871,R871,S871),"")</f>
        <v/>
      </c>
      <c r="Y871" s="3" t="n"/>
      <c r="AJ871">
        <f>IFERROR(AVERAGEIF($A$4:$A$1004,AI871,$V$4:$V$1004),"")</f>
        <v/>
      </c>
      <c r="AK871">
        <f>IFERROR(AVERAGEIF($A$4:$A$1004,AI871,$W$4:$W$1004),"")</f>
        <v/>
      </c>
      <c r="AL871">
        <f>IFERROR(AVERAGEIF($A$4:$A$1004,AI871,$X$4:$X$1004),"")</f>
        <v/>
      </c>
    </row>
    <row r="872">
      <c r="A872" s="1">
        <f>IF(Data!A872&gt;0,Data!A872,"")</f>
        <v/>
      </c>
      <c r="B872" s="1">
        <f>IF(Data!B872&gt;0,Data!B872,"")</f>
        <v/>
      </c>
      <c r="C872" s="1">
        <f>IF(Data!C872&gt;0,Data!C872,"")</f>
        <v/>
      </c>
      <c r="D872" s="1">
        <f>IF(Data!D872&gt;0,Data!D872,"")</f>
        <v/>
      </c>
      <c r="E872" s="1">
        <f>IF(Data!E872&gt;0,Data!E872,"")</f>
        <v/>
      </c>
      <c r="F872" s="1">
        <f>IF(Data!F872&gt;0,Data!F872,"")</f>
        <v/>
      </c>
      <c r="G872" s="1">
        <f>IF(Data!G872&gt;0,Data!G872,"")</f>
        <v/>
      </c>
      <c r="H872" s="1">
        <f>IF(Data!H872&gt;0,Data!H872,"")</f>
        <v/>
      </c>
      <c r="I872" s="1">
        <f>IF(Data!I872&gt;0,Data!I872,"")</f>
        <v/>
      </c>
      <c r="J872" s="1">
        <f>IF(Data!J872&gt;0,Data!J872,"")</f>
        <v/>
      </c>
      <c r="K872" s="1">
        <f>IF(Data!K872&gt;0,Data!K872,"")</f>
        <v/>
      </c>
      <c r="L872" s="1">
        <f>IF(Data!L872&gt;0,Data!L872,"")</f>
        <v/>
      </c>
      <c r="M872" s="1">
        <f>IF(Data!M872&gt;0,Data!M872,"")</f>
        <v/>
      </c>
      <c r="N872" s="1">
        <f>IF(Data!N872&gt;0,Data!N872,"")</f>
        <v/>
      </c>
      <c r="O872" s="1">
        <f>IF(Data!O872&gt;0,Data!O872,"")</f>
        <v/>
      </c>
      <c r="P872" s="1">
        <f>IF(Data!P872&gt;0,Data!P872,"")</f>
        <v/>
      </c>
      <c r="Q872" s="1">
        <f>IF(Data!Q872&gt;0,Data!Q872,"")</f>
        <v/>
      </c>
      <c r="R872" s="1">
        <f>IF(Data!R872&gt;0,Data!R872,"")</f>
        <v/>
      </c>
      <c r="S872" s="1">
        <f>IF(Data!S872&gt;0,Data!S872,"")</f>
        <v/>
      </c>
      <c r="V872" s="3">
        <f>IF(COUNT(D872,J872,K872,L872,M872,O872)&gt;0,AVERAGE(D872,J872,K872,L872,M872,O872),"")</f>
        <v/>
      </c>
      <c r="W872" s="3">
        <f>IF(COUNT(C872,F872,G872,N872,Q872)&gt;0,AVERAGE(C872,F872,G872,N872,Q872),"")</f>
        <v/>
      </c>
      <c r="X872" s="3">
        <f>IF(COUNT(B872,E872,H872,I872,P872,R872,S872)&gt;0,AVERAGE(B872,E872,H872,I872,P872,R872,S872),"")</f>
        <v/>
      </c>
      <c r="Y872" s="3" t="n"/>
      <c r="AJ872">
        <f>IFERROR(AVERAGEIF($A$4:$A$1004,AI872,$V$4:$V$1004),"")</f>
        <v/>
      </c>
      <c r="AK872">
        <f>IFERROR(AVERAGEIF($A$4:$A$1004,AI872,$W$4:$W$1004),"")</f>
        <v/>
      </c>
      <c r="AL872">
        <f>IFERROR(AVERAGEIF($A$4:$A$1004,AI872,$X$4:$X$1004),"")</f>
        <v/>
      </c>
    </row>
    <row r="873">
      <c r="A873" s="1">
        <f>IF(Data!A873&gt;0,Data!A873,"")</f>
        <v/>
      </c>
      <c r="B873" s="1">
        <f>IF(Data!B873&gt;0,Data!B873,"")</f>
        <v/>
      </c>
      <c r="C873" s="1">
        <f>IF(Data!C873&gt;0,Data!C873,"")</f>
        <v/>
      </c>
      <c r="D873" s="1">
        <f>IF(Data!D873&gt;0,Data!D873,"")</f>
        <v/>
      </c>
      <c r="E873" s="1">
        <f>IF(Data!E873&gt;0,Data!E873,"")</f>
        <v/>
      </c>
      <c r="F873" s="1">
        <f>IF(Data!F873&gt;0,Data!F873,"")</f>
        <v/>
      </c>
      <c r="G873" s="1">
        <f>IF(Data!G873&gt;0,Data!G873,"")</f>
        <v/>
      </c>
      <c r="H873" s="1">
        <f>IF(Data!H873&gt;0,Data!H873,"")</f>
        <v/>
      </c>
      <c r="I873" s="1">
        <f>IF(Data!I873&gt;0,Data!I873,"")</f>
        <v/>
      </c>
      <c r="J873" s="1">
        <f>IF(Data!J873&gt;0,Data!J873,"")</f>
        <v/>
      </c>
      <c r="K873" s="1">
        <f>IF(Data!K873&gt;0,Data!K873,"")</f>
        <v/>
      </c>
      <c r="L873" s="1">
        <f>IF(Data!L873&gt;0,Data!L873,"")</f>
        <v/>
      </c>
      <c r="M873" s="1">
        <f>IF(Data!M873&gt;0,Data!M873,"")</f>
        <v/>
      </c>
      <c r="N873" s="1">
        <f>IF(Data!N873&gt;0,Data!N873,"")</f>
        <v/>
      </c>
      <c r="O873" s="1">
        <f>IF(Data!O873&gt;0,Data!O873,"")</f>
        <v/>
      </c>
      <c r="P873" s="1">
        <f>IF(Data!P873&gt;0,Data!P873,"")</f>
        <v/>
      </c>
      <c r="Q873" s="1">
        <f>IF(Data!Q873&gt;0,Data!Q873,"")</f>
        <v/>
      </c>
      <c r="R873" s="1">
        <f>IF(Data!R873&gt;0,Data!R873,"")</f>
        <v/>
      </c>
      <c r="S873" s="1">
        <f>IF(Data!S873&gt;0,Data!S873,"")</f>
        <v/>
      </c>
      <c r="V873" s="3">
        <f>IF(COUNT(D873,J873,K873,L873,M873,O873)&gt;0,AVERAGE(D873,J873,K873,L873,M873,O873),"")</f>
        <v/>
      </c>
      <c r="W873" s="3">
        <f>IF(COUNT(C873,F873,G873,N873,Q873)&gt;0,AVERAGE(C873,F873,G873,N873,Q873),"")</f>
        <v/>
      </c>
      <c r="X873" s="3">
        <f>IF(COUNT(B873,E873,H873,I873,P873,R873,S873)&gt;0,AVERAGE(B873,E873,H873,I873,P873,R873,S873),"")</f>
        <v/>
      </c>
      <c r="Y873" s="3" t="n"/>
      <c r="AJ873">
        <f>IFERROR(AVERAGEIF($A$4:$A$1004,AI873,$V$4:$V$1004),"")</f>
        <v/>
      </c>
      <c r="AK873">
        <f>IFERROR(AVERAGEIF($A$4:$A$1004,AI873,$W$4:$W$1004),"")</f>
        <v/>
      </c>
      <c r="AL873">
        <f>IFERROR(AVERAGEIF($A$4:$A$1004,AI873,$X$4:$X$1004),"")</f>
        <v/>
      </c>
    </row>
    <row r="874">
      <c r="A874" s="1">
        <f>IF(Data!A874&gt;0,Data!A874,"")</f>
        <v/>
      </c>
      <c r="B874" s="1">
        <f>IF(Data!B874&gt;0,Data!B874,"")</f>
        <v/>
      </c>
      <c r="C874" s="1">
        <f>IF(Data!C874&gt;0,Data!C874,"")</f>
        <v/>
      </c>
      <c r="D874" s="1">
        <f>IF(Data!D874&gt;0,Data!D874,"")</f>
        <v/>
      </c>
      <c r="E874" s="1">
        <f>IF(Data!E874&gt;0,Data!E874,"")</f>
        <v/>
      </c>
      <c r="F874" s="1">
        <f>IF(Data!F874&gt;0,Data!F874,"")</f>
        <v/>
      </c>
      <c r="G874" s="1">
        <f>IF(Data!G874&gt;0,Data!G874,"")</f>
        <v/>
      </c>
      <c r="H874" s="1">
        <f>IF(Data!H874&gt;0,Data!H874,"")</f>
        <v/>
      </c>
      <c r="I874" s="1">
        <f>IF(Data!I874&gt;0,Data!I874,"")</f>
        <v/>
      </c>
      <c r="J874" s="1">
        <f>IF(Data!J874&gt;0,Data!J874,"")</f>
        <v/>
      </c>
      <c r="K874" s="1">
        <f>IF(Data!K874&gt;0,Data!K874,"")</f>
        <v/>
      </c>
      <c r="L874" s="1">
        <f>IF(Data!L874&gt;0,Data!L874,"")</f>
        <v/>
      </c>
      <c r="M874" s="1">
        <f>IF(Data!M874&gt;0,Data!M874,"")</f>
        <v/>
      </c>
      <c r="N874" s="1">
        <f>IF(Data!N874&gt;0,Data!N874,"")</f>
        <v/>
      </c>
      <c r="O874" s="1">
        <f>IF(Data!O874&gt;0,Data!O874,"")</f>
        <v/>
      </c>
      <c r="P874" s="1">
        <f>IF(Data!P874&gt;0,Data!P874,"")</f>
        <v/>
      </c>
      <c r="Q874" s="1">
        <f>IF(Data!Q874&gt;0,Data!Q874,"")</f>
        <v/>
      </c>
      <c r="R874" s="1">
        <f>IF(Data!R874&gt;0,Data!R874,"")</f>
        <v/>
      </c>
      <c r="S874" s="1">
        <f>IF(Data!S874&gt;0,Data!S874,"")</f>
        <v/>
      </c>
      <c r="V874" s="3">
        <f>IF(COUNT(D874,J874,K874,L874,M874,O874)&gt;0,AVERAGE(D874,J874,K874,L874,M874,O874),"")</f>
        <v/>
      </c>
      <c r="W874" s="3">
        <f>IF(COUNT(C874,F874,G874,N874,Q874)&gt;0,AVERAGE(C874,F874,G874,N874,Q874),"")</f>
        <v/>
      </c>
      <c r="X874" s="3">
        <f>IF(COUNT(B874,E874,H874,I874,P874,R874,S874)&gt;0,AVERAGE(B874,E874,H874,I874,P874,R874,S874),"")</f>
        <v/>
      </c>
      <c r="Y874" s="3" t="n"/>
      <c r="AJ874">
        <f>IFERROR(AVERAGEIF($A$4:$A$1004,AI874,$V$4:$V$1004),"")</f>
        <v/>
      </c>
      <c r="AK874">
        <f>IFERROR(AVERAGEIF($A$4:$A$1004,AI874,$W$4:$W$1004),"")</f>
        <v/>
      </c>
      <c r="AL874">
        <f>IFERROR(AVERAGEIF($A$4:$A$1004,AI874,$X$4:$X$1004),"")</f>
        <v/>
      </c>
    </row>
    <row r="875">
      <c r="A875" s="1">
        <f>IF(Data!A875&gt;0,Data!A875,"")</f>
        <v/>
      </c>
      <c r="B875" s="1">
        <f>IF(Data!B875&gt;0,Data!B875,"")</f>
        <v/>
      </c>
      <c r="C875" s="1">
        <f>IF(Data!C875&gt;0,Data!C875,"")</f>
        <v/>
      </c>
      <c r="D875" s="1">
        <f>IF(Data!D875&gt;0,Data!D875,"")</f>
        <v/>
      </c>
      <c r="E875" s="1">
        <f>IF(Data!E875&gt;0,Data!E875,"")</f>
        <v/>
      </c>
      <c r="F875" s="1">
        <f>IF(Data!F875&gt;0,Data!F875,"")</f>
        <v/>
      </c>
      <c r="G875" s="1">
        <f>IF(Data!G875&gt;0,Data!G875,"")</f>
        <v/>
      </c>
      <c r="H875" s="1">
        <f>IF(Data!H875&gt;0,Data!H875,"")</f>
        <v/>
      </c>
      <c r="I875" s="1">
        <f>IF(Data!I875&gt;0,Data!I875,"")</f>
        <v/>
      </c>
      <c r="J875" s="1">
        <f>IF(Data!J875&gt;0,Data!J875,"")</f>
        <v/>
      </c>
      <c r="K875" s="1">
        <f>IF(Data!K875&gt;0,Data!K875,"")</f>
        <v/>
      </c>
      <c r="L875" s="1">
        <f>IF(Data!L875&gt;0,Data!L875,"")</f>
        <v/>
      </c>
      <c r="M875" s="1">
        <f>IF(Data!M875&gt;0,Data!M875,"")</f>
        <v/>
      </c>
      <c r="N875" s="1">
        <f>IF(Data!N875&gt;0,Data!N875,"")</f>
        <v/>
      </c>
      <c r="O875" s="1">
        <f>IF(Data!O875&gt;0,Data!O875,"")</f>
        <v/>
      </c>
      <c r="P875" s="1">
        <f>IF(Data!P875&gt;0,Data!P875,"")</f>
        <v/>
      </c>
      <c r="Q875" s="1">
        <f>IF(Data!Q875&gt;0,Data!Q875,"")</f>
        <v/>
      </c>
      <c r="R875" s="1">
        <f>IF(Data!R875&gt;0,Data!R875,"")</f>
        <v/>
      </c>
      <c r="S875" s="1">
        <f>IF(Data!S875&gt;0,Data!S875,"")</f>
        <v/>
      </c>
      <c r="V875" s="3">
        <f>IF(COUNT(D875,J875,K875,L875,M875,O875)&gt;0,AVERAGE(D875,J875,K875,L875,M875,O875),"")</f>
        <v/>
      </c>
      <c r="W875" s="3">
        <f>IF(COUNT(C875,F875,G875,N875,Q875)&gt;0,AVERAGE(C875,F875,G875,N875,Q875),"")</f>
        <v/>
      </c>
      <c r="X875" s="3">
        <f>IF(COUNT(B875,E875,H875,I875,P875,R875,S875)&gt;0,AVERAGE(B875,E875,H875,I875,P875,R875,S875),"")</f>
        <v/>
      </c>
      <c r="Y875" s="3" t="n"/>
      <c r="AJ875">
        <f>IFERROR(AVERAGEIF($A$4:$A$1004,AI875,$V$4:$V$1004),"")</f>
        <v/>
      </c>
      <c r="AK875">
        <f>IFERROR(AVERAGEIF($A$4:$A$1004,AI875,$W$4:$W$1004),"")</f>
        <v/>
      </c>
      <c r="AL875">
        <f>IFERROR(AVERAGEIF($A$4:$A$1004,AI875,$X$4:$X$1004),"")</f>
        <v/>
      </c>
    </row>
    <row r="876">
      <c r="A876" s="1">
        <f>IF(Data!A876&gt;0,Data!A876,"")</f>
        <v/>
      </c>
      <c r="B876" s="1">
        <f>IF(Data!B876&gt;0,Data!B876,"")</f>
        <v/>
      </c>
      <c r="C876" s="1">
        <f>IF(Data!C876&gt;0,Data!C876,"")</f>
        <v/>
      </c>
      <c r="D876" s="1">
        <f>IF(Data!D876&gt;0,Data!D876,"")</f>
        <v/>
      </c>
      <c r="E876" s="1">
        <f>IF(Data!E876&gt;0,Data!E876,"")</f>
        <v/>
      </c>
      <c r="F876" s="1">
        <f>IF(Data!F876&gt;0,Data!F876,"")</f>
        <v/>
      </c>
      <c r="G876" s="1">
        <f>IF(Data!G876&gt;0,Data!G876,"")</f>
        <v/>
      </c>
      <c r="H876" s="1">
        <f>IF(Data!H876&gt;0,Data!H876,"")</f>
        <v/>
      </c>
      <c r="I876" s="1">
        <f>IF(Data!I876&gt;0,Data!I876,"")</f>
        <v/>
      </c>
      <c r="J876" s="1">
        <f>IF(Data!J876&gt;0,Data!J876,"")</f>
        <v/>
      </c>
      <c r="K876" s="1">
        <f>IF(Data!K876&gt;0,Data!K876,"")</f>
        <v/>
      </c>
      <c r="L876" s="1">
        <f>IF(Data!L876&gt;0,Data!L876,"")</f>
        <v/>
      </c>
      <c r="M876" s="1">
        <f>IF(Data!M876&gt;0,Data!M876,"")</f>
        <v/>
      </c>
      <c r="N876" s="1">
        <f>IF(Data!N876&gt;0,Data!N876,"")</f>
        <v/>
      </c>
      <c r="O876" s="1">
        <f>IF(Data!O876&gt;0,Data!O876,"")</f>
        <v/>
      </c>
      <c r="P876" s="1">
        <f>IF(Data!P876&gt;0,Data!P876,"")</f>
        <v/>
      </c>
      <c r="Q876" s="1">
        <f>IF(Data!Q876&gt;0,Data!Q876,"")</f>
        <v/>
      </c>
      <c r="R876" s="1">
        <f>IF(Data!R876&gt;0,Data!R876,"")</f>
        <v/>
      </c>
      <c r="S876" s="1">
        <f>IF(Data!S876&gt;0,Data!S876,"")</f>
        <v/>
      </c>
      <c r="V876" s="3">
        <f>IF(COUNT(D876,J876,K876,L876,M876,O876)&gt;0,AVERAGE(D876,J876,K876,L876,M876,O876),"")</f>
        <v/>
      </c>
      <c r="W876" s="3">
        <f>IF(COUNT(C876,F876,G876,N876,Q876)&gt;0,AVERAGE(C876,F876,G876,N876,Q876),"")</f>
        <v/>
      </c>
      <c r="X876" s="3">
        <f>IF(COUNT(B876,E876,H876,I876,P876,R876,S876)&gt;0,AVERAGE(B876,E876,H876,I876,P876,R876,S876),"")</f>
        <v/>
      </c>
      <c r="Y876" s="3" t="n"/>
      <c r="AJ876">
        <f>IFERROR(AVERAGEIF($A$4:$A$1004,AI876,$V$4:$V$1004),"")</f>
        <v/>
      </c>
      <c r="AK876">
        <f>IFERROR(AVERAGEIF($A$4:$A$1004,AI876,$W$4:$W$1004),"")</f>
        <v/>
      </c>
      <c r="AL876">
        <f>IFERROR(AVERAGEIF($A$4:$A$1004,AI876,$X$4:$X$1004),"")</f>
        <v/>
      </c>
    </row>
    <row r="877">
      <c r="A877" s="1">
        <f>IF(Data!A877&gt;0,Data!A877,"")</f>
        <v/>
      </c>
      <c r="B877" s="1">
        <f>IF(Data!B877&gt;0,Data!B877,"")</f>
        <v/>
      </c>
      <c r="C877" s="1">
        <f>IF(Data!C877&gt;0,Data!C877,"")</f>
        <v/>
      </c>
      <c r="D877" s="1">
        <f>IF(Data!D877&gt;0,Data!D877,"")</f>
        <v/>
      </c>
      <c r="E877" s="1">
        <f>IF(Data!E877&gt;0,Data!E877,"")</f>
        <v/>
      </c>
      <c r="F877" s="1">
        <f>IF(Data!F877&gt;0,Data!F877,"")</f>
        <v/>
      </c>
      <c r="G877" s="1">
        <f>IF(Data!G877&gt;0,Data!G877,"")</f>
        <v/>
      </c>
      <c r="H877" s="1">
        <f>IF(Data!H877&gt;0,Data!H877,"")</f>
        <v/>
      </c>
      <c r="I877" s="1">
        <f>IF(Data!I877&gt;0,Data!I877,"")</f>
        <v/>
      </c>
      <c r="J877" s="1">
        <f>IF(Data!J877&gt;0,Data!J877,"")</f>
        <v/>
      </c>
      <c r="K877" s="1">
        <f>IF(Data!K877&gt;0,Data!K877,"")</f>
        <v/>
      </c>
      <c r="L877" s="1">
        <f>IF(Data!L877&gt;0,Data!L877,"")</f>
        <v/>
      </c>
      <c r="M877" s="1">
        <f>IF(Data!M877&gt;0,Data!M877,"")</f>
        <v/>
      </c>
      <c r="N877" s="1">
        <f>IF(Data!N877&gt;0,Data!N877,"")</f>
        <v/>
      </c>
      <c r="O877" s="1">
        <f>IF(Data!O877&gt;0,Data!O877,"")</f>
        <v/>
      </c>
      <c r="P877" s="1">
        <f>IF(Data!P877&gt;0,Data!P877,"")</f>
        <v/>
      </c>
      <c r="Q877" s="1">
        <f>IF(Data!Q877&gt;0,Data!Q877,"")</f>
        <v/>
      </c>
      <c r="R877" s="1">
        <f>IF(Data!R877&gt;0,Data!R877,"")</f>
        <v/>
      </c>
      <c r="S877" s="1">
        <f>IF(Data!S877&gt;0,Data!S877,"")</f>
        <v/>
      </c>
      <c r="V877" s="3">
        <f>IF(COUNT(D877,J877,K877,L877,M877,O877)&gt;0,AVERAGE(D877,J877,K877,L877,M877,O877),"")</f>
        <v/>
      </c>
      <c r="W877" s="3">
        <f>IF(COUNT(C877,F877,G877,N877,Q877)&gt;0,AVERAGE(C877,F877,G877,N877,Q877),"")</f>
        <v/>
      </c>
      <c r="X877" s="3">
        <f>IF(COUNT(B877,E877,H877,I877,P877,R877,S877)&gt;0,AVERAGE(B877,E877,H877,I877,P877,R877,S877),"")</f>
        <v/>
      </c>
      <c r="Y877" s="3" t="n"/>
      <c r="AJ877">
        <f>IFERROR(AVERAGEIF($A$4:$A$1004,AI877,$V$4:$V$1004),"")</f>
        <v/>
      </c>
      <c r="AK877">
        <f>IFERROR(AVERAGEIF($A$4:$A$1004,AI877,$W$4:$W$1004),"")</f>
        <v/>
      </c>
      <c r="AL877">
        <f>IFERROR(AVERAGEIF($A$4:$A$1004,AI877,$X$4:$X$1004),"")</f>
        <v/>
      </c>
    </row>
    <row r="878">
      <c r="A878" s="1">
        <f>IF(Data!A878&gt;0,Data!A878,"")</f>
        <v/>
      </c>
      <c r="B878" s="1">
        <f>IF(Data!B878&gt;0,Data!B878,"")</f>
        <v/>
      </c>
      <c r="C878" s="1">
        <f>IF(Data!C878&gt;0,Data!C878,"")</f>
        <v/>
      </c>
      <c r="D878" s="1">
        <f>IF(Data!D878&gt;0,Data!D878,"")</f>
        <v/>
      </c>
      <c r="E878" s="1">
        <f>IF(Data!E878&gt;0,Data!E878,"")</f>
        <v/>
      </c>
      <c r="F878" s="1">
        <f>IF(Data!F878&gt;0,Data!F878,"")</f>
        <v/>
      </c>
      <c r="G878" s="1">
        <f>IF(Data!G878&gt;0,Data!G878,"")</f>
        <v/>
      </c>
      <c r="H878" s="1">
        <f>IF(Data!H878&gt;0,Data!H878,"")</f>
        <v/>
      </c>
      <c r="I878" s="1">
        <f>IF(Data!I878&gt;0,Data!I878,"")</f>
        <v/>
      </c>
      <c r="J878" s="1">
        <f>IF(Data!J878&gt;0,Data!J878,"")</f>
        <v/>
      </c>
      <c r="K878" s="1">
        <f>IF(Data!K878&gt;0,Data!K878,"")</f>
        <v/>
      </c>
      <c r="L878" s="1">
        <f>IF(Data!L878&gt;0,Data!L878,"")</f>
        <v/>
      </c>
      <c r="M878" s="1">
        <f>IF(Data!M878&gt;0,Data!M878,"")</f>
        <v/>
      </c>
      <c r="N878" s="1">
        <f>IF(Data!N878&gt;0,Data!N878,"")</f>
        <v/>
      </c>
      <c r="O878" s="1">
        <f>IF(Data!O878&gt;0,Data!O878,"")</f>
        <v/>
      </c>
      <c r="P878" s="1">
        <f>IF(Data!P878&gt;0,Data!P878,"")</f>
        <v/>
      </c>
      <c r="Q878" s="1">
        <f>IF(Data!Q878&gt;0,Data!Q878,"")</f>
        <v/>
      </c>
      <c r="R878" s="1">
        <f>IF(Data!R878&gt;0,Data!R878,"")</f>
        <v/>
      </c>
      <c r="S878" s="1">
        <f>IF(Data!S878&gt;0,Data!S878,"")</f>
        <v/>
      </c>
      <c r="V878" s="3">
        <f>IF(COUNT(D878,J878,K878,L878,M878,O878)&gt;0,AVERAGE(D878,J878,K878,L878,M878,O878),"")</f>
        <v/>
      </c>
      <c r="W878" s="3">
        <f>IF(COUNT(C878,F878,G878,N878,Q878)&gt;0,AVERAGE(C878,F878,G878,N878,Q878),"")</f>
        <v/>
      </c>
      <c r="X878" s="3">
        <f>IF(COUNT(B878,E878,H878,I878,P878,R878,S878)&gt;0,AVERAGE(B878,E878,H878,I878,P878,R878,S878),"")</f>
        <v/>
      </c>
      <c r="Y878" s="3" t="n"/>
      <c r="AJ878">
        <f>IFERROR(AVERAGEIF($A$4:$A$1004,AI878,$V$4:$V$1004),"")</f>
        <v/>
      </c>
      <c r="AK878">
        <f>IFERROR(AVERAGEIF($A$4:$A$1004,AI878,$W$4:$W$1004),"")</f>
        <v/>
      </c>
      <c r="AL878">
        <f>IFERROR(AVERAGEIF($A$4:$A$1004,AI878,$X$4:$X$1004),"")</f>
        <v/>
      </c>
    </row>
    <row r="879">
      <c r="A879" s="1">
        <f>IF(Data!A879&gt;0,Data!A879,"")</f>
        <v/>
      </c>
      <c r="B879" s="1">
        <f>IF(Data!B879&gt;0,Data!B879,"")</f>
        <v/>
      </c>
      <c r="C879" s="1">
        <f>IF(Data!C879&gt;0,Data!C879,"")</f>
        <v/>
      </c>
      <c r="D879" s="1">
        <f>IF(Data!D879&gt;0,Data!D879,"")</f>
        <v/>
      </c>
      <c r="E879" s="1">
        <f>IF(Data!E879&gt;0,Data!E879,"")</f>
        <v/>
      </c>
      <c r="F879" s="1">
        <f>IF(Data!F879&gt;0,Data!F879,"")</f>
        <v/>
      </c>
      <c r="G879" s="1">
        <f>IF(Data!G879&gt;0,Data!G879,"")</f>
        <v/>
      </c>
      <c r="H879" s="1">
        <f>IF(Data!H879&gt;0,Data!H879,"")</f>
        <v/>
      </c>
      <c r="I879" s="1">
        <f>IF(Data!I879&gt;0,Data!I879,"")</f>
        <v/>
      </c>
      <c r="J879" s="1">
        <f>IF(Data!J879&gt;0,Data!J879,"")</f>
        <v/>
      </c>
      <c r="K879" s="1">
        <f>IF(Data!K879&gt;0,Data!K879,"")</f>
        <v/>
      </c>
      <c r="L879" s="1">
        <f>IF(Data!L879&gt;0,Data!L879,"")</f>
        <v/>
      </c>
      <c r="M879" s="1">
        <f>IF(Data!M879&gt;0,Data!M879,"")</f>
        <v/>
      </c>
      <c r="N879" s="1">
        <f>IF(Data!N879&gt;0,Data!N879,"")</f>
        <v/>
      </c>
      <c r="O879" s="1">
        <f>IF(Data!O879&gt;0,Data!O879,"")</f>
        <v/>
      </c>
      <c r="P879" s="1">
        <f>IF(Data!P879&gt;0,Data!P879,"")</f>
        <v/>
      </c>
      <c r="Q879" s="1">
        <f>IF(Data!Q879&gt;0,Data!Q879,"")</f>
        <v/>
      </c>
      <c r="R879" s="1">
        <f>IF(Data!R879&gt;0,Data!R879,"")</f>
        <v/>
      </c>
      <c r="S879" s="1">
        <f>IF(Data!S879&gt;0,Data!S879,"")</f>
        <v/>
      </c>
      <c r="V879" s="3">
        <f>IF(COUNT(D879,J879,K879,L879,M879,O879)&gt;0,AVERAGE(D879,J879,K879,L879,M879,O879),"")</f>
        <v/>
      </c>
      <c r="W879" s="3">
        <f>IF(COUNT(C879,F879,G879,N879,Q879)&gt;0,AVERAGE(C879,F879,G879,N879,Q879),"")</f>
        <v/>
      </c>
      <c r="X879" s="3">
        <f>IF(COUNT(B879,E879,H879,I879,P879,R879,S879)&gt;0,AVERAGE(B879,E879,H879,I879,P879,R879,S879),"")</f>
        <v/>
      </c>
      <c r="Y879" s="3" t="n"/>
      <c r="AJ879">
        <f>IFERROR(AVERAGEIF($A$4:$A$1004,AI879,$V$4:$V$1004),"")</f>
        <v/>
      </c>
      <c r="AK879">
        <f>IFERROR(AVERAGEIF($A$4:$A$1004,AI879,$W$4:$W$1004),"")</f>
        <v/>
      </c>
      <c r="AL879">
        <f>IFERROR(AVERAGEIF($A$4:$A$1004,AI879,$X$4:$X$1004),"")</f>
        <v/>
      </c>
    </row>
    <row r="880">
      <c r="A880" s="1">
        <f>IF(Data!A880&gt;0,Data!A880,"")</f>
        <v/>
      </c>
      <c r="B880" s="1">
        <f>IF(Data!B880&gt;0,Data!B880,"")</f>
        <v/>
      </c>
      <c r="C880" s="1">
        <f>IF(Data!C880&gt;0,Data!C880,"")</f>
        <v/>
      </c>
      <c r="D880" s="1">
        <f>IF(Data!D880&gt;0,Data!D880,"")</f>
        <v/>
      </c>
      <c r="E880" s="1">
        <f>IF(Data!E880&gt;0,Data!E880,"")</f>
        <v/>
      </c>
      <c r="F880" s="1">
        <f>IF(Data!F880&gt;0,Data!F880,"")</f>
        <v/>
      </c>
      <c r="G880" s="1">
        <f>IF(Data!G880&gt;0,Data!G880,"")</f>
        <v/>
      </c>
      <c r="H880" s="1">
        <f>IF(Data!H880&gt;0,Data!H880,"")</f>
        <v/>
      </c>
      <c r="I880" s="1">
        <f>IF(Data!I880&gt;0,Data!I880,"")</f>
        <v/>
      </c>
      <c r="J880" s="1">
        <f>IF(Data!J880&gt;0,Data!J880,"")</f>
        <v/>
      </c>
      <c r="K880" s="1">
        <f>IF(Data!K880&gt;0,Data!K880,"")</f>
        <v/>
      </c>
      <c r="L880" s="1">
        <f>IF(Data!L880&gt;0,Data!L880,"")</f>
        <v/>
      </c>
      <c r="M880" s="1">
        <f>IF(Data!M880&gt;0,Data!M880,"")</f>
        <v/>
      </c>
      <c r="N880" s="1">
        <f>IF(Data!N880&gt;0,Data!N880,"")</f>
        <v/>
      </c>
      <c r="O880" s="1">
        <f>IF(Data!O880&gt;0,Data!O880,"")</f>
        <v/>
      </c>
      <c r="P880" s="1">
        <f>IF(Data!P880&gt;0,Data!P880,"")</f>
        <v/>
      </c>
      <c r="Q880" s="1">
        <f>IF(Data!Q880&gt;0,Data!Q880,"")</f>
        <v/>
      </c>
      <c r="R880" s="1">
        <f>IF(Data!R880&gt;0,Data!R880,"")</f>
        <v/>
      </c>
      <c r="S880" s="1">
        <f>IF(Data!S880&gt;0,Data!S880,"")</f>
        <v/>
      </c>
      <c r="V880" s="3">
        <f>IF(COUNT(D880,J880,K880,L880,M880,O880)&gt;0,AVERAGE(D880,J880,K880,L880,M880,O880),"")</f>
        <v/>
      </c>
      <c r="W880" s="3">
        <f>IF(COUNT(C880,F880,G880,N880,Q880)&gt;0,AVERAGE(C880,F880,G880,N880,Q880),"")</f>
        <v/>
      </c>
      <c r="X880" s="3">
        <f>IF(COUNT(B880,E880,H880,I880,P880,R880,S880)&gt;0,AVERAGE(B880,E880,H880,I880,P880,R880,S880),"")</f>
        <v/>
      </c>
      <c r="Y880" s="3" t="n"/>
      <c r="AJ880">
        <f>IFERROR(AVERAGEIF($A$4:$A$1004,AI880,$V$4:$V$1004),"")</f>
        <v/>
      </c>
      <c r="AK880">
        <f>IFERROR(AVERAGEIF($A$4:$A$1004,AI880,$W$4:$W$1004),"")</f>
        <v/>
      </c>
      <c r="AL880">
        <f>IFERROR(AVERAGEIF($A$4:$A$1004,AI880,$X$4:$X$1004),"")</f>
        <v/>
      </c>
    </row>
    <row r="881">
      <c r="A881" s="1">
        <f>IF(Data!A881&gt;0,Data!A881,"")</f>
        <v/>
      </c>
      <c r="B881" s="1">
        <f>IF(Data!B881&gt;0,Data!B881,"")</f>
        <v/>
      </c>
      <c r="C881" s="1">
        <f>IF(Data!C881&gt;0,Data!C881,"")</f>
        <v/>
      </c>
      <c r="D881" s="1">
        <f>IF(Data!D881&gt;0,Data!D881,"")</f>
        <v/>
      </c>
      <c r="E881" s="1">
        <f>IF(Data!E881&gt;0,Data!E881,"")</f>
        <v/>
      </c>
      <c r="F881" s="1">
        <f>IF(Data!F881&gt;0,Data!F881,"")</f>
        <v/>
      </c>
      <c r="G881" s="1">
        <f>IF(Data!G881&gt;0,Data!G881,"")</f>
        <v/>
      </c>
      <c r="H881" s="1">
        <f>IF(Data!H881&gt;0,Data!H881,"")</f>
        <v/>
      </c>
      <c r="I881" s="1">
        <f>IF(Data!I881&gt;0,Data!I881,"")</f>
        <v/>
      </c>
      <c r="J881" s="1">
        <f>IF(Data!J881&gt;0,Data!J881,"")</f>
        <v/>
      </c>
      <c r="K881" s="1">
        <f>IF(Data!K881&gt;0,Data!K881,"")</f>
        <v/>
      </c>
      <c r="L881" s="1">
        <f>IF(Data!L881&gt;0,Data!L881,"")</f>
        <v/>
      </c>
      <c r="M881" s="1">
        <f>IF(Data!M881&gt;0,Data!M881,"")</f>
        <v/>
      </c>
      <c r="N881" s="1">
        <f>IF(Data!N881&gt;0,Data!N881,"")</f>
        <v/>
      </c>
      <c r="O881" s="1">
        <f>IF(Data!O881&gt;0,Data!O881,"")</f>
        <v/>
      </c>
      <c r="P881" s="1">
        <f>IF(Data!P881&gt;0,Data!P881,"")</f>
        <v/>
      </c>
      <c r="Q881" s="1">
        <f>IF(Data!Q881&gt;0,Data!Q881,"")</f>
        <v/>
      </c>
      <c r="R881" s="1">
        <f>IF(Data!R881&gt;0,Data!R881,"")</f>
        <v/>
      </c>
      <c r="S881" s="1">
        <f>IF(Data!S881&gt;0,Data!S881,"")</f>
        <v/>
      </c>
      <c r="V881" s="3">
        <f>IF(COUNT(D881,J881,K881,L881,M881,O881)&gt;0,AVERAGE(D881,J881,K881,L881,M881,O881),"")</f>
        <v/>
      </c>
      <c r="W881" s="3">
        <f>IF(COUNT(C881,F881,G881,N881,Q881)&gt;0,AVERAGE(C881,F881,G881,N881,Q881),"")</f>
        <v/>
      </c>
      <c r="X881" s="3">
        <f>IF(COUNT(B881,E881,H881,I881,P881,R881,S881)&gt;0,AVERAGE(B881,E881,H881,I881,P881,R881,S881),"")</f>
        <v/>
      </c>
      <c r="Y881" s="3" t="n"/>
      <c r="AJ881">
        <f>IFERROR(AVERAGEIF($A$4:$A$1004,AI881,$V$4:$V$1004),"")</f>
        <v/>
      </c>
      <c r="AK881">
        <f>IFERROR(AVERAGEIF($A$4:$A$1004,AI881,$W$4:$W$1004),"")</f>
        <v/>
      </c>
      <c r="AL881">
        <f>IFERROR(AVERAGEIF($A$4:$A$1004,AI881,$X$4:$X$1004),"")</f>
        <v/>
      </c>
    </row>
    <row r="882">
      <c r="A882" s="1">
        <f>IF(Data!A882&gt;0,Data!A882,"")</f>
        <v/>
      </c>
      <c r="B882" s="1">
        <f>IF(Data!B882&gt;0,Data!B882,"")</f>
        <v/>
      </c>
      <c r="C882" s="1">
        <f>IF(Data!C882&gt;0,Data!C882,"")</f>
        <v/>
      </c>
      <c r="D882" s="1">
        <f>IF(Data!D882&gt;0,Data!D882,"")</f>
        <v/>
      </c>
      <c r="E882" s="1">
        <f>IF(Data!E882&gt;0,Data!E882,"")</f>
        <v/>
      </c>
      <c r="F882" s="1">
        <f>IF(Data!F882&gt;0,Data!F882,"")</f>
        <v/>
      </c>
      <c r="G882" s="1">
        <f>IF(Data!G882&gt;0,Data!G882,"")</f>
        <v/>
      </c>
      <c r="H882" s="1">
        <f>IF(Data!H882&gt;0,Data!H882,"")</f>
        <v/>
      </c>
      <c r="I882" s="1">
        <f>IF(Data!I882&gt;0,Data!I882,"")</f>
        <v/>
      </c>
      <c r="J882" s="1">
        <f>IF(Data!J882&gt;0,Data!J882,"")</f>
        <v/>
      </c>
      <c r="K882" s="1">
        <f>IF(Data!K882&gt;0,Data!K882,"")</f>
        <v/>
      </c>
      <c r="L882" s="1">
        <f>IF(Data!L882&gt;0,Data!L882,"")</f>
        <v/>
      </c>
      <c r="M882" s="1">
        <f>IF(Data!M882&gt;0,Data!M882,"")</f>
        <v/>
      </c>
      <c r="N882" s="1">
        <f>IF(Data!N882&gt;0,Data!N882,"")</f>
        <v/>
      </c>
      <c r="O882" s="1">
        <f>IF(Data!O882&gt;0,Data!O882,"")</f>
        <v/>
      </c>
      <c r="P882" s="1">
        <f>IF(Data!P882&gt;0,Data!P882,"")</f>
        <v/>
      </c>
      <c r="Q882" s="1">
        <f>IF(Data!Q882&gt;0,Data!Q882,"")</f>
        <v/>
      </c>
      <c r="R882" s="1">
        <f>IF(Data!R882&gt;0,Data!R882,"")</f>
        <v/>
      </c>
      <c r="S882" s="1">
        <f>IF(Data!S882&gt;0,Data!S882,"")</f>
        <v/>
      </c>
      <c r="V882" s="3">
        <f>IF(COUNT(D882,J882,K882,L882,M882,O882)&gt;0,AVERAGE(D882,J882,K882,L882,M882,O882),"")</f>
        <v/>
      </c>
      <c r="W882" s="3">
        <f>IF(COUNT(C882,F882,G882,N882,Q882)&gt;0,AVERAGE(C882,F882,G882,N882,Q882),"")</f>
        <v/>
      </c>
      <c r="X882" s="3">
        <f>IF(COUNT(B882,E882,H882,I882,P882,R882,S882)&gt;0,AVERAGE(B882,E882,H882,I882,P882,R882,S882),"")</f>
        <v/>
      </c>
      <c r="Y882" s="3" t="n"/>
      <c r="AJ882">
        <f>IFERROR(AVERAGEIF($A$4:$A$1004,AI882,$V$4:$V$1004),"")</f>
        <v/>
      </c>
      <c r="AK882">
        <f>IFERROR(AVERAGEIF($A$4:$A$1004,AI882,$W$4:$W$1004),"")</f>
        <v/>
      </c>
      <c r="AL882">
        <f>IFERROR(AVERAGEIF($A$4:$A$1004,AI882,$X$4:$X$1004),"")</f>
        <v/>
      </c>
    </row>
    <row r="883">
      <c r="A883" s="1">
        <f>IF(Data!A883&gt;0,Data!A883,"")</f>
        <v/>
      </c>
      <c r="B883" s="1">
        <f>IF(Data!B883&gt;0,Data!B883,"")</f>
        <v/>
      </c>
      <c r="C883" s="1">
        <f>IF(Data!C883&gt;0,Data!C883,"")</f>
        <v/>
      </c>
      <c r="D883" s="1">
        <f>IF(Data!D883&gt;0,Data!D883,"")</f>
        <v/>
      </c>
      <c r="E883" s="1">
        <f>IF(Data!E883&gt;0,Data!E883,"")</f>
        <v/>
      </c>
      <c r="F883" s="1">
        <f>IF(Data!F883&gt;0,Data!F883,"")</f>
        <v/>
      </c>
      <c r="G883" s="1">
        <f>IF(Data!G883&gt;0,Data!G883,"")</f>
        <v/>
      </c>
      <c r="H883" s="1">
        <f>IF(Data!H883&gt;0,Data!H883,"")</f>
        <v/>
      </c>
      <c r="I883" s="1">
        <f>IF(Data!I883&gt;0,Data!I883,"")</f>
        <v/>
      </c>
      <c r="J883" s="1">
        <f>IF(Data!J883&gt;0,Data!J883,"")</f>
        <v/>
      </c>
      <c r="K883" s="1">
        <f>IF(Data!K883&gt;0,Data!K883,"")</f>
        <v/>
      </c>
      <c r="L883" s="1">
        <f>IF(Data!L883&gt;0,Data!L883,"")</f>
        <v/>
      </c>
      <c r="M883" s="1">
        <f>IF(Data!M883&gt;0,Data!M883,"")</f>
        <v/>
      </c>
      <c r="N883" s="1">
        <f>IF(Data!N883&gt;0,Data!N883,"")</f>
        <v/>
      </c>
      <c r="O883" s="1">
        <f>IF(Data!O883&gt;0,Data!O883,"")</f>
        <v/>
      </c>
      <c r="P883" s="1">
        <f>IF(Data!P883&gt;0,Data!P883,"")</f>
        <v/>
      </c>
      <c r="Q883" s="1">
        <f>IF(Data!Q883&gt;0,Data!Q883,"")</f>
        <v/>
      </c>
      <c r="R883" s="1">
        <f>IF(Data!R883&gt;0,Data!R883,"")</f>
        <v/>
      </c>
      <c r="S883" s="1">
        <f>IF(Data!S883&gt;0,Data!S883,"")</f>
        <v/>
      </c>
      <c r="V883" s="3">
        <f>IF(COUNT(D883,J883,K883,L883,M883,O883)&gt;0,AVERAGE(D883,J883,K883,L883,M883,O883),"")</f>
        <v/>
      </c>
      <c r="W883" s="3">
        <f>IF(COUNT(C883,F883,G883,N883,Q883)&gt;0,AVERAGE(C883,F883,G883,N883,Q883),"")</f>
        <v/>
      </c>
      <c r="X883" s="3">
        <f>IF(COUNT(B883,E883,H883,I883,P883,R883,S883)&gt;0,AVERAGE(B883,E883,H883,I883,P883,R883,S883),"")</f>
        <v/>
      </c>
      <c r="Y883" s="3" t="n"/>
      <c r="AJ883">
        <f>IFERROR(AVERAGEIF($A$4:$A$1004,AI883,$V$4:$V$1004),"")</f>
        <v/>
      </c>
      <c r="AK883">
        <f>IFERROR(AVERAGEIF($A$4:$A$1004,AI883,$W$4:$W$1004),"")</f>
        <v/>
      </c>
      <c r="AL883">
        <f>IFERROR(AVERAGEIF($A$4:$A$1004,AI883,$X$4:$X$1004),"")</f>
        <v/>
      </c>
    </row>
    <row r="884">
      <c r="A884" s="1">
        <f>IF(Data!A884&gt;0,Data!A884,"")</f>
        <v/>
      </c>
      <c r="B884" s="1">
        <f>IF(Data!B884&gt;0,Data!B884,"")</f>
        <v/>
      </c>
      <c r="C884" s="1">
        <f>IF(Data!C884&gt;0,Data!C884,"")</f>
        <v/>
      </c>
      <c r="D884" s="1">
        <f>IF(Data!D884&gt;0,Data!D884,"")</f>
        <v/>
      </c>
      <c r="E884" s="1">
        <f>IF(Data!E884&gt;0,Data!E884,"")</f>
        <v/>
      </c>
      <c r="F884" s="1">
        <f>IF(Data!F884&gt;0,Data!F884,"")</f>
        <v/>
      </c>
      <c r="G884" s="1">
        <f>IF(Data!G884&gt;0,Data!G884,"")</f>
        <v/>
      </c>
      <c r="H884" s="1">
        <f>IF(Data!H884&gt;0,Data!H884,"")</f>
        <v/>
      </c>
      <c r="I884" s="1">
        <f>IF(Data!I884&gt;0,Data!I884,"")</f>
        <v/>
      </c>
      <c r="J884" s="1">
        <f>IF(Data!J884&gt;0,Data!J884,"")</f>
        <v/>
      </c>
      <c r="K884" s="1">
        <f>IF(Data!K884&gt;0,Data!K884,"")</f>
        <v/>
      </c>
      <c r="L884" s="1">
        <f>IF(Data!L884&gt;0,Data!L884,"")</f>
        <v/>
      </c>
      <c r="M884" s="1">
        <f>IF(Data!M884&gt;0,Data!M884,"")</f>
        <v/>
      </c>
      <c r="N884" s="1">
        <f>IF(Data!N884&gt;0,Data!N884,"")</f>
        <v/>
      </c>
      <c r="O884" s="1">
        <f>IF(Data!O884&gt;0,Data!O884,"")</f>
        <v/>
      </c>
      <c r="P884" s="1">
        <f>IF(Data!P884&gt;0,Data!P884,"")</f>
        <v/>
      </c>
      <c r="Q884" s="1">
        <f>IF(Data!Q884&gt;0,Data!Q884,"")</f>
        <v/>
      </c>
      <c r="R884" s="1">
        <f>IF(Data!R884&gt;0,Data!R884,"")</f>
        <v/>
      </c>
      <c r="S884" s="1">
        <f>IF(Data!S884&gt;0,Data!S884,"")</f>
        <v/>
      </c>
      <c r="V884" s="3">
        <f>IF(COUNT(D884,J884,K884,L884,M884,O884)&gt;0,AVERAGE(D884,J884,K884,L884,M884,O884),"")</f>
        <v/>
      </c>
      <c r="W884" s="3">
        <f>IF(COUNT(C884,F884,G884,N884,Q884)&gt;0,AVERAGE(C884,F884,G884,N884,Q884),"")</f>
        <v/>
      </c>
      <c r="X884" s="3">
        <f>IF(COUNT(B884,E884,H884,I884,P884,R884,S884)&gt;0,AVERAGE(B884,E884,H884,I884,P884,R884,S884),"")</f>
        <v/>
      </c>
      <c r="Y884" s="3" t="n"/>
      <c r="AJ884">
        <f>IFERROR(AVERAGEIF($A$4:$A$1004,AI884,$V$4:$V$1004),"")</f>
        <v/>
      </c>
      <c r="AK884">
        <f>IFERROR(AVERAGEIF($A$4:$A$1004,AI884,$W$4:$W$1004),"")</f>
        <v/>
      </c>
      <c r="AL884">
        <f>IFERROR(AVERAGEIF($A$4:$A$1004,AI884,$X$4:$X$1004),"")</f>
        <v/>
      </c>
    </row>
    <row r="885">
      <c r="A885" s="1">
        <f>IF(Data!A885&gt;0,Data!A885,"")</f>
        <v/>
      </c>
      <c r="B885" s="1">
        <f>IF(Data!B885&gt;0,Data!B885,"")</f>
        <v/>
      </c>
      <c r="C885" s="1">
        <f>IF(Data!C885&gt;0,Data!C885,"")</f>
        <v/>
      </c>
      <c r="D885" s="1">
        <f>IF(Data!D885&gt;0,Data!D885,"")</f>
        <v/>
      </c>
      <c r="E885" s="1">
        <f>IF(Data!E885&gt;0,Data!E885,"")</f>
        <v/>
      </c>
      <c r="F885" s="1">
        <f>IF(Data!F885&gt;0,Data!F885,"")</f>
        <v/>
      </c>
      <c r="G885" s="1">
        <f>IF(Data!G885&gt;0,Data!G885,"")</f>
        <v/>
      </c>
      <c r="H885" s="1">
        <f>IF(Data!H885&gt;0,Data!H885,"")</f>
        <v/>
      </c>
      <c r="I885" s="1">
        <f>IF(Data!I885&gt;0,Data!I885,"")</f>
        <v/>
      </c>
      <c r="J885" s="1">
        <f>IF(Data!J885&gt;0,Data!J885,"")</f>
        <v/>
      </c>
      <c r="K885" s="1">
        <f>IF(Data!K885&gt;0,Data!K885,"")</f>
        <v/>
      </c>
      <c r="L885" s="1">
        <f>IF(Data!L885&gt;0,Data!L885,"")</f>
        <v/>
      </c>
      <c r="M885" s="1">
        <f>IF(Data!M885&gt;0,Data!M885,"")</f>
        <v/>
      </c>
      <c r="N885" s="1">
        <f>IF(Data!N885&gt;0,Data!N885,"")</f>
        <v/>
      </c>
      <c r="O885" s="1">
        <f>IF(Data!O885&gt;0,Data!O885,"")</f>
        <v/>
      </c>
      <c r="P885" s="1">
        <f>IF(Data!P885&gt;0,Data!P885,"")</f>
        <v/>
      </c>
      <c r="Q885" s="1">
        <f>IF(Data!Q885&gt;0,Data!Q885,"")</f>
        <v/>
      </c>
      <c r="R885" s="1">
        <f>IF(Data!R885&gt;0,Data!R885,"")</f>
        <v/>
      </c>
      <c r="S885" s="1">
        <f>IF(Data!S885&gt;0,Data!S885,"")</f>
        <v/>
      </c>
      <c r="V885" s="3">
        <f>IF(COUNT(D885,J885,K885,L885,M885,O885)&gt;0,AVERAGE(D885,J885,K885,L885,M885,O885),"")</f>
        <v/>
      </c>
      <c r="W885" s="3">
        <f>IF(COUNT(C885,F885,G885,N885,Q885)&gt;0,AVERAGE(C885,F885,G885,N885,Q885),"")</f>
        <v/>
      </c>
      <c r="X885" s="3">
        <f>IF(COUNT(B885,E885,H885,I885,P885,R885,S885)&gt;0,AVERAGE(B885,E885,H885,I885,P885,R885,S885),"")</f>
        <v/>
      </c>
      <c r="Y885" s="3" t="n"/>
      <c r="AJ885">
        <f>IFERROR(AVERAGEIF($A$4:$A$1004,AI885,$V$4:$V$1004),"")</f>
        <v/>
      </c>
      <c r="AK885">
        <f>IFERROR(AVERAGEIF($A$4:$A$1004,AI885,$W$4:$W$1004),"")</f>
        <v/>
      </c>
      <c r="AL885">
        <f>IFERROR(AVERAGEIF($A$4:$A$1004,AI885,$X$4:$X$1004),"")</f>
        <v/>
      </c>
    </row>
    <row r="886">
      <c r="A886" s="1">
        <f>IF(Data!A886&gt;0,Data!A886,"")</f>
        <v/>
      </c>
      <c r="B886" s="1">
        <f>IF(Data!B886&gt;0,Data!B886,"")</f>
        <v/>
      </c>
      <c r="C886" s="1">
        <f>IF(Data!C886&gt;0,Data!C886,"")</f>
        <v/>
      </c>
      <c r="D886" s="1">
        <f>IF(Data!D886&gt;0,Data!D886,"")</f>
        <v/>
      </c>
      <c r="E886" s="1">
        <f>IF(Data!E886&gt;0,Data!E886,"")</f>
        <v/>
      </c>
      <c r="F886" s="1">
        <f>IF(Data!F886&gt;0,Data!F886,"")</f>
        <v/>
      </c>
      <c r="G886" s="1">
        <f>IF(Data!G886&gt;0,Data!G886,"")</f>
        <v/>
      </c>
      <c r="H886" s="1">
        <f>IF(Data!H886&gt;0,Data!H886,"")</f>
        <v/>
      </c>
      <c r="I886" s="1">
        <f>IF(Data!I886&gt;0,Data!I886,"")</f>
        <v/>
      </c>
      <c r="J886" s="1">
        <f>IF(Data!J886&gt;0,Data!J886,"")</f>
        <v/>
      </c>
      <c r="K886" s="1">
        <f>IF(Data!K886&gt;0,Data!K886,"")</f>
        <v/>
      </c>
      <c r="L886" s="1">
        <f>IF(Data!L886&gt;0,Data!L886,"")</f>
        <v/>
      </c>
      <c r="M886" s="1">
        <f>IF(Data!M886&gt;0,Data!M886,"")</f>
        <v/>
      </c>
      <c r="N886" s="1">
        <f>IF(Data!N886&gt;0,Data!N886,"")</f>
        <v/>
      </c>
      <c r="O886" s="1">
        <f>IF(Data!O886&gt;0,Data!O886,"")</f>
        <v/>
      </c>
      <c r="P886" s="1">
        <f>IF(Data!P886&gt;0,Data!P886,"")</f>
        <v/>
      </c>
      <c r="Q886" s="1">
        <f>IF(Data!Q886&gt;0,Data!Q886,"")</f>
        <v/>
      </c>
      <c r="R886" s="1">
        <f>IF(Data!R886&gt;0,Data!R886,"")</f>
        <v/>
      </c>
      <c r="S886" s="1">
        <f>IF(Data!S886&gt;0,Data!S886,"")</f>
        <v/>
      </c>
      <c r="V886" s="3">
        <f>IF(COUNT(D886,J886,K886,L886,M886,O886)&gt;0,AVERAGE(D886,J886,K886,L886,M886,O886),"")</f>
        <v/>
      </c>
      <c r="W886" s="3">
        <f>IF(COUNT(C886,F886,G886,N886,Q886)&gt;0,AVERAGE(C886,F886,G886,N886,Q886),"")</f>
        <v/>
      </c>
      <c r="X886" s="3">
        <f>IF(COUNT(B886,E886,H886,I886,P886,R886,S886)&gt;0,AVERAGE(B886,E886,H886,I886,P886,R886,S886),"")</f>
        <v/>
      </c>
      <c r="Y886" s="3" t="n"/>
      <c r="AJ886">
        <f>IFERROR(AVERAGEIF($A$4:$A$1004,AI886,$V$4:$V$1004),"")</f>
        <v/>
      </c>
      <c r="AK886">
        <f>IFERROR(AVERAGEIF($A$4:$A$1004,AI886,$W$4:$W$1004),"")</f>
        <v/>
      </c>
      <c r="AL886">
        <f>IFERROR(AVERAGEIF($A$4:$A$1004,AI886,$X$4:$X$1004),"")</f>
        <v/>
      </c>
    </row>
    <row r="887">
      <c r="A887" s="1">
        <f>IF(Data!A887&gt;0,Data!A887,"")</f>
        <v/>
      </c>
      <c r="B887" s="1">
        <f>IF(Data!B887&gt;0,Data!B887,"")</f>
        <v/>
      </c>
      <c r="C887" s="1">
        <f>IF(Data!C887&gt;0,Data!C887,"")</f>
        <v/>
      </c>
      <c r="D887" s="1">
        <f>IF(Data!D887&gt;0,Data!D887,"")</f>
        <v/>
      </c>
      <c r="E887" s="1">
        <f>IF(Data!E887&gt;0,Data!E887,"")</f>
        <v/>
      </c>
      <c r="F887" s="1">
        <f>IF(Data!F887&gt;0,Data!F887,"")</f>
        <v/>
      </c>
      <c r="G887" s="1">
        <f>IF(Data!G887&gt;0,Data!G887,"")</f>
        <v/>
      </c>
      <c r="H887" s="1">
        <f>IF(Data!H887&gt;0,Data!H887,"")</f>
        <v/>
      </c>
      <c r="I887" s="1">
        <f>IF(Data!I887&gt;0,Data!I887,"")</f>
        <v/>
      </c>
      <c r="J887" s="1">
        <f>IF(Data!J887&gt;0,Data!J887,"")</f>
        <v/>
      </c>
      <c r="K887" s="1">
        <f>IF(Data!K887&gt;0,Data!K887,"")</f>
        <v/>
      </c>
      <c r="L887" s="1">
        <f>IF(Data!L887&gt;0,Data!L887,"")</f>
        <v/>
      </c>
      <c r="M887" s="1">
        <f>IF(Data!M887&gt;0,Data!M887,"")</f>
        <v/>
      </c>
      <c r="N887" s="1">
        <f>IF(Data!N887&gt;0,Data!N887,"")</f>
        <v/>
      </c>
      <c r="O887" s="1">
        <f>IF(Data!O887&gt;0,Data!O887,"")</f>
        <v/>
      </c>
      <c r="P887" s="1">
        <f>IF(Data!P887&gt;0,Data!P887,"")</f>
        <v/>
      </c>
      <c r="Q887" s="1">
        <f>IF(Data!Q887&gt;0,Data!Q887,"")</f>
        <v/>
      </c>
      <c r="R887" s="1">
        <f>IF(Data!R887&gt;0,Data!R887,"")</f>
        <v/>
      </c>
      <c r="S887" s="1">
        <f>IF(Data!S887&gt;0,Data!S887,"")</f>
        <v/>
      </c>
      <c r="V887" s="3">
        <f>IF(COUNT(D887,J887,K887,L887,M887,O887)&gt;0,AVERAGE(D887,J887,K887,L887,M887,O887),"")</f>
        <v/>
      </c>
      <c r="W887" s="3">
        <f>IF(COUNT(C887,F887,G887,N887,Q887)&gt;0,AVERAGE(C887,F887,G887,N887,Q887),"")</f>
        <v/>
      </c>
      <c r="X887" s="3">
        <f>IF(COUNT(B887,E887,H887,I887,P887,R887,S887)&gt;0,AVERAGE(B887,E887,H887,I887,P887,R887,S887),"")</f>
        <v/>
      </c>
      <c r="Y887" s="3" t="n"/>
      <c r="AJ887">
        <f>IFERROR(AVERAGEIF($A$4:$A$1004,AI887,$V$4:$V$1004),"")</f>
        <v/>
      </c>
      <c r="AK887">
        <f>IFERROR(AVERAGEIF($A$4:$A$1004,AI887,$W$4:$W$1004),"")</f>
        <v/>
      </c>
      <c r="AL887">
        <f>IFERROR(AVERAGEIF($A$4:$A$1004,AI887,$X$4:$X$1004),"")</f>
        <v/>
      </c>
    </row>
    <row r="888">
      <c r="A888" s="1">
        <f>IF(Data!A888&gt;0,Data!A888,"")</f>
        <v/>
      </c>
      <c r="B888" s="1">
        <f>IF(Data!B888&gt;0,Data!B888,"")</f>
        <v/>
      </c>
      <c r="C888" s="1">
        <f>IF(Data!C888&gt;0,Data!C888,"")</f>
        <v/>
      </c>
      <c r="D888" s="1">
        <f>IF(Data!D888&gt;0,Data!D888,"")</f>
        <v/>
      </c>
      <c r="E888" s="1">
        <f>IF(Data!E888&gt;0,Data!E888,"")</f>
        <v/>
      </c>
      <c r="F888" s="1">
        <f>IF(Data!F888&gt;0,Data!F888,"")</f>
        <v/>
      </c>
      <c r="G888" s="1">
        <f>IF(Data!G888&gt;0,Data!G888,"")</f>
        <v/>
      </c>
      <c r="H888" s="1">
        <f>IF(Data!H888&gt;0,Data!H888,"")</f>
        <v/>
      </c>
      <c r="I888" s="1">
        <f>IF(Data!I888&gt;0,Data!I888,"")</f>
        <v/>
      </c>
      <c r="J888" s="1">
        <f>IF(Data!J888&gt;0,Data!J888,"")</f>
        <v/>
      </c>
      <c r="K888" s="1">
        <f>IF(Data!K888&gt;0,Data!K888,"")</f>
        <v/>
      </c>
      <c r="L888" s="1">
        <f>IF(Data!L888&gt;0,Data!L888,"")</f>
        <v/>
      </c>
      <c r="M888" s="1">
        <f>IF(Data!M888&gt;0,Data!M888,"")</f>
        <v/>
      </c>
      <c r="N888" s="1">
        <f>IF(Data!N888&gt;0,Data!N888,"")</f>
        <v/>
      </c>
      <c r="O888" s="1">
        <f>IF(Data!O888&gt;0,Data!O888,"")</f>
        <v/>
      </c>
      <c r="P888" s="1">
        <f>IF(Data!P888&gt;0,Data!P888,"")</f>
        <v/>
      </c>
      <c r="Q888" s="1">
        <f>IF(Data!Q888&gt;0,Data!Q888,"")</f>
        <v/>
      </c>
      <c r="R888" s="1">
        <f>IF(Data!R888&gt;0,Data!R888,"")</f>
        <v/>
      </c>
      <c r="S888" s="1">
        <f>IF(Data!S888&gt;0,Data!S888,"")</f>
        <v/>
      </c>
      <c r="V888" s="3">
        <f>IF(COUNT(D888,J888,K888,L888,M888,O888)&gt;0,AVERAGE(D888,J888,K888,L888,M888,O888),"")</f>
        <v/>
      </c>
      <c r="W888" s="3">
        <f>IF(COUNT(C888,F888,G888,N888,Q888)&gt;0,AVERAGE(C888,F888,G888,N888,Q888),"")</f>
        <v/>
      </c>
      <c r="X888" s="3">
        <f>IF(COUNT(B888,E888,H888,I888,P888,R888,S888)&gt;0,AVERAGE(B888,E888,H888,I888,P888,R888,S888),"")</f>
        <v/>
      </c>
      <c r="Y888" s="3" t="n"/>
      <c r="AJ888">
        <f>IFERROR(AVERAGEIF($A$4:$A$1004,AI888,$V$4:$V$1004),"")</f>
        <v/>
      </c>
      <c r="AK888">
        <f>IFERROR(AVERAGEIF($A$4:$A$1004,AI888,$W$4:$W$1004),"")</f>
        <v/>
      </c>
      <c r="AL888">
        <f>IFERROR(AVERAGEIF($A$4:$A$1004,AI888,$X$4:$X$1004),"")</f>
        <v/>
      </c>
    </row>
    <row r="889">
      <c r="A889" s="1">
        <f>IF(Data!A889&gt;0,Data!A889,"")</f>
        <v/>
      </c>
      <c r="B889" s="1">
        <f>IF(Data!B889&gt;0,Data!B889,"")</f>
        <v/>
      </c>
      <c r="C889" s="1">
        <f>IF(Data!C889&gt;0,Data!C889,"")</f>
        <v/>
      </c>
      <c r="D889" s="1">
        <f>IF(Data!D889&gt;0,Data!D889,"")</f>
        <v/>
      </c>
      <c r="E889" s="1">
        <f>IF(Data!E889&gt;0,Data!E889,"")</f>
        <v/>
      </c>
      <c r="F889" s="1">
        <f>IF(Data!F889&gt;0,Data!F889,"")</f>
        <v/>
      </c>
      <c r="G889" s="1">
        <f>IF(Data!G889&gt;0,Data!G889,"")</f>
        <v/>
      </c>
      <c r="H889" s="1">
        <f>IF(Data!H889&gt;0,Data!H889,"")</f>
        <v/>
      </c>
      <c r="I889" s="1">
        <f>IF(Data!I889&gt;0,Data!I889,"")</f>
        <v/>
      </c>
      <c r="J889" s="1">
        <f>IF(Data!J889&gt;0,Data!J889,"")</f>
        <v/>
      </c>
      <c r="K889" s="1">
        <f>IF(Data!K889&gt;0,Data!K889,"")</f>
        <v/>
      </c>
      <c r="L889" s="1">
        <f>IF(Data!L889&gt;0,Data!L889,"")</f>
        <v/>
      </c>
      <c r="M889" s="1">
        <f>IF(Data!M889&gt;0,Data!M889,"")</f>
        <v/>
      </c>
      <c r="N889" s="1">
        <f>IF(Data!N889&gt;0,Data!N889,"")</f>
        <v/>
      </c>
      <c r="O889" s="1">
        <f>IF(Data!O889&gt;0,Data!O889,"")</f>
        <v/>
      </c>
      <c r="P889" s="1">
        <f>IF(Data!P889&gt;0,Data!P889,"")</f>
        <v/>
      </c>
      <c r="Q889" s="1">
        <f>IF(Data!Q889&gt;0,Data!Q889,"")</f>
        <v/>
      </c>
      <c r="R889" s="1">
        <f>IF(Data!R889&gt;0,Data!R889,"")</f>
        <v/>
      </c>
      <c r="S889" s="1">
        <f>IF(Data!S889&gt;0,Data!S889,"")</f>
        <v/>
      </c>
      <c r="V889" s="3">
        <f>IF(COUNT(D889,J889,K889,L889,M889,O889)&gt;0,AVERAGE(D889,J889,K889,L889,M889,O889),"")</f>
        <v/>
      </c>
      <c r="W889" s="3">
        <f>IF(COUNT(C889,F889,G889,N889,Q889)&gt;0,AVERAGE(C889,F889,G889,N889,Q889),"")</f>
        <v/>
      </c>
      <c r="X889" s="3">
        <f>IF(COUNT(B889,E889,H889,I889,P889,R889,S889)&gt;0,AVERAGE(B889,E889,H889,I889,P889,R889,S889),"")</f>
        <v/>
      </c>
      <c r="Y889" s="3" t="n"/>
      <c r="AJ889">
        <f>IFERROR(AVERAGEIF($A$4:$A$1004,AI889,$V$4:$V$1004),"")</f>
        <v/>
      </c>
      <c r="AK889">
        <f>IFERROR(AVERAGEIF($A$4:$A$1004,AI889,$W$4:$W$1004),"")</f>
        <v/>
      </c>
      <c r="AL889">
        <f>IFERROR(AVERAGEIF($A$4:$A$1004,AI889,$X$4:$X$1004),"")</f>
        <v/>
      </c>
    </row>
    <row r="890">
      <c r="A890" s="1">
        <f>IF(Data!A890&gt;0,Data!A890,"")</f>
        <v/>
      </c>
      <c r="B890" s="1">
        <f>IF(Data!B890&gt;0,Data!B890,"")</f>
        <v/>
      </c>
      <c r="C890" s="1">
        <f>IF(Data!C890&gt;0,Data!C890,"")</f>
        <v/>
      </c>
      <c r="D890" s="1">
        <f>IF(Data!D890&gt;0,Data!D890,"")</f>
        <v/>
      </c>
      <c r="E890" s="1">
        <f>IF(Data!E890&gt;0,Data!E890,"")</f>
        <v/>
      </c>
      <c r="F890" s="1">
        <f>IF(Data!F890&gt;0,Data!F890,"")</f>
        <v/>
      </c>
      <c r="G890" s="1">
        <f>IF(Data!G890&gt;0,Data!G890,"")</f>
        <v/>
      </c>
      <c r="H890" s="1">
        <f>IF(Data!H890&gt;0,Data!H890,"")</f>
        <v/>
      </c>
      <c r="I890" s="1">
        <f>IF(Data!I890&gt;0,Data!I890,"")</f>
        <v/>
      </c>
      <c r="J890" s="1">
        <f>IF(Data!J890&gt;0,Data!J890,"")</f>
        <v/>
      </c>
      <c r="K890" s="1">
        <f>IF(Data!K890&gt;0,Data!K890,"")</f>
        <v/>
      </c>
      <c r="L890" s="1">
        <f>IF(Data!L890&gt;0,Data!L890,"")</f>
        <v/>
      </c>
      <c r="M890" s="1">
        <f>IF(Data!M890&gt;0,Data!M890,"")</f>
        <v/>
      </c>
      <c r="N890" s="1">
        <f>IF(Data!N890&gt;0,Data!N890,"")</f>
        <v/>
      </c>
      <c r="O890" s="1">
        <f>IF(Data!O890&gt;0,Data!O890,"")</f>
        <v/>
      </c>
      <c r="P890" s="1">
        <f>IF(Data!P890&gt;0,Data!P890,"")</f>
        <v/>
      </c>
      <c r="Q890" s="1">
        <f>IF(Data!Q890&gt;0,Data!Q890,"")</f>
        <v/>
      </c>
      <c r="R890" s="1">
        <f>IF(Data!R890&gt;0,Data!R890,"")</f>
        <v/>
      </c>
      <c r="S890" s="1">
        <f>IF(Data!S890&gt;0,Data!S890,"")</f>
        <v/>
      </c>
      <c r="V890" s="3">
        <f>IF(COUNT(D890,J890,K890,L890,M890,O890)&gt;0,AVERAGE(D890,J890,K890,L890,M890,O890),"")</f>
        <v/>
      </c>
      <c r="W890" s="3">
        <f>IF(COUNT(C890,F890,G890,N890,Q890)&gt;0,AVERAGE(C890,F890,G890,N890,Q890),"")</f>
        <v/>
      </c>
      <c r="X890" s="3">
        <f>IF(COUNT(B890,E890,H890,I890,P890,R890,S890)&gt;0,AVERAGE(B890,E890,H890,I890,P890,R890,S890),"")</f>
        <v/>
      </c>
      <c r="Y890" s="3" t="n"/>
      <c r="AJ890">
        <f>IFERROR(AVERAGEIF($A$4:$A$1004,AI890,$V$4:$V$1004),"")</f>
        <v/>
      </c>
      <c r="AK890">
        <f>IFERROR(AVERAGEIF($A$4:$A$1004,AI890,$W$4:$W$1004),"")</f>
        <v/>
      </c>
      <c r="AL890">
        <f>IFERROR(AVERAGEIF($A$4:$A$1004,AI890,$X$4:$X$1004),"")</f>
        <v/>
      </c>
    </row>
    <row r="891">
      <c r="A891" s="1">
        <f>IF(Data!A891&gt;0,Data!A891,"")</f>
        <v/>
      </c>
      <c r="B891" s="1">
        <f>IF(Data!B891&gt;0,Data!B891,"")</f>
        <v/>
      </c>
      <c r="C891" s="1">
        <f>IF(Data!C891&gt;0,Data!C891,"")</f>
        <v/>
      </c>
      <c r="D891" s="1">
        <f>IF(Data!D891&gt;0,Data!D891,"")</f>
        <v/>
      </c>
      <c r="E891" s="1">
        <f>IF(Data!E891&gt;0,Data!E891,"")</f>
        <v/>
      </c>
      <c r="F891" s="1">
        <f>IF(Data!F891&gt;0,Data!F891,"")</f>
        <v/>
      </c>
      <c r="G891" s="1">
        <f>IF(Data!G891&gt;0,Data!G891,"")</f>
        <v/>
      </c>
      <c r="H891" s="1">
        <f>IF(Data!H891&gt;0,Data!H891,"")</f>
        <v/>
      </c>
      <c r="I891" s="1">
        <f>IF(Data!I891&gt;0,Data!I891,"")</f>
        <v/>
      </c>
      <c r="J891" s="1">
        <f>IF(Data!J891&gt;0,Data!J891,"")</f>
        <v/>
      </c>
      <c r="K891" s="1">
        <f>IF(Data!K891&gt;0,Data!K891,"")</f>
        <v/>
      </c>
      <c r="L891" s="1">
        <f>IF(Data!L891&gt;0,Data!L891,"")</f>
        <v/>
      </c>
      <c r="M891" s="1">
        <f>IF(Data!M891&gt;0,Data!M891,"")</f>
        <v/>
      </c>
      <c r="N891" s="1">
        <f>IF(Data!N891&gt;0,Data!N891,"")</f>
        <v/>
      </c>
      <c r="O891" s="1">
        <f>IF(Data!O891&gt;0,Data!O891,"")</f>
        <v/>
      </c>
      <c r="P891" s="1">
        <f>IF(Data!P891&gt;0,Data!P891,"")</f>
        <v/>
      </c>
      <c r="Q891" s="1">
        <f>IF(Data!Q891&gt;0,Data!Q891,"")</f>
        <v/>
      </c>
      <c r="R891" s="1">
        <f>IF(Data!R891&gt;0,Data!R891,"")</f>
        <v/>
      </c>
      <c r="S891" s="1">
        <f>IF(Data!S891&gt;0,Data!S891,"")</f>
        <v/>
      </c>
      <c r="V891" s="3">
        <f>IF(COUNT(D891,J891,K891,L891,M891,O891)&gt;0,AVERAGE(D891,J891,K891,L891,M891,O891),"")</f>
        <v/>
      </c>
      <c r="W891" s="3">
        <f>IF(COUNT(C891,F891,G891,N891,Q891)&gt;0,AVERAGE(C891,F891,G891,N891,Q891),"")</f>
        <v/>
      </c>
      <c r="X891" s="3">
        <f>IF(COUNT(B891,E891,H891,I891,P891,R891,S891)&gt;0,AVERAGE(B891,E891,H891,I891,P891,R891,S891),"")</f>
        <v/>
      </c>
      <c r="Y891" s="3" t="n"/>
      <c r="AJ891">
        <f>IFERROR(AVERAGEIF($A$4:$A$1004,AI891,$V$4:$V$1004),"")</f>
        <v/>
      </c>
      <c r="AK891">
        <f>IFERROR(AVERAGEIF($A$4:$A$1004,AI891,$W$4:$W$1004),"")</f>
        <v/>
      </c>
      <c r="AL891">
        <f>IFERROR(AVERAGEIF($A$4:$A$1004,AI891,$X$4:$X$1004),"")</f>
        <v/>
      </c>
    </row>
    <row r="892">
      <c r="A892" s="1">
        <f>IF(Data!A892&gt;0,Data!A892,"")</f>
        <v/>
      </c>
      <c r="B892" s="1">
        <f>IF(Data!B892&gt;0,Data!B892,"")</f>
        <v/>
      </c>
      <c r="C892" s="1">
        <f>IF(Data!C892&gt;0,Data!C892,"")</f>
        <v/>
      </c>
      <c r="D892" s="1">
        <f>IF(Data!D892&gt;0,Data!D892,"")</f>
        <v/>
      </c>
      <c r="E892" s="1">
        <f>IF(Data!E892&gt;0,Data!E892,"")</f>
        <v/>
      </c>
      <c r="F892" s="1">
        <f>IF(Data!F892&gt;0,Data!F892,"")</f>
        <v/>
      </c>
      <c r="G892" s="1">
        <f>IF(Data!G892&gt;0,Data!G892,"")</f>
        <v/>
      </c>
      <c r="H892" s="1">
        <f>IF(Data!H892&gt;0,Data!H892,"")</f>
        <v/>
      </c>
      <c r="I892" s="1">
        <f>IF(Data!I892&gt;0,Data!I892,"")</f>
        <v/>
      </c>
      <c r="J892" s="1">
        <f>IF(Data!J892&gt;0,Data!J892,"")</f>
        <v/>
      </c>
      <c r="K892" s="1">
        <f>IF(Data!K892&gt;0,Data!K892,"")</f>
        <v/>
      </c>
      <c r="L892" s="1">
        <f>IF(Data!L892&gt;0,Data!L892,"")</f>
        <v/>
      </c>
      <c r="M892" s="1">
        <f>IF(Data!M892&gt;0,Data!M892,"")</f>
        <v/>
      </c>
      <c r="N892" s="1">
        <f>IF(Data!N892&gt;0,Data!N892,"")</f>
        <v/>
      </c>
      <c r="O892" s="1">
        <f>IF(Data!O892&gt;0,Data!O892,"")</f>
        <v/>
      </c>
      <c r="P892" s="1">
        <f>IF(Data!P892&gt;0,Data!P892,"")</f>
        <v/>
      </c>
      <c r="Q892" s="1">
        <f>IF(Data!Q892&gt;0,Data!Q892,"")</f>
        <v/>
      </c>
      <c r="R892" s="1">
        <f>IF(Data!R892&gt;0,Data!R892,"")</f>
        <v/>
      </c>
      <c r="S892" s="1">
        <f>IF(Data!S892&gt;0,Data!S892,"")</f>
        <v/>
      </c>
      <c r="V892" s="3">
        <f>IF(COUNT(D892,J892,K892,L892,M892,O892)&gt;0,AVERAGE(D892,J892,K892,L892,M892,O892),"")</f>
        <v/>
      </c>
      <c r="W892" s="3">
        <f>IF(COUNT(C892,F892,G892,N892,Q892)&gt;0,AVERAGE(C892,F892,G892,N892,Q892),"")</f>
        <v/>
      </c>
      <c r="X892" s="3">
        <f>IF(COUNT(B892,E892,H892,I892,P892,R892,S892)&gt;0,AVERAGE(B892,E892,H892,I892,P892,R892,S892),"")</f>
        <v/>
      </c>
      <c r="Y892" s="3" t="n"/>
      <c r="AJ892">
        <f>IFERROR(AVERAGEIF($A$4:$A$1004,AI892,$V$4:$V$1004),"")</f>
        <v/>
      </c>
      <c r="AK892">
        <f>IFERROR(AVERAGEIF($A$4:$A$1004,AI892,$W$4:$W$1004),"")</f>
        <v/>
      </c>
      <c r="AL892">
        <f>IFERROR(AVERAGEIF($A$4:$A$1004,AI892,$X$4:$X$1004),"")</f>
        <v/>
      </c>
    </row>
    <row r="893">
      <c r="A893" s="1">
        <f>IF(Data!A893&gt;0,Data!A893,"")</f>
        <v/>
      </c>
      <c r="B893" s="1">
        <f>IF(Data!B893&gt;0,Data!B893,"")</f>
        <v/>
      </c>
      <c r="C893" s="1">
        <f>IF(Data!C893&gt;0,Data!C893,"")</f>
        <v/>
      </c>
      <c r="D893" s="1">
        <f>IF(Data!D893&gt;0,Data!D893,"")</f>
        <v/>
      </c>
      <c r="E893" s="1">
        <f>IF(Data!E893&gt;0,Data!E893,"")</f>
        <v/>
      </c>
      <c r="F893" s="1">
        <f>IF(Data!F893&gt;0,Data!F893,"")</f>
        <v/>
      </c>
      <c r="G893" s="1">
        <f>IF(Data!G893&gt;0,Data!G893,"")</f>
        <v/>
      </c>
      <c r="H893" s="1">
        <f>IF(Data!H893&gt;0,Data!H893,"")</f>
        <v/>
      </c>
      <c r="I893" s="1">
        <f>IF(Data!I893&gt;0,Data!I893,"")</f>
        <v/>
      </c>
      <c r="J893" s="1">
        <f>IF(Data!J893&gt;0,Data!J893,"")</f>
        <v/>
      </c>
      <c r="K893" s="1">
        <f>IF(Data!K893&gt;0,Data!K893,"")</f>
        <v/>
      </c>
      <c r="L893" s="1">
        <f>IF(Data!L893&gt;0,Data!L893,"")</f>
        <v/>
      </c>
      <c r="M893" s="1">
        <f>IF(Data!M893&gt;0,Data!M893,"")</f>
        <v/>
      </c>
      <c r="N893" s="1">
        <f>IF(Data!N893&gt;0,Data!N893,"")</f>
        <v/>
      </c>
      <c r="O893" s="1">
        <f>IF(Data!O893&gt;0,Data!O893,"")</f>
        <v/>
      </c>
      <c r="P893" s="1">
        <f>IF(Data!P893&gt;0,Data!P893,"")</f>
        <v/>
      </c>
      <c r="Q893" s="1">
        <f>IF(Data!Q893&gt;0,Data!Q893,"")</f>
        <v/>
      </c>
      <c r="R893" s="1">
        <f>IF(Data!R893&gt;0,Data!R893,"")</f>
        <v/>
      </c>
      <c r="S893" s="1">
        <f>IF(Data!S893&gt;0,Data!S893,"")</f>
        <v/>
      </c>
      <c r="V893" s="3">
        <f>IF(COUNT(D893,J893,K893,L893,M893,O893)&gt;0,AVERAGE(D893,J893,K893,L893,M893,O893),"")</f>
        <v/>
      </c>
      <c r="W893" s="3">
        <f>IF(COUNT(C893,F893,G893,N893,Q893)&gt;0,AVERAGE(C893,F893,G893,N893,Q893),"")</f>
        <v/>
      </c>
      <c r="X893" s="3">
        <f>IF(COUNT(B893,E893,H893,I893,P893,R893,S893)&gt;0,AVERAGE(B893,E893,H893,I893,P893,R893,S893),"")</f>
        <v/>
      </c>
      <c r="Y893" s="3" t="n"/>
      <c r="AJ893">
        <f>IFERROR(AVERAGEIF($A$4:$A$1004,AI893,$V$4:$V$1004),"")</f>
        <v/>
      </c>
      <c r="AK893">
        <f>IFERROR(AVERAGEIF($A$4:$A$1004,AI893,$W$4:$W$1004),"")</f>
        <v/>
      </c>
      <c r="AL893">
        <f>IFERROR(AVERAGEIF($A$4:$A$1004,AI893,$X$4:$X$1004),"")</f>
        <v/>
      </c>
    </row>
    <row r="894">
      <c r="A894" s="1">
        <f>IF(Data!A894&gt;0,Data!A894,"")</f>
        <v/>
      </c>
      <c r="B894" s="1">
        <f>IF(Data!B894&gt;0,Data!B894,"")</f>
        <v/>
      </c>
      <c r="C894" s="1">
        <f>IF(Data!C894&gt;0,Data!C894,"")</f>
        <v/>
      </c>
      <c r="D894" s="1">
        <f>IF(Data!D894&gt;0,Data!D894,"")</f>
        <v/>
      </c>
      <c r="E894" s="1">
        <f>IF(Data!E894&gt;0,Data!E894,"")</f>
        <v/>
      </c>
      <c r="F894" s="1">
        <f>IF(Data!F894&gt;0,Data!F894,"")</f>
        <v/>
      </c>
      <c r="G894" s="1">
        <f>IF(Data!G894&gt;0,Data!G894,"")</f>
        <v/>
      </c>
      <c r="H894" s="1">
        <f>IF(Data!H894&gt;0,Data!H894,"")</f>
        <v/>
      </c>
      <c r="I894" s="1">
        <f>IF(Data!I894&gt;0,Data!I894,"")</f>
        <v/>
      </c>
      <c r="J894" s="1">
        <f>IF(Data!J894&gt;0,Data!J894,"")</f>
        <v/>
      </c>
      <c r="K894" s="1">
        <f>IF(Data!K894&gt;0,Data!K894,"")</f>
        <v/>
      </c>
      <c r="L894" s="1">
        <f>IF(Data!L894&gt;0,Data!L894,"")</f>
        <v/>
      </c>
      <c r="M894" s="1">
        <f>IF(Data!M894&gt;0,Data!M894,"")</f>
        <v/>
      </c>
      <c r="N894" s="1">
        <f>IF(Data!N894&gt;0,Data!N894,"")</f>
        <v/>
      </c>
      <c r="O894" s="1">
        <f>IF(Data!O894&gt;0,Data!O894,"")</f>
        <v/>
      </c>
      <c r="P894" s="1">
        <f>IF(Data!P894&gt;0,Data!P894,"")</f>
        <v/>
      </c>
      <c r="Q894" s="1">
        <f>IF(Data!Q894&gt;0,Data!Q894,"")</f>
        <v/>
      </c>
      <c r="R894" s="1">
        <f>IF(Data!R894&gt;0,Data!R894,"")</f>
        <v/>
      </c>
      <c r="S894" s="1">
        <f>IF(Data!S894&gt;0,Data!S894,"")</f>
        <v/>
      </c>
      <c r="V894" s="3">
        <f>IF(COUNT(D894,J894,K894,L894,M894,O894)&gt;0,AVERAGE(D894,J894,K894,L894,M894,O894),"")</f>
        <v/>
      </c>
      <c r="W894" s="3">
        <f>IF(COUNT(C894,F894,G894,N894,Q894)&gt;0,AVERAGE(C894,F894,G894,N894,Q894),"")</f>
        <v/>
      </c>
      <c r="X894" s="3">
        <f>IF(COUNT(B894,E894,H894,I894,P894,R894,S894)&gt;0,AVERAGE(B894,E894,H894,I894,P894,R894,S894),"")</f>
        <v/>
      </c>
      <c r="Y894" s="3" t="n"/>
      <c r="AJ894">
        <f>IFERROR(AVERAGEIF($A$4:$A$1004,AI894,$V$4:$V$1004),"")</f>
        <v/>
      </c>
      <c r="AK894">
        <f>IFERROR(AVERAGEIF($A$4:$A$1004,AI894,$W$4:$W$1004),"")</f>
        <v/>
      </c>
      <c r="AL894">
        <f>IFERROR(AVERAGEIF($A$4:$A$1004,AI894,$X$4:$X$1004),"")</f>
        <v/>
      </c>
    </row>
    <row r="895">
      <c r="A895" s="1">
        <f>IF(Data!A895&gt;0,Data!A895,"")</f>
        <v/>
      </c>
      <c r="B895" s="1">
        <f>IF(Data!B895&gt;0,Data!B895,"")</f>
        <v/>
      </c>
      <c r="C895" s="1">
        <f>IF(Data!C895&gt;0,Data!C895,"")</f>
        <v/>
      </c>
      <c r="D895" s="1">
        <f>IF(Data!D895&gt;0,Data!D895,"")</f>
        <v/>
      </c>
      <c r="E895" s="1">
        <f>IF(Data!E895&gt;0,Data!E895,"")</f>
        <v/>
      </c>
      <c r="F895" s="1">
        <f>IF(Data!F895&gt;0,Data!F895,"")</f>
        <v/>
      </c>
      <c r="G895" s="1">
        <f>IF(Data!G895&gt;0,Data!G895,"")</f>
        <v/>
      </c>
      <c r="H895" s="1">
        <f>IF(Data!H895&gt;0,Data!H895,"")</f>
        <v/>
      </c>
      <c r="I895" s="1">
        <f>IF(Data!I895&gt;0,Data!I895,"")</f>
        <v/>
      </c>
      <c r="J895" s="1">
        <f>IF(Data!J895&gt;0,Data!J895,"")</f>
        <v/>
      </c>
      <c r="K895" s="1">
        <f>IF(Data!K895&gt;0,Data!K895,"")</f>
        <v/>
      </c>
      <c r="L895" s="1">
        <f>IF(Data!L895&gt;0,Data!L895,"")</f>
        <v/>
      </c>
      <c r="M895" s="1">
        <f>IF(Data!M895&gt;0,Data!M895,"")</f>
        <v/>
      </c>
      <c r="N895" s="1">
        <f>IF(Data!N895&gt;0,Data!N895,"")</f>
        <v/>
      </c>
      <c r="O895" s="1">
        <f>IF(Data!O895&gt;0,Data!O895,"")</f>
        <v/>
      </c>
      <c r="P895" s="1">
        <f>IF(Data!P895&gt;0,Data!P895,"")</f>
        <v/>
      </c>
      <c r="Q895" s="1">
        <f>IF(Data!Q895&gt;0,Data!Q895,"")</f>
        <v/>
      </c>
      <c r="R895" s="1">
        <f>IF(Data!R895&gt;0,Data!R895,"")</f>
        <v/>
      </c>
      <c r="S895" s="1">
        <f>IF(Data!S895&gt;0,Data!S895,"")</f>
        <v/>
      </c>
      <c r="V895" s="3">
        <f>IF(COUNT(D895,J895,K895,L895,M895,O895)&gt;0,AVERAGE(D895,J895,K895,L895,M895,O895),"")</f>
        <v/>
      </c>
      <c r="W895" s="3">
        <f>IF(COUNT(C895,F895,G895,N895,Q895)&gt;0,AVERAGE(C895,F895,G895,N895,Q895),"")</f>
        <v/>
      </c>
      <c r="X895" s="3">
        <f>IF(COUNT(B895,E895,H895,I895,P895,R895,S895)&gt;0,AVERAGE(B895,E895,H895,I895,P895,R895,S895),"")</f>
        <v/>
      </c>
      <c r="Y895" s="3" t="n"/>
      <c r="AJ895">
        <f>IFERROR(AVERAGEIF($A$4:$A$1004,AI895,$V$4:$V$1004),"")</f>
        <v/>
      </c>
      <c r="AK895">
        <f>IFERROR(AVERAGEIF($A$4:$A$1004,AI895,$W$4:$W$1004),"")</f>
        <v/>
      </c>
      <c r="AL895">
        <f>IFERROR(AVERAGEIF($A$4:$A$1004,AI895,$X$4:$X$1004),"")</f>
        <v/>
      </c>
    </row>
    <row r="896">
      <c r="A896" s="1">
        <f>IF(Data!A896&gt;0,Data!A896,"")</f>
        <v/>
      </c>
      <c r="B896" s="1">
        <f>IF(Data!B896&gt;0,Data!B896,"")</f>
        <v/>
      </c>
      <c r="C896" s="1">
        <f>IF(Data!C896&gt;0,Data!C896,"")</f>
        <v/>
      </c>
      <c r="D896" s="1">
        <f>IF(Data!D896&gt;0,Data!D896,"")</f>
        <v/>
      </c>
      <c r="E896" s="1">
        <f>IF(Data!E896&gt;0,Data!E896,"")</f>
        <v/>
      </c>
      <c r="F896" s="1">
        <f>IF(Data!F896&gt;0,Data!F896,"")</f>
        <v/>
      </c>
      <c r="G896" s="1">
        <f>IF(Data!G896&gt;0,Data!G896,"")</f>
        <v/>
      </c>
      <c r="H896" s="1">
        <f>IF(Data!H896&gt;0,Data!H896,"")</f>
        <v/>
      </c>
      <c r="I896" s="1">
        <f>IF(Data!I896&gt;0,Data!I896,"")</f>
        <v/>
      </c>
      <c r="J896" s="1">
        <f>IF(Data!J896&gt;0,Data!J896,"")</f>
        <v/>
      </c>
      <c r="K896" s="1">
        <f>IF(Data!K896&gt;0,Data!K896,"")</f>
        <v/>
      </c>
      <c r="L896" s="1">
        <f>IF(Data!L896&gt;0,Data!L896,"")</f>
        <v/>
      </c>
      <c r="M896" s="1">
        <f>IF(Data!M896&gt;0,Data!M896,"")</f>
        <v/>
      </c>
      <c r="N896" s="1">
        <f>IF(Data!N896&gt;0,Data!N896,"")</f>
        <v/>
      </c>
      <c r="O896" s="1">
        <f>IF(Data!O896&gt;0,Data!O896,"")</f>
        <v/>
      </c>
      <c r="P896" s="1">
        <f>IF(Data!P896&gt;0,Data!P896,"")</f>
        <v/>
      </c>
      <c r="Q896" s="1">
        <f>IF(Data!Q896&gt;0,Data!Q896,"")</f>
        <v/>
      </c>
      <c r="R896" s="1">
        <f>IF(Data!R896&gt;0,Data!R896,"")</f>
        <v/>
      </c>
      <c r="S896" s="1">
        <f>IF(Data!S896&gt;0,Data!S896,"")</f>
        <v/>
      </c>
      <c r="V896" s="3">
        <f>IF(COUNT(D896,J896,K896,L896,M896,O896)&gt;0,AVERAGE(D896,J896,K896,L896,M896,O896),"")</f>
        <v/>
      </c>
      <c r="W896" s="3">
        <f>IF(COUNT(C896,F896,G896,N896,Q896)&gt;0,AVERAGE(C896,F896,G896,N896,Q896),"")</f>
        <v/>
      </c>
      <c r="X896" s="3">
        <f>IF(COUNT(B896,E896,H896,I896,P896,R896,S896)&gt;0,AVERAGE(B896,E896,H896,I896,P896,R896,S896),"")</f>
        <v/>
      </c>
      <c r="Y896" s="3" t="n"/>
      <c r="AJ896">
        <f>IFERROR(AVERAGEIF($A$4:$A$1004,AI896,$V$4:$V$1004),"")</f>
        <v/>
      </c>
      <c r="AK896">
        <f>IFERROR(AVERAGEIF($A$4:$A$1004,AI896,$W$4:$W$1004),"")</f>
        <v/>
      </c>
      <c r="AL896">
        <f>IFERROR(AVERAGEIF($A$4:$A$1004,AI896,$X$4:$X$1004),"")</f>
        <v/>
      </c>
    </row>
    <row r="897">
      <c r="A897" s="1">
        <f>IF(Data!A897&gt;0,Data!A897,"")</f>
        <v/>
      </c>
      <c r="B897" s="1">
        <f>IF(Data!B897&gt;0,Data!B897,"")</f>
        <v/>
      </c>
      <c r="C897" s="1">
        <f>IF(Data!C897&gt;0,Data!C897,"")</f>
        <v/>
      </c>
      <c r="D897" s="1">
        <f>IF(Data!D897&gt;0,Data!D897,"")</f>
        <v/>
      </c>
      <c r="E897" s="1">
        <f>IF(Data!E897&gt;0,Data!E897,"")</f>
        <v/>
      </c>
      <c r="F897" s="1">
        <f>IF(Data!F897&gt;0,Data!F897,"")</f>
        <v/>
      </c>
      <c r="G897" s="1">
        <f>IF(Data!G897&gt;0,Data!G897,"")</f>
        <v/>
      </c>
      <c r="H897" s="1">
        <f>IF(Data!H897&gt;0,Data!H897,"")</f>
        <v/>
      </c>
      <c r="I897" s="1">
        <f>IF(Data!I897&gt;0,Data!I897,"")</f>
        <v/>
      </c>
      <c r="J897" s="1">
        <f>IF(Data!J897&gt;0,Data!J897,"")</f>
        <v/>
      </c>
      <c r="K897" s="1">
        <f>IF(Data!K897&gt;0,Data!K897,"")</f>
        <v/>
      </c>
      <c r="L897" s="1">
        <f>IF(Data!L897&gt;0,Data!L897,"")</f>
        <v/>
      </c>
      <c r="M897" s="1">
        <f>IF(Data!M897&gt;0,Data!M897,"")</f>
        <v/>
      </c>
      <c r="N897" s="1">
        <f>IF(Data!N897&gt;0,Data!N897,"")</f>
        <v/>
      </c>
      <c r="O897" s="1">
        <f>IF(Data!O897&gt;0,Data!O897,"")</f>
        <v/>
      </c>
      <c r="P897" s="1">
        <f>IF(Data!P897&gt;0,Data!P897,"")</f>
        <v/>
      </c>
      <c r="Q897" s="1">
        <f>IF(Data!Q897&gt;0,Data!Q897,"")</f>
        <v/>
      </c>
      <c r="R897" s="1">
        <f>IF(Data!R897&gt;0,Data!R897,"")</f>
        <v/>
      </c>
      <c r="S897" s="1">
        <f>IF(Data!S897&gt;0,Data!S897,"")</f>
        <v/>
      </c>
      <c r="V897" s="3">
        <f>IF(COUNT(D897,J897,K897,L897,M897,O897)&gt;0,AVERAGE(D897,J897,K897,L897,M897,O897),"")</f>
        <v/>
      </c>
      <c r="W897" s="3">
        <f>IF(COUNT(C897,F897,G897,N897,Q897)&gt;0,AVERAGE(C897,F897,G897,N897,Q897),"")</f>
        <v/>
      </c>
      <c r="X897" s="3">
        <f>IF(COUNT(B897,E897,H897,I897,P897,R897,S897)&gt;0,AVERAGE(B897,E897,H897,I897,P897,R897,S897),"")</f>
        <v/>
      </c>
      <c r="Y897" s="3" t="n"/>
      <c r="AJ897">
        <f>IFERROR(AVERAGEIF($A$4:$A$1004,AI897,$V$4:$V$1004),"")</f>
        <v/>
      </c>
      <c r="AK897">
        <f>IFERROR(AVERAGEIF($A$4:$A$1004,AI897,$W$4:$W$1004),"")</f>
        <v/>
      </c>
      <c r="AL897">
        <f>IFERROR(AVERAGEIF($A$4:$A$1004,AI897,$X$4:$X$1004),"")</f>
        <v/>
      </c>
    </row>
    <row r="898">
      <c r="A898" s="1">
        <f>IF(Data!A898&gt;0,Data!A898,"")</f>
        <v/>
      </c>
      <c r="B898" s="1">
        <f>IF(Data!B898&gt;0,Data!B898,"")</f>
        <v/>
      </c>
      <c r="C898" s="1">
        <f>IF(Data!C898&gt;0,Data!C898,"")</f>
        <v/>
      </c>
      <c r="D898" s="1">
        <f>IF(Data!D898&gt;0,Data!D898,"")</f>
        <v/>
      </c>
      <c r="E898" s="1">
        <f>IF(Data!E898&gt;0,Data!E898,"")</f>
        <v/>
      </c>
      <c r="F898" s="1">
        <f>IF(Data!F898&gt;0,Data!F898,"")</f>
        <v/>
      </c>
      <c r="G898" s="1">
        <f>IF(Data!G898&gt;0,Data!G898,"")</f>
        <v/>
      </c>
      <c r="H898" s="1">
        <f>IF(Data!H898&gt;0,Data!H898,"")</f>
        <v/>
      </c>
      <c r="I898" s="1">
        <f>IF(Data!I898&gt;0,Data!I898,"")</f>
        <v/>
      </c>
      <c r="J898" s="1">
        <f>IF(Data!J898&gt;0,Data!J898,"")</f>
        <v/>
      </c>
      <c r="K898" s="1">
        <f>IF(Data!K898&gt;0,Data!K898,"")</f>
        <v/>
      </c>
      <c r="L898" s="1">
        <f>IF(Data!L898&gt;0,Data!L898,"")</f>
        <v/>
      </c>
      <c r="M898" s="1">
        <f>IF(Data!M898&gt;0,Data!M898,"")</f>
        <v/>
      </c>
      <c r="N898" s="1">
        <f>IF(Data!N898&gt;0,Data!N898,"")</f>
        <v/>
      </c>
      <c r="O898" s="1">
        <f>IF(Data!O898&gt;0,Data!O898,"")</f>
        <v/>
      </c>
      <c r="P898" s="1">
        <f>IF(Data!P898&gt;0,Data!P898,"")</f>
        <v/>
      </c>
      <c r="Q898" s="1">
        <f>IF(Data!Q898&gt;0,Data!Q898,"")</f>
        <v/>
      </c>
      <c r="R898" s="1">
        <f>IF(Data!R898&gt;0,Data!R898,"")</f>
        <v/>
      </c>
      <c r="S898" s="1">
        <f>IF(Data!S898&gt;0,Data!S898,"")</f>
        <v/>
      </c>
      <c r="V898" s="3">
        <f>IF(COUNT(D898,J898,K898,L898,M898,O898)&gt;0,AVERAGE(D898,J898,K898,L898,M898,O898),"")</f>
        <v/>
      </c>
      <c r="W898" s="3">
        <f>IF(COUNT(C898,F898,G898,N898,Q898)&gt;0,AVERAGE(C898,F898,G898,N898,Q898),"")</f>
        <v/>
      </c>
      <c r="X898" s="3">
        <f>IF(COUNT(B898,E898,H898,I898,P898,R898,S898)&gt;0,AVERAGE(B898,E898,H898,I898,P898,R898,S898),"")</f>
        <v/>
      </c>
      <c r="Y898" s="3" t="n"/>
      <c r="AJ898">
        <f>IFERROR(AVERAGEIF($A$4:$A$1004,AI898,$V$4:$V$1004),"")</f>
        <v/>
      </c>
      <c r="AK898">
        <f>IFERROR(AVERAGEIF($A$4:$A$1004,AI898,$W$4:$W$1004),"")</f>
        <v/>
      </c>
      <c r="AL898">
        <f>IFERROR(AVERAGEIF($A$4:$A$1004,AI898,$X$4:$X$1004),"")</f>
        <v/>
      </c>
    </row>
    <row r="899">
      <c r="A899" s="1">
        <f>IF(Data!A899&gt;0,Data!A899,"")</f>
        <v/>
      </c>
      <c r="B899" s="1">
        <f>IF(Data!B899&gt;0,Data!B899,"")</f>
        <v/>
      </c>
      <c r="C899" s="1">
        <f>IF(Data!C899&gt;0,Data!C899,"")</f>
        <v/>
      </c>
      <c r="D899" s="1">
        <f>IF(Data!D899&gt;0,Data!D899,"")</f>
        <v/>
      </c>
      <c r="E899" s="1">
        <f>IF(Data!E899&gt;0,Data!E899,"")</f>
        <v/>
      </c>
      <c r="F899" s="1">
        <f>IF(Data!F899&gt;0,Data!F899,"")</f>
        <v/>
      </c>
      <c r="G899" s="1">
        <f>IF(Data!G899&gt;0,Data!G899,"")</f>
        <v/>
      </c>
      <c r="H899" s="1">
        <f>IF(Data!H899&gt;0,Data!H899,"")</f>
        <v/>
      </c>
      <c r="I899" s="1">
        <f>IF(Data!I899&gt;0,Data!I899,"")</f>
        <v/>
      </c>
      <c r="J899" s="1">
        <f>IF(Data!J899&gt;0,Data!J899,"")</f>
        <v/>
      </c>
      <c r="K899" s="1">
        <f>IF(Data!K899&gt;0,Data!K899,"")</f>
        <v/>
      </c>
      <c r="L899" s="1">
        <f>IF(Data!L899&gt;0,Data!L899,"")</f>
        <v/>
      </c>
      <c r="M899" s="1">
        <f>IF(Data!M899&gt;0,Data!M899,"")</f>
        <v/>
      </c>
      <c r="N899" s="1">
        <f>IF(Data!N899&gt;0,Data!N899,"")</f>
        <v/>
      </c>
      <c r="O899" s="1">
        <f>IF(Data!O899&gt;0,Data!O899,"")</f>
        <v/>
      </c>
      <c r="P899" s="1">
        <f>IF(Data!P899&gt;0,Data!P899,"")</f>
        <v/>
      </c>
      <c r="Q899" s="1">
        <f>IF(Data!Q899&gt;0,Data!Q899,"")</f>
        <v/>
      </c>
      <c r="R899" s="1">
        <f>IF(Data!R899&gt;0,Data!R899,"")</f>
        <v/>
      </c>
      <c r="S899" s="1">
        <f>IF(Data!S899&gt;0,Data!S899,"")</f>
        <v/>
      </c>
      <c r="V899" s="3">
        <f>IF(COUNT(D899,J899,K899,L899,M899,O899)&gt;0,AVERAGE(D899,J899,K899,L899,M899,O899),"")</f>
        <v/>
      </c>
      <c r="W899" s="3">
        <f>IF(COUNT(C899,F899,G899,N899,Q899)&gt;0,AVERAGE(C899,F899,G899,N899,Q899),"")</f>
        <v/>
      </c>
      <c r="X899" s="3">
        <f>IF(COUNT(B899,E899,H899,I899,P899,R899,S899)&gt;0,AVERAGE(B899,E899,H899,I899,P899,R899,S899),"")</f>
        <v/>
      </c>
      <c r="Y899" s="3" t="n"/>
      <c r="AJ899">
        <f>IFERROR(AVERAGEIF($A$4:$A$1004,AI899,$V$4:$V$1004),"")</f>
        <v/>
      </c>
      <c r="AK899">
        <f>IFERROR(AVERAGEIF($A$4:$A$1004,AI899,$W$4:$W$1004),"")</f>
        <v/>
      </c>
      <c r="AL899">
        <f>IFERROR(AVERAGEIF($A$4:$A$1004,AI899,$X$4:$X$1004),"")</f>
        <v/>
      </c>
    </row>
    <row r="900">
      <c r="A900" s="1">
        <f>IF(Data!A900&gt;0,Data!A900,"")</f>
        <v/>
      </c>
      <c r="B900" s="1">
        <f>IF(Data!B900&gt;0,Data!B900,"")</f>
        <v/>
      </c>
      <c r="C900" s="1">
        <f>IF(Data!C900&gt;0,Data!C900,"")</f>
        <v/>
      </c>
      <c r="D900" s="1">
        <f>IF(Data!D900&gt;0,Data!D900,"")</f>
        <v/>
      </c>
      <c r="E900" s="1">
        <f>IF(Data!E900&gt;0,Data!E900,"")</f>
        <v/>
      </c>
      <c r="F900" s="1">
        <f>IF(Data!F900&gt;0,Data!F900,"")</f>
        <v/>
      </c>
      <c r="G900" s="1">
        <f>IF(Data!G900&gt;0,Data!G900,"")</f>
        <v/>
      </c>
      <c r="H900" s="1">
        <f>IF(Data!H900&gt;0,Data!H900,"")</f>
        <v/>
      </c>
      <c r="I900" s="1">
        <f>IF(Data!I900&gt;0,Data!I900,"")</f>
        <v/>
      </c>
      <c r="J900" s="1">
        <f>IF(Data!J900&gt;0,Data!J900,"")</f>
        <v/>
      </c>
      <c r="K900" s="1">
        <f>IF(Data!K900&gt;0,Data!K900,"")</f>
        <v/>
      </c>
      <c r="L900" s="1">
        <f>IF(Data!L900&gt;0,Data!L900,"")</f>
        <v/>
      </c>
      <c r="M900" s="1">
        <f>IF(Data!M900&gt;0,Data!M900,"")</f>
        <v/>
      </c>
      <c r="N900" s="1">
        <f>IF(Data!N900&gt;0,Data!N900,"")</f>
        <v/>
      </c>
      <c r="O900" s="1">
        <f>IF(Data!O900&gt;0,Data!O900,"")</f>
        <v/>
      </c>
      <c r="P900" s="1">
        <f>IF(Data!P900&gt;0,Data!P900,"")</f>
        <v/>
      </c>
      <c r="Q900" s="1">
        <f>IF(Data!Q900&gt;0,Data!Q900,"")</f>
        <v/>
      </c>
      <c r="R900" s="1">
        <f>IF(Data!R900&gt;0,Data!R900,"")</f>
        <v/>
      </c>
      <c r="S900" s="1">
        <f>IF(Data!S900&gt;0,Data!S900,"")</f>
        <v/>
      </c>
      <c r="V900" s="3">
        <f>IF(COUNT(D900,J900,K900,L900,M900,O900)&gt;0,AVERAGE(D900,J900,K900,L900,M900,O900),"")</f>
        <v/>
      </c>
      <c r="W900" s="3">
        <f>IF(COUNT(C900,F900,G900,N900,Q900)&gt;0,AVERAGE(C900,F900,G900,N900,Q900),"")</f>
        <v/>
      </c>
      <c r="X900" s="3">
        <f>IF(COUNT(B900,E900,H900,I900,P900,R900,S900)&gt;0,AVERAGE(B900,E900,H900,I900,P900,R900,S900),"")</f>
        <v/>
      </c>
      <c r="Y900" s="3" t="n"/>
      <c r="AJ900">
        <f>IFERROR(AVERAGEIF($A$4:$A$1004,AI900,$V$4:$V$1004),"")</f>
        <v/>
      </c>
      <c r="AK900">
        <f>IFERROR(AVERAGEIF($A$4:$A$1004,AI900,$W$4:$W$1004),"")</f>
        <v/>
      </c>
      <c r="AL900">
        <f>IFERROR(AVERAGEIF($A$4:$A$1004,AI900,$X$4:$X$1004),"")</f>
        <v/>
      </c>
    </row>
    <row r="901">
      <c r="A901" s="1">
        <f>IF(Data!A901&gt;0,Data!A901,"")</f>
        <v/>
      </c>
      <c r="B901" s="1">
        <f>IF(Data!B901&gt;0,Data!B901,"")</f>
        <v/>
      </c>
      <c r="C901" s="1">
        <f>IF(Data!C901&gt;0,Data!C901,"")</f>
        <v/>
      </c>
      <c r="D901" s="1">
        <f>IF(Data!D901&gt;0,Data!D901,"")</f>
        <v/>
      </c>
      <c r="E901" s="1">
        <f>IF(Data!E901&gt;0,Data!E901,"")</f>
        <v/>
      </c>
      <c r="F901" s="1">
        <f>IF(Data!F901&gt;0,Data!F901,"")</f>
        <v/>
      </c>
      <c r="G901" s="1">
        <f>IF(Data!G901&gt;0,Data!G901,"")</f>
        <v/>
      </c>
      <c r="H901" s="1">
        <f>IF(Data!H901&gt;0,Data!H901,"")</f>
        <v/>
      </c>
      <c r="I901" s="1">
        <f>IF(Data!I901&gt;0,Data!I901,"")</f>
        <v/>
      </c>
      <c r="J901" s="1">
        <f>IF(Data!J901&gt;0,Data!J901,"")</f>
        <v/>
      </c>
      <c r="K901" s="1">
        <f>IF(Data!K901&gt;0,Data!K901,"")</f>
        <v/>
      </c>
      <c r="L901" s="1">
        <f>IF(Data!L901&gt;0,Data!L901,"")</f>
        <v/>
      </c>
      <c r="M901" s="1">
        <f>IF(Data!M901&gt;0,Data!M901,"")</f>
        <v/>
      </c>
      <c r="N901" s="1">
        <f>IF(Data!N901&gt;0,Data!N901,"")</f>
        <v/>
      </c>
      <c r="O901" s="1">
        <f>IF(Data!O901&gt;0,Data!O901,"")</f>
        <v/>
      </c>
      <c r="P901" s="1">
        <f>IF(Data!P901&gt;0,Data!P901,"")</f>
        <v/>
      </c>
      <c r="Q901" s="1">
        <f>IF(Data!Q901&gt;0,Data!Q901,"")</f>
        <v/>
      </c>
      <c r="R901" s="1">
        <f>IF(Data!R901&gt;0,Data!R901,"")</f>
        <v/>
      </c>
      <c r="S901" s="1">
        <f>IF(Data!S901&gt;0,Data!S901,"")</f>
        <v/>
      </c>
      <c r="V901" s="3">
        <f>IF(COUNT(D901,J901,K901,L901,M901,O901)&gt;0,AVERAGE(D901,J901,K901,L901,M901,O901),"")</f>
        <v/>
      </c>
      <c r="W901" s="3">
        <f>IF(COUNT(C901,F901,G901,N901,Q901)&gt;0,AVERAGE(C901,F901,G901,N901,Q901),"")</f>
        <v/>
      </c>
      <c r="X901" s="3">
        <f>IF(COUNT(B901,E901,H901,I901,P901,R901,S901)&gt;0,AVERAGE(B901,E901,H901,I901,P901,R901,S901),"")</f>
        <v/>
      </c>
      <c r="Y901" s="3" t="n"/>
      <c r="AJ901">
        <f>IFERROR(AVERAGEIF($A$4:$A$1004,AI901,$V$4:$V$1004),"")</f>
        <v/>
      </c>
      <c r="AK901">
        <f>IFERROR(AVERAGEIF($A$4:$A$1004,AI901,$W$4:$W$1004),"")</f>
        <v/>
      </c>
      <c r="AL901">
        <f>IFERROR(AVERAGEIF($A$4:$A$1004,AI901,$X$4:$X$1004),"")</f>
        <v/>
      </c>
    </row>
    <row r="902">
      <c r="A902" s="1">
        <f>IF(Data!A902&gt;0,Data!A902,"")</f>
        <v/>
      </c>
      <c r="B902" s="1">
        <f>IF(Data!B902&gt;0,Data!B902,"")</f>
        <v/>
      </c>
      <c r="C902" s="1">
        <f>IF(Data!C902&gt;0,Data!C902,"")</f>
        <v/>
      </c>
      <c r="D902" s="1">
        <f>IF(Data!D902&gt;0,Data!D902,"")</f>
        <v/>
      </c>
      <c r="E902" s="1">
        <f>IF(Data!E902&gt;0,Data!E902,"")</f>
        <v/>
      </c>
      <c r="F902" s="1">
        <f>IF(Data!F902&gt;0,Data!F902,"")</f>
        <v/>
      </c>
      <c r="G902" s="1">
        <f>IF(Data!G902&gt;0,Data!G902,"")</f>
        <v/>
      </c>
      <c r="H902" s="1">
        <f>IF(Data!H902&gt;0,Data!H902,"")</f>
        <v/>
      </c>
      <c r="I902" s="1">
        <f>IF(Data!I902&gt;0,Data!I902,"")</f>
        <v/>
      </c>
      <c r="J902" s="1">
        <f>IF(Data!J902&gt;0,Data!J902,"")</f>
        <v/>
      </c>
      <c r="K902" s="1">
        <f>IF(Data!K902&gt;0,Data!K902,"")</f>
        <v/>
      </c>
      <c r="L902" s="1">
        <f>IF(Data!L902&gt;0,Data!L902,"")</f>
        <v/>
      </c>
      <c r="M902" s="1">
        <f>IF(Data!M902&gt;0,Data!M902,"")</f>
        <v/>
      </c>
      <c r="N902" s="1">
        <f>IF(Data!N902&gt;0,Data!N902,"")</f>
        <v/>
      </c>
      <c r="O902" s="1">
        <f>IF(Data!O902&gt;0,Data!O902,"")</f>
        <v/>
      </c>
      <c r="P902" s="1">
        <f>IF(Data!P902&gt;0,Data!P902,"")</f>
        <v/>
      </c>
      <c r="Q902" s="1">
        <f>IF(Data!Q902&gt;0,Data!Q902,"")</f>
        <v/>
      </c>
      <c r="R902" s="1">
        <f>IF(Data!R902&gt;0,Data!R902,"")</f>
        <v/>
      </c>
      <c r="S902" s="1">
        <f>IF(Data!S902&gt;0,Data!S902,"")</f>
        <v/>
      </c>
      <c r="V902" s="3">
        <f>IF(COUNT(D902,J902,K902,L902,M902,O902)&gt;0,AVERAGE(D902,J902,K902,L902,M902,O902),"")</f>
        <v/>
      </c>
      <c r="W902" s="3">
        <f>IF(COUNT(C902,F902,G902,N902,Q902)&gt;0,AVERAGE(C902,F902,G902,N902,Q902),"")</f>
        <v/>
      </c>
      <c r="X902" s="3">
        <f>IF(COUNT(B902,E902,H902,I902,P902,R902,S902)&gt;0,AVERAGE(B902,E902,H902,I902,P902,R902,S902),"")</f>
        <v/>
      </c>
      <c r="Y902" s="3" t="n"/>
      <c r="AJ902">
        <f>IFERROR(AVERAGEIF($A$4:$A$1004,AI902,$V$4:$V$1004),"")</f>
        <v/>
      </c>
      <c r="AK902">
        <f>IFERROR(AVERAGEIF($A$4:$A$1004,AI902,$W$4:$W$1004),"")</f>
        <v/>
      </c>
      <c r="AL902">
        <f>IFERROR(AVERAGEIF($A$4:$A$1004,AI902,$X$4:$X$1004),"")</f>
        <v/>
      </c>
    </row>
    <row r="903">
      <c r="A903" s="1">
        <f>IF(Data!A903&gt;0,Data!A903,"")</f>
        <v/>
      </c>
      <c r="B903" s="1">
        <f>IF(Data!B903&gt;0,Data!B903,"")</f>
        <v/>
      </c>
      <c r="C903" s="1">
        <f>IF(Data!C903&gt;0,Data!C903,"")</f>
        <v/>
      </c>
      <c r="D903" s="1">
        <f>IF(Data!D903&gt;0,Data!D903,"")</f>
        <v/>
      </c>
      <c r="E903" s="1">
        <f>IF(Data!E903&gt;0,Data!E903,"")</f>
        <v/>
      </c>
      <c r="F903" s="1">
        <f>IF(Data!F903&gt;0,Data!F903,"")</f>
        <v/>
      </c>
      <c r="G903" s="1">
        <f>IF(Data!G903&gt;0,Data!G903,"")</f>
        <v/>
      </c>
      <c r="H903" s="1">
        <f>IF(Data!H903&gt;0,Data!H903,"")</f>
        <v/>
      </c>
      <c r="I903" s="1">
        <f>IF(Data!I903&gt;0,Data!I903,"")</f>
        <v/>
      </c>
      <c r="J903" s="1">
        <f>IF(Data!J903&gt;0,Data!J903,"")</f>
        <v/>
      </c>
      <c r="K903" s="1">
        <f>IF(Data!K903&gt;0,Data!K903,"")</f>
        <v/>
      </c>
      <c r="L903" s="1">
        <f>IF(Data!L903&gt;0,Data!L903,"")</f>
        <v/>
      </c>
      <c r="M903" s="1">
        <f>IF(Data!M903&gt;0,Data!M903,"")</f>
        <v/>
      </c>
      <c r="N903" s="1">
        <f>IF(Data!N903&gt;0,Data!N903,"")</f>
        <v/>
      </c>
      <c r="O903" s="1">
        <f>IF(Data!O903&gt;0,Data!O903,"")</f>
        <v/>
      </c>
      <c r="P903" s="1">
        <f>IF(Data!P903&gt;0,Data!P903,"")</f>
        <v/>
      </c>
      <c r="Q903" s="1">
        <f>IF(Data!Q903&gt;0,Data!Q903,"")</f>
        <v/>
      </c>
      <c r="R903" s="1">
        <f>IF(Data!R903&gt;0,Data!R903,"")</f>
        <v/>
      </c>
      <c r="S903" s="1">
        <f>IF(Data!S903&gt;0,Data!S903,"")</f>
        <v/>
      </c>
      <c r="V903" s="3">
        <f>IF(COUNT(D903,J903,K903,L903,M903,O903)&gt;0,AVERAGE(D903,J903,K903,L903,M903,O903),"")</f>
        <v/>
      </c>
      <c r="W903" s="3">
        <f>IF(COUNT(C903,F903,G903,N903,Q903)&gt;0,AVERAGE(C903,F903,G903,N903,Q903),"")</f>
        <v/>
      </c>
      <c r="X903" s="3">
        <f>IF(COUNT(B903,E903,H903,I903,P903,R903,S903)&gt;0,AVERAGE(B903,E903,H903,I903,P903,R903,S903),"")</f>
        <v/>
      </c>
      <c r="Y903" s="3" t="n"/>
      <c r="AJ903">
        <f>IFERROR(AVERAGEIF($A$4:$A$1004,AI903,$V$4:$V$1004),"")</f>
        <v/>
      </c>
      <c r="AK903">
        <f>IFERROR(AVERAGEIF($A$4:$A$1004,AI903,$W$4:$W$1004),"")</f>
        <v/>
      </c>
      <c r="AL903">
        <f>IFERROR(AVERAGEIF($A$4:$A$1004,AI903,$X$4:$X$1004),"")</f>
        <v/>
      </c>
    </row>
    <row r="904">
      <c r="A904" s="1">
        <f>IF(Data!A904&gt;0,Data!A904,"")</f>
        <v/>
      </c>
      <c r="B904" s="1">
        <f>IF(Data!B904&gt;0,Data!B904,"")</f>
        <v/>
      </c>
      <c r="C904" s="1">
        <f>IF(Data!C904&gt;0,Data!C904,"")</f>
        <v/>
      </c>
      <c r="D904" s="1">
        <f>IF(Data!D904&gt;0,Data!D904,"")</f>
        <v/>
      </c>
      <c r="E904" s="1">
        <f>IF(Data!E904&gt;0,Data!E904,"")</f>
        <v/>
      </c>
      <c r="F904" s="1">
        <f>IF(Data!F904&gt;0,Data!F904,"")</f>
        <v/>
      </c>
      <c r="G904" s="1">
        <f>IF(Data!G904&gt;0,Data!G904,"")</f>
        <v/>
      </c>
      <c r="H904" s="1">
        <f>IF(Data!H904&gt;0,Data!H904,"")</f>
        <v/>
      </c>
      <c r="I904" s="1">
        <f>IF(Data!I904&gt;0,Data!I904,"")</f>
        <v/>
      </c>
      <c r="J904" s="1">
        <f>IF(Data!J904&gt;0,Data!J904,"")</f>
        <v/>
      </c>
      <c r="K904" s="1">
        <f>IF(Data!K904&gt;0,Data!K904,"")</f>
        <v/>
      </c>
      <c r="L904" s="1">
        <f>IF(Data!L904&gt;0,Data!L904,"")</f>
        <v/>
      </c>
      <c r="M904" s="1">
        <f>IF(Data!M904&gt;0,Data!M904,"")</f>
        <v/>
      </c>
      <c r="N904" s="1">
        <f>IF(Data!N904&gt;0,Data!N904,"")</f>
        <v/>
      </c>
      <c r="O904" s="1">
        <f>IF(Data!O904&gt;0,Data!O904,"")</f>
        <v/>
      </c>
      <c r="P904" s="1">
        <f>IF(Data!P904&gt;0,Data!P904,"")</f>
        <v/>
      </c>
      <c r="Q904" s="1">
        <f>IF(Data!Q904&gt;0,Data!Q904,"")</f>
        <v/>
      </c>
      <c r="R904" s="1">
        <f>IF(Data!R904&gt;0,Data!R904,"")</f>
        <v/>
      </c>
      <c r="S904" s="1">
        <f>IF(Data!S904&gt;0,Data!S904,"")</f>
        <v/>
      </c>
      <c r="V904" s="3">
        <f>IF(COUNT(D904,J904,K904,L904,M904,O904)&gt;0,AVERAGE(D904,J904,K904,L904,M904,O904),"")</f>
        <v/>
      </c>
      <c r="W904" s="3">
        <f>IF(COUNT(C904,F904,G904,N904,Q904)&gt;0,AVERAGE(C904,F904,G904,N904,Q904),"")</f>
        <v/>
      </c>
      <c r="X904" s="3">
        <f>IF(COUNT(B904,E904,H904,I904,P904,R904,S904)&gt;0,AVERAGE(B904,E904,H904,I904,P904,R904,S904),"")</f>
        <v/>
      </c>
      <c r="Y904" s="3" t="n"/>
      <c r="AJ904">
        <f>IFERROR(AVERAGEIF($A$4:$A$1004,AI904,$V$4:$V$1004),"")</f>
        <v/>
      </c>
      <c r="AK904">
        <f>IFERROR(AVERAGEIF($A$4:$A$1004,AI904,$W$4:$W$1004),"")</f>
        <v/>
      </c>
      <c r="AL904">
        <f>IFERROR(AVERAGEIF($A$4:$A$1004,AI904,$X$4:$X$1004),"")</f>
        <v/>
      </c>
    </row>
    <row r="905">
      <c r="A905" s="1">
        <f>IF(Data!A905&gt;0,Data!A905,"")</f>
        <v/>
      </c>
      <c r="B905" s="1">
        <f>IF(Data!B905&gt;0,Data!B905,"")</f>
        <v/>
      </c>
      <c r="C905" s="1">
        <f>IF(Data!C905&gt;0,Data!C905,"")</f>
        <v/>
      </c>
      <c r="D905" s="1">
        <f>IF(Data!D905&gt;0,Data!D905,"")</f>
        <v/>
      </c>
      <c r="E905" s="1">
        <f>IF(Data!E905&gt;0,Data!E905,"")</f>
        <v/>
      </c>
      <c r="F905" s="1">
        <f>IF(Data!F905&gt;0,Data!F905,"")</f>
        <v/>
      </c>
      <c r="G905" s="1">
        <f>IF(Data!G905&gt;0,Data!G905,"")</f>
        <v/>
      </c>
      <c r="H905" s="1">
        <f>IF(Data!H905&gt;0,Data!H905,"")</f>
        <v/>
      </c>
      <c r="I905" s="1">
        <f>IF(Data!I905&gt;0,Data!I905,"")</f>
        <v/>
      </c>
      <c r="J905" s="1">
        <f>IF(Data!J905&gt;0,Data!J905,"")</f>
        <v/>
      </c>
      <c r="K905" s="1">
        <f>IF(Data!K905&gt;0,Data!K905,"")</f>
        <v/>
      </c>
      <c r="L905" s="1">
        <f>IF(Data!L905&gt;0,Data!L905,"")</f>
        <v/>
      </c>
      <c r="M905" s="1">
        <f>IF(Data!M905&gt;0,Data!M905,"")</f>
        <v/>
      </c>
      <c r="N905" s="1">
        <f>IF(Data!N905&gt;0,Data!N905,"")</f>
        <v/>
      </c>
      <c r="O905" s="1">
        <f>IF(Data!O905&gt;0,Data!O905,"")</f>
        <v/>
      </c>
      <c r="P905" s="1">
        <f>IF(Data!P905&gt;0,Data!P905,"")</f>
        <v/>
      </c>
      <c r="Q905" s="1">
        <f>IF(Data!Q905&gt;0,Data!Q905,"")</f>
        <v/>
      </c>
      <c r="R905" s="1">
        <f>IF(Data!R905&gt;0,Data!R905,"")</f>
        <v/>
      </c>
      <c r="S905" s="1">
        <f>IF(Data!S905&gt;0,Data!S905,"")</f>
        <v/>
      </c>
      <c r="V905" s="3">
        <f>IF(COUNT(D905,J905,K905,L905,M905,O905)&gt;0,AVERAGE(D905,J905,K905,L905,M905,O905),"")</f>
        <v/>
      </c>
      <c r="W905" s="3">
        <f>IF(COUNT(C905,F905,G905,N905,Q905)&gt;0,AVERAGE(C905,F905,G905,N905,Q905),"")</f>
        <v/>
      </c>
      <c r="X905" s="3">
        <f>IF(COUNT(B905,E905,H905,I905,P905,R905,S905)&gt;0,AVERAGE(B905,E905,H905,I905,P905,R905,S905),"")</f>
        <v/>
      </c>
      <c r="Y905" s="3" t="n"/>
      <c r="AJ905">
        <f>IFERROR(AVERAGEIF($A$4:$A$1004,AI905,$V$4:$V$1004),"")</f>
        <v/>
      </c>
      <c r="AK905">
        <f>IFERROR(AVERAGEIF($A$4:$A$1004,AI905,$W$4:$W$1004),"")</f>
        <v/>
      </c>
      <c r="AL905">
        <f>IFERROR(AVERAGEIF($A$4:$A$1004,AI905,$X$4:$X$1004),"")</f>
        <v/>
      </c>
    </row>
    <row r="906">
      <c r="A906" s="1">
        <f>IF(Data!A906&gt;0,Data!A906,"")</f>
        <v/>
      </c>
      <c r="B906" s="1">
        <f>IF(Data!B906&gt;0,Data!B906,"")</f>
        <v/>
      </c>
      <c r="C906" s="1">
        <f>IF(Data!C906&gt;0,Data!C906,"")</f>
        <v/>
      </c>
      <c r="D906" s="1">
        <f>IF(Data!D906&gt;0,Data!D906,"")</f>
        <v/>
      </c>
      <c r="E906" s="1">
        <f>IF(Data!E906&gt;0,Data!E906,"")</f>
        <v/>
      </c>
      <c r="F906" s="1">
        <f>IF(Data!F906&gt;0,Data!F906,"")</f>
        <v/>
      </c>
      <c r="G906" s="1">
        <f>IF(Data!G906&gt;0,Data!G906,"")</f>
        <v/>
      </c>
      <c r="H906" s="1">
        <f>IF(Data!H906&gt;0,Data!H906,"")</f>
        <v/>
      </c>
      <c r="I906" s="1">
        <f>IF(Data!I906&gt;0,Data!I906,"")</f>
        <v/>
      </c>
      <c r="J906" s="1">
        <f>IF(Data!J906&gt;0,Data!J906,"")</f>
        <v/>
      </c>
      <c r="K906" s="1">
        <f>IF(Data!K906&gt;0,Data!K906,"")</f>
        <v/>
      </c>
      <c r="L906" s="1">
        <f>IF(Data!L906&gt;0,Data!L906,"")</f>
        <v/>
      </c>
      <c r="M906" s="1">
        <f>IF(Data!M906&gt;0,Data!M906,"")</f>
        <v/>
      </c>
      <c r="N906" s="1">
        <f>IF(Data!N906&gt;0,Data!N906,"")</f>
        <v/>
      </c>
      <c r="O906" s="1">
        <f>IF(Data!O906&gt;0,Data!O906,"")</f>
        <v/>
      </c>
      <c r="P906" s="1">
        <f>IF(Data!P906&gt;0,Data!P906,"")</f>
        <v/>
      </c>
      <c r="Q906" s="1">
        <f>IF(Data!Q906&gt;0,Data!Q906,"")</f>
        <v/>
      </c>
      <c r="R906" s="1">
        <f>IF(Data!R906&gt;0,Data!R906,"")</f>
        <v/>
      </c>
      <c r="S906" s="1">
        <f>IF(Data!S906&gt;0,Data!S906,"")</f>
        <v/>
      </c>
      <c r="V906" s="3">
        <f>IF(COUNT(D906,J906,K906,L906,M906,O906)&gt;0,AVERAGE(D906,J906,K906,L906,M906,O906),"")</f>
        <v/>
      </c>
      <c r="W906" s="3">
        <f>IF(COUNT(C906,F906,G906,N906,Q906)&gt;0,AVERAGE(C906,F906,G906,N906,Q906),"")</f>
        <v/>
      </c>
      <c r="X906" s="3">
        <f>IF(COUNT(B906,E906,H906,I906,P906,R906,S906)&gt;0,AVERAGE(B906,E906,H906,I906,P906,R906,S906),"")</f>
        <v/>
      </c>
      <c r="Y906" s="3" t="n"/>
      <c r="AJ906">
        <f>IFERROR(AVERAGEIF($A$4:$A$1004,AI906,$V$4:$V$1004),"")</f>
        <v/>
      </c>
      <c r="AK906">
        <f>IFERROR(AVERAGEIF($A$4:$A$1004,AI906,$W$4:$W$1004),"")</f>
        <v/>
      </c>
      <c r="AL906">
        <f>IFERROR(AVERAGEIF($A$4:$A$1004,AI906,$X$4:$X$1004),"")</f>
        <v/>
      </c>
    </row>
    <row r="907">
      <c r="A907" s="1">
        <f>IF(Data!A907&gt;0,Data!A907,"")</f>
        <v/>
      </c>
      <c r="B907" s="1">
        <f>IF(Data!B907&gt;0,Data!B907,"")</f>
        <v/>
      </c>
      <c r="C907" s="1">
        <f>IF(Data!C907&gt;0,Data!C907,"")</f>
        <v/>
      </c>
      <c r="D907" s="1">
        <f>IF(Data!D907&gt;0,Data!D907,"")</f>
        <v/>
      </c>
      <c r="E907" s="1">
        <f>IF(Data!E907&gt;0,Data!E907,"")</f>
        <v/>
      </c>
      <c r="F907" s="1">
        <f>IF(Data!F907&gt;0,Data!F907,"")</f>
        <v/>
      </c>
      <c r="G907" s="1">
        <f>IF(Data!G907&gt;0,Data!G907,"")</f>
        <v/>
      </c>
      <c r="H907" s="1">
        <f>IF(Data!H907&gt;0,Data!H907,"")</f>
        <v/>
      </c>
      <c r="I907" s="1">
        <f>IF(Data!I907&gt;0,Data!I907,"")</f>
        <v/>
      </c>
      <c r="J907" s="1">
        <f>IF(Data!J907&gt;0,Data!J907,"")</f>
        <v/>
      </c>
      <c r="K907" s="1">
        <f>IF(Data!K907&gt;0,Data!K907,"")</f>
        <v/>
      </c>
      <c r="L907" s="1">
        <f>IF(Data!L907&gt;0,Data!L907,"")</f>
        <v/>
      </c>
      <c r="M907" s="1">
        <f>IF(Data!M907&gt;0,Data!M907,"")</f>
        <v/>
      </c>
      <c r="N907" s="1">
        <f>IF(Data!N907&gt;0,Data!N907,"")</f>
        <v/>
      </c>
      <c r="O907" s="1">
        <f>IF(Data!O907&gt;0,Data!O907,"")</f>
        <v/>
      </c>
      <c r="P907" s="1">
        <f>IF(Data!P907&gt;0,Data!P907,"")</f>
        <v/>
      </c>
      <c r="Q907" s="1">
        <f>IF(Data!Q907&gt;0,Data!Q907,"")</f>
        <v/>
      </c>
      <c r="R907" s="1">
        <f>IF(Data!R907&gt;0,Data!R907,"")</f>
        <v/>
      </c>
      <c r="S907" s="1">
        <f>IF(Data!S907&gt;0,Data!S907,"")</f>
        <v/>
      </c>
      <c r="V907" s="3">
        <f>IF(COUNT(D907,J907,K907,L907,M907,O907)&gt;0,AVERAGE(D907,J907,K907,L907,M907,O907),"")</f>
        <v/>
      </c>
      <c r="W907" s="3">
        <f>IF(COUNT(C907,F907,G907,N907,Q907)&gt;0,AVERAGE(C907,F907,G907,N907,Q907),"")</f>
        <v/>
      </c>
      <c r="X907" s="3">
        <f>IF(COUNT(B907,E907,H907,I907,P907,R907,S907)&gt;0,AVERAGE(B907,E907,H907,I907,P907,R907,S907),"")</f>
        <v/>
      </c>
      <c r="Y907" s="3" t="n"/>
      <c r="AJ907">
        <f>IFERROR(AVERAGEIF($A$4:$A$1004,AI907,$V$4:$V$1004),"")</f>
        <v/>
      </c>
      <c r="AK907">
        <f>IFERROR(AVERAGEIF($A$4:$A$1004,AI907,$W$4:$W$1004),"")</f>
        <v/>
      </c>
      <c r="AL907">
        <f>IFERROR(AVERAGEIF($A$4:$A$1004,AI907,$X$4:$X$1004),"")</f>
        <v/>
      </c>
    </row>
    <row r="908">
      <c r="A908" s="1">
        <f>IF(Data!A908&gt;0,Data!A908,"")</f>
        <v/>
      </c>
      <c r="B908" s="1">
        <f>IF(Data!B908&gt;0,Data!B908,"")</f>
        <v/>
      </c>
      <c r="C908" s="1">
        <f>IF(Data!C908&gt;0,Data!C908,"")</f>
        <v/>
      </c>
      <c r="D908" s="1">
        <f>IF(Data!D908&gt;0,Data!D908,"")</f>
        <v/>
      </c>
      <c r="E908" s="1">
        <f>IF(Data!E908&gt;0,Data!E908,"")</f>
        <v/>
      </c>
      <c r="F908" s="1">
        <f>IF(Data!F908&gt;0,Data!F908,"")</f>
        <v/>
      </c>
      <c r="G908" s="1">
        <f>IF(Data!G908&gt;0,Data!G908,"")</f>
        <v/>
      </c>
      <c r="H908" s="1">
        <f>IF(Data!H908&gt;0,Data!H908,"")</f>
        <v/>
      </c>
      <c r="I908" s="1">
        <f>IF(Data!I908&gt;0,Data!I908,"")</f>
        <v/>
      </c>
      <c r="J908" s="1">
        <f>IF(Data!J908&gt;0,Data!J908,"")</f>
        <v/>
      </c>
      <c r="K908" s="1">
        <f>IF(Data!K908&gt;0,Data!K908,"")</f>
        <v/>
      </c>
      <c r="L908" s="1">
        <f>IF(Data!L908&gt;0,Data!L908,"")</f>
        <v/>
      </c>
      <c r="M908" s="1">
        <f>IF(Data!M908&gt;0,Data!M908,"")</f>
        <v/>
      </c>
      <c r="N908" s="1">
        <f>IF(Data!N908&gt;0,Data!N908,"")</f>
        <v/>
      </c>
      <c r="O908" s="1">
        <f>IF(Data!O908&gt;0,Data!O908,"")</f>
        <v/>
      </c>
      <c r="P908" s="1">
        <f>IF(Data!P908&gt;0,Data!P908,"")</f>
        <v/>
      </c>
      <c r="Q908" s="1">
        <f>IF(Data!Q908&gt;0,Data!Q908,"")</f>
        <v/>
      </c>
      <c r="R908" s="1">
        <f>IF(Data!R908&gt;0,Data!R908,"")</f>
        <v/>
      </c>
      <c r="S908" s="1">
        <f>IF(Data!S908&gt;0,Data!S908,"")</f>
        <v/>
      </c>
      <c r="V908" s="3">
        <f>IF(COUNT(D908,J908,K908,L908,M908,O908)&gt;0,AVERAGE(D908,J908,K908,L908,M908,O908),"")</f>
        <v/>
      </c>
      <c r="W908" s="3">
        <f>IF(COUNT(C908,F908,G908,N908,Q908)&gt;0,AVERAGE(C908,F908,G908,N908,Q908),"")</f>
        <v/>
      </c>
      <c r="X908" s="3">
        <f>IF(COUNT(B908,E908,H908,I908,P908,R908,S908)&gt;0,AVERAGE(B908,E908,H908,I908,P908,R908,S908),"")</f>
        <v/>
      </c>
      <c r="Y908" s="3" t="n"/>
      <c r="AJ908">
        <f>IFERROR(AVERAGEIF($A$4:$A$1004,AI908,$V$4:$V$1004),"")</f>
        <v/>
      </c>
      <c r="AK908">
        <f>IFERROR(AVERAGEIF($A$4:$A$1004,AI908,$W$4:$W$1004),"")</f>
        <v/>
      </c>
      <c r="AL908">
        <f>IFERROR(AVERAGEIF($A$4:$A$1004,AI908,$X$4:$X$1004),"")</f>
        <v/>
      </c>
    </row>
    <row r="909">
      <c r="A909" s="1">
        <f>IF(Data!A909&gt;0,Data!A909,"")</f>
        <v/>
      </c>
      <c r="B909" s="1">
        <f>IF(Data!B909&gt;0,Data!B909,"")</f>
        <v/>
      </c>
      <c r="C909" s="1">
        <f>IF(Data!C909&gt;0,Data!C909,"")</f>
        <v/>
      </c>
      <c r="D909" s="1">
        <f>IF(Data!D909&gt;0,Data!D909,"")</f>
        <v/>
      </c>
      <c r="E909" s="1">
        <f>IF(Data!E909&gt;0,Data!E909,"")</f>
        <v/>
      </c>
      <c r="F909" s="1">
        <f>IF(Data!F909&gt;0,Data!F909,"")</f>
        <v/>
      </c>
      <c r="G909" s="1">
        <f>IF(Data!G909&gt;0,Data!G909,"")</f>
        <v/>
      </c>
      <c r="H909" s="1">
        <f>IF(Data!H909&gt;0,Data!H909,"")</f>
        <v/>
      </c>
      <c r="I909" s="1">
        <f>IF(Data!I909&gt;0,Data!I909,"")</f>
        <v/>
      </c>
      <c r="J909" s="1">
        <f>IF(Data!J909&gt;0,Data!J909,"")</f>
        <v/>
      </c>
      <c r="K909" s="1">
        <f>IF(Data!K909&gt;0,Data!K909,"")</f>
        <v/>
      </c>
      <c r="L909" s="1">
        <f>IF(Data!L909&gt;0,Data!L909,"")</f>
        <v/>
      </c>
      <c r="M909" s="1">
        <f>IF(Data!M909&gt;0,Data!M909,"")</f>
        <v/>
      </c>
      <c r="N909" s="1">
        <f>IF(Data!N909&gt;0,Data!N909,"")</f>
        <v/>
      </c>
      <c r="O909" s="1">
        <f>IF(Data!O909&gt;0,Data!O909,"")</f>
        <v/>
      </c>
      <c r="P909" s="1">
        <f>IF(Data!P909&gt;0,Data!P909,"")</f>
        <v/>
      </c>
      <c r="Q909" s="1">
        <f>IF(Data!Q909&gt;0,Data!Q909,"")</f>
        <v/>
      </c>
      <c r="R909" s="1">
        <f>IF(Data!R909&gt;0,Data!R909,"")</f>
        <v/>
      </c>
      <c r="S909" s="1">
        <f>IF(Data!S909&gt;0,Data!S909,"")</f>
        <v/>
      </c>
      <c r="V909" s="3">
        <f>IF(COUNT(D909,J909,K909,L909,M909,O909)&gt;0,AVERAGE(D909,J909,K909,L909,M909,O909),"")</f>
        <v/>
      </c>
      <c r="W909" s="3">
        <f>IF(COUNT(C909,F909,G909,N909,Q909)&gt;0,AVERAGE(C909,F909,G909,N909,Q909),"")</f>
        <v/>
      </c>
      <c r="X909" s="3">
        <f>IF(COUNT(B909,E909,H909,I909,P909,R909,S909)&gt;0,AVERAGE(B909,E909,H909,I909,P909,R909,S909),"")</f>
        <v/>
      </c>
      <c r="Y909" s="3" t="n"/>
      <c r="AJ909">
        <f>IFERROR(AVERAGEIF($A$4:$A$1004,AI909,$V$4:$V$1004),"")</f>
        <v/>
      </c>
      <c r="AK909">
        <f>IFERROR(AVERAGEIF($A$4:$A$1004,AI909,$W$4:$W$1004),"")</f>
        <v/>
      </c>
      <c r="AL909">
        <f>IFERROR(AVERAGEIF($A$4:$A$1004,AI909,$X$4:$X$1004),"")</f>
        <v/>
      </c>
    </row>
    <row r="910">
      <c r="A910" s="1">
        <f>IF(Data!A910&gt;0,Data!A910,"")</f>
        <v/>
      </c>
      <c r="B910" s="1">
        <f>IF(Data!B910&gt;0,Data!B910,"")</f>
        <v/>
      </c>
      <c r="C910" s="1">
        <f>IF(Data!C910&gt;0,Data!C910,"")</f>
        <v/>
      </c>
      <c r="D910" s="1">
        <f>IF(Data!D910&gt;0,Data!D910,"")</f>
        <v/>
      </c>
      <c r="E910" s="1">
        <f>IF(Data!E910&gt;0,Data!E910,"")</f>
        <v/>
      </c>
      <c r="F910" s="1">
        <f>IF(Data!F910&gt;0,Data!F910,"")</f>
        <v/>
      </c>
      <c r="G910" s="1">
        <f>IF(Data!G910&gt;0,Data!G910,"")</f>
        <v/>
      </c>
      <c r="H910" s="1">
        <f>IF(Data!H910&gt;0,Data!H910,"")</f>
        <v/>
      </c>
      <c r="I910" s="1">
        <f>IF(Data!I910&gt;0,Data!I910,"")</f>
        <v/>
      </c>
      <c r="J910" s="1">
        <f>IF(Data!J910&gt;0,Data!J910,"")</f>
        <v/>
      </c>
      <c r="K910" s="1">
        <f>IF(Data!K910&gt;0,Data!K910,"")</f>
        <v/>
      </c>
      <c r="L910" s="1">
        <f>IF(Data!L910&gt;0,Data!L910,"")</f>
        <v/>
      </c>
      <c r="M910" s="1">
        <f>IF(Data!M910&gt;0,Data!M910,"")</f>
        <v/>
      </c>
      <c r="N910" s="1">
        <f>IF(Data!N910&gt;0,Data!N910,"")</f>
        <v/>
      </c>
      <c r="O910" s="1">
        <f>IF(Data!O910&gt;0,Data!O910,"")</f>
        <v/>
      </c>
      <c r="P910" s="1">
        <f>IF(Data!P910&gt;0,Data!P910,"")</f>
        <v/>
      </c>
      <c r="Q910" s="1">
        <f>IF(Data!Q910&gt;0,Data!Q910,"")</f>
        <v/>
      </c>
      <c r="R910" s="1">
        <f>IF(Data!R910&gt;0,Data!R910,"")</f>
        <v/>
      </c>
      <c r="S910" s="1">
        <f>IF(Data!S910&gt;0,Data!S910,"")</f>
        <v/>
      </c>
      <c r="V910" s="3">
        <f>IF(COUNT(D910,J910,K910,L910,M910,O910)&gt;0,AVERAGE(D910,J910,K910,L910,M910,O910),"")</f>
        <v/>
      </c>
      <c r="W910" s="3">
        <f>IF(COUNT(C910,F910,G910,N910,Q910)&gt;0,AVERAGE(C910,F910,G910,N910,Q910),"")</f>
        <v/>
      </c>
      <c r="X910" s="3">
        <f>IF(COUNT(B910,E910,H910,I910,P910,R910,S910)&gt;0,AVERAGE(B910,E910,H910,I910,P910,R910,S910),"")</f>
        <v/>
      </c>
      <c r="Y910" s="3" t="n"/>
      <c r="AJ910">
        <f>IFERROR(AVERAGEIF($A$4:$A$1004,AI910,$V$4:$V$1004),"")</f>
        <v/>
      </c>
      <c r="AK910">
        <f>IFERROR(AVERAGEIF($A$4:$A$1004,AI910,$W$4:$W$1004),"")</f>
        <v/>
      </c>
      <c r="AL910">
        <f>IFERROR(AVERAGEIF($A$4:$A$1004,AI910,$X$4:$X$1004),"")</f>
        <v/>
      </c>
    </row>
    <row r="911">
      <c r="A911" s="1">
        <f>IF(Data!A911&gt;0,Data!A911,"")</f>
        <v/>
      </c>
      <c r="B911" s="1">
        <f>IF(Data!B911&gt;0,Data!B911,"")</f>
        <v/>
      </c>
      <c r="C911" s="1">
        <f>IF(Data!C911&gt;0,Data!C911,"")</f>
        <v/>
      </c>
      <c r="D911" s="1">
        <f>IF(Data!D911&gt;0,Data!D911,"")</f>
        <v/>
      </c>
      <c r="E911" s="1">
        <f>IF(Data!E911&gt;0,Data!E911,"")</f>
        <v/>
      </c>
      <c r="F911" s="1">
        <f>IF(Data!F911&gt;0,Data!F911,"")</f>
        <v/>
      </c>
      <c r="G911" s="1">
        <f>IF(Data!G911&gt;0,Data!G911,"")</f>
        <v/>
      </c>
      <c r="H911" s="1">
        <f>IF(Data!H911&gt;0,Data!H911,"")</f>
        <v/>
      </c>
      <c r="I911" s="1">
        <f>IF(Data!I911&gt;0,Data!I911,"")</f>
        <v/>
      </c>
      <c r="J911" s="1">
        <f>IF(Data!J911&gt;0,Data!J911,"")</f>
        <v/>
      </c>
      <c r="K911" s="1">
        <f>IF(Data!K911&gt;0,Data!K911,"")</f>
        <v/>
      </c>
      <c r="L911" s="1">
        <f>IF(Data!L911&gt;0,Data!L911,"")</f>
        <v/>
      </c>
      <c r="M911" s="1">
        <f>IF(Data!M911&gt;0,Data!M911,"")</f>
        <v/>
      </c>
      <c r="N911" s="1">
        <f>IF(Data!N911&gt;0,Data!N911,"")</f>
        <v/>
      </c>
      <c r="O911" s="1">
        <f>IF(Data!O911&gt;0,Data!O911,"")</f>
        <v/>
      </c>
      <c r="P911" s="1">
        <f>IF(Data!P911&gt;0,Data!P911,"")</f>
        <v/>
      </c>
      <c r="Q911" s="1">
        <f>IF(Data!Q911&gt;0,Data!Q911,"")</f>
        <v/>
      </c>
      <c r="R911" s="1">
        <f>IF(Data!R911&gt;0,Data!R911,"")</f>
        <v/>
      </c>
      <c r="S911" s="1">
        <f>IF(Data!S911&gt;0,Data!S911,"")</f>
        <v/>
      </c>
      <c r="V911" s="3">
        <f>IF(COUNT(D911,J911,K911,L911,M911,O911)&gt;0,AVERAGE(D911,J911,K911,L911,M911,O911),"")</f>
        <v/>
      </c>
      <c r="W911" s="3">
        <f>IF(COUNT(C911,F911,G911,N911,Q911)&gt;0,AVERAGE(C911,F911,G911,N911,Q911),"")</f>
        <v/>
      </c>
      <c r="X911" s="3">
        <f>IF(COUNT(B911,E911,H911,I911,P911,R911,S911)&gt;0,AVERAGE(B911,E911,H911,I911,P911,R911,S911),"")</f>
        <v/>
      </c>
      <c r="Y911" s="3" t="n"/>
      <c r="AJ911">
        <f>IFERROR(AVERAGEIF($A$4:$A$1004,AI911,$V$4:$V$1004),"")</f>
        <v/>
      </c>
      <c r="AK911">
        <f>IFERROR(AVERAGEIF($A$4:$A$1004,AI911,$W$4:$W$1004),"")</f>
        <v/>
      </c>
      <c r="AL911">
        <f>IFERROR(AVERAGEIF($A$4:$A$1004,AI911,$X$4:$X$1004),"")</f>
        <v/>
      </c>
    </row>
    <row r="912">
      <c r="A912" s="1">
        <f>IF(Data!A912&gt;0,Data!A912,"")</f>
        <v/>
      </c>
      <c r="B912" s="1">
        <f>IF(Data!B912&gt;0,Data!B912,"")</f>
        <v/>
      </c>
      <c r="C912" s="1">
        <f>IF(Data!C912&gt;0,Data!C912,"")</f>
        <v/>
      </c>
      <c r="D912" s="1">
        <f>IF(Data!D912&gt;0,Data!D912,"")</f>
        <v/>
      </c>
      <c r="E912" s="1">
        <f>IF(Data!E912&gt;0,Data!E912,"")</f>
        <v/>
      </c>
      <c r="F912" s="1">
        <f>IF(Data!F912&gt;0,Data!F912,"")</f>
        <v/>
      </c>
      <c r="G912" s="1">
        <f>IF(Data!G912&gt;0,Data!G912,"")</f>
        <v/>
      </c>
      <c r="H912" s="1">
        <f>IF(Data!H912&gt;0,Data!H912,"")</f>
        <v/>
      </c>
      <c r="I912" s="1">
        <f>IF(Data!I912&gt;0,Data!I912,"")</f>
        <v/>
      </c>
      <c r="J912" s="1">
        <f>IF(Data!J912&gt;0,Data!J912,"")</f>
        <v/>
      </c>
      <c r="K912" s="1">
        <f>IF(Data!K912&gt;0,Data!K912,"")</f>
        <v/>
      </c>
      <c r="L912" s="1">
        <f>IF(Data!L912&gt;0,Data!L912,"")</f>
        <v/>
      </c>
      <c r="M912" s="1">
        <f>IF(Data!M912&gt;0,Data!M912,"")</f>
        <v/>
      </c>
      <c r="N912" s="1">
        <f>IF(Data!N912&gt;0,Data!N912,"")</f>
        <v/>
      </c>
      <c r="O912" s="1">
        <f>IF(Data!O912&gt;0,Data!O912,"")</f>
        <v/>
      </c>
      <c r="P912" s="1">
        <f>IF(Data!P912&gt;0,Data!P912,"")</f>
        <v/>
      </c>
      <c r="Q912" s="1">
        <f>IF(Data!Q912&gt;0,Data!Q912,"")</f>
        <v/>
      </c>
      <c r="R912" s="1">
        <f>IF(Data!R912&gt;0,Data!R912,"")</f>
        <v/>
      </c>
      <c r="S912" s="1">
        <f>IF(Data!S912&gt;0,Data!S912,"")</f>
        <v/>
      </c>
      <c r="V912" s="3">
        <f>IF(COUNT(D912,J912,K912,L912,M912,O912)&gt;0,AVERAGE(D912,J912,K912,L912,M912,O912),"")</f>
        <v/>
      </c>
      <c r="W912" s="3">
        <f>IF(COUNT(C912,F912,G912,N912,Q912)&gt;0,AVERAGE(C912,F912,G912,N912,Q912),"")</f>
        <v/>
      </c>
      <c r="X912" s="3">
        <f>IF(COUNT(B912,E912,H912,I912,P912,R912,S912)&gt;0,AVERAGE(B912,E912,H912,I912,P912,R912,S912),"")</f>
        <v/>
      </c>
      <c r="Y912" s="3" t="n"/>
      <c r="AJ912">
        <f>IFERROR(AVERAGEIF($A$4:$A$1004,AI912,$V$4:$V$1004),"")</f>
        <v/>
      </c>
      <c r="AK912">
        <f>IFERROR(AVERAGEIF($A$4:$A$1004,AI912,$W$4:$W$1004),"")</f>
        <v/>
      </c>
      <c r="AL912">
        <f>IFERROR(AVERAGEIF($A$4:$A$1004,AI912,$X$4:$X$1004),"")</f>
        <v/>
      </c>
    </row>
    <row r="913">
      <c r="A913" s="1">
        <f>IF(Data!A913&gt;0,Data!A913,"")</f>
        <v/>
      </c>
      <c r="B913" s="1">
        <f>IF(Data!B913&gt;0,Data!B913,"")</f>
        <v/>
      </c>
      <c r="C913" s="1">
        <f>IF(Data!C913&gt;0,Data!C913,"")</f>
        <v/>
      </c>
      <c r="D913" s="1">
        <f>IF(Data!D913&gt;0,Data!D913,"")</f>
        <v/>
      </c>
      <c r="E913" s="1">
        <f>IF(Data!E913&gt;0,Data!E913,"")</f>
        <v/>
      </c>
      <c r="F913" s="1">
        <f>IF(Data!F913&gt;0,Data!F913,"")</f>
        <v/>
      </c>
      <c r="G913" s="1">
        <f>IF(Data!G913&gt;0,Data!G913,"")</f>
        <v/>
      </c>
      <c r="H913" s="1">
        <f>IF(Data!H913&gt;0,Data!H913,"")</f>
        <v/>
      </c>
      <c r="I913" s="1">
        <f>IF(Data!I913&gt;0,Data!I913,"")</f>
        <v/>
      </c>
      <c r="J913" s="1">
        <f>IF(Data!J913&gt;0,Data!J913,"")</f>
        <v/>
      </c>
      <c r="K913" s="1">
        <f>IF(Data!K913&gt;0,Data!K913,"")</f>
        <v/>
      </c>
      <c r="L913" s="1">
        <f>IF(Data!L913&gt;0,Data!L913,"")</f>
        <v/>
      </c>
      <c r="M913" s="1">
        <f>IF(Data!M913&gt;0,Data!M913,"")</f>
        <v/>
      </c>
      <c r="N913" s="1">
        <f>IF(Data!N913&gt;0,Data!N913,"")</f>
        <v/>
      </c>
      <c r="O913" s="1">
        <f>IF(Data!O913&gt;0,Data!O913,"")</f>
        <v/>
      </c>
      <c r="P913" s="1">
        <f>IF(Data!P913&gt;0,Data!P913,"")</f>
        <v/>
      </c>
      <c r="Q913" s="1">
        <f>IF(Data!Q913&gt;0,Data!Q913,"")</f>
        <v/>
      </c>
      <c r="R913" s="1">
        <f>IF(Data!R913&gt;0,Data!R913,"")</f>
        <v/>
      </c>
      <c r="S913" s="1">
        <f>IF(Data!S913&gt;0,Data!S913,"")</f>
        <v/>
      </c>
      <c r="V913" s="3">
        <f>IF(COUNT(D913,J913,K913,L913,M913,O913)&gt;0,AVERAGE(D913,J913,K913,L913,M913,O913),"")</f>
        <v/>
      </c>
      <c r="W913" s="3">
        <f>IF(COUNT(C913,F913,G913,N913,Q913)&gt;0,AVERAGE(C913,F913,G913,N913,Q913),"")</f>
        <v/>
      </c>
      <c r="X913" s="3">
        <f>IF(COUNT(B913,E913,H913,I913,P913,R913,S913)&gt;0,AVERAGE(B913,E913,H913,I913,P913,R913,S913),"")</f>
        <v/>
      </c>
      <c r="Y913" s="3" t="n"/>
      <c r="AJ913">
        <f>IFERROR(AVERAGEIF($A$4:$A$1004,AI913,$V$4:$V$1004),"")</f>
        <v/>
      </c>
      <c r="AK913">
        <f>IFERROR(AVERAGEIF($A$4:$A$1004,AI913,$W$4:$W$1004),"")</f>
        <v/>
      </c>
      <c r="AL913">
        <f>IFERROR(AVERAGEIF($A$4:$A$1004,AI913,$X$4:$X$1004),"")</f>
        <v/>
      </c>
    </row>
    <row r="914">
      <c r="A914" s="1">
        <f>IF(Data!A914&gt;0,Data!A914,"")</f>
        <v/>
      </c>
      <c r="B914" s="1">
        <f>IF(Data!B914&gt;0,Data!B914,"")</f>
        <v/>
      </c>
      <c r="C914" s="1">
        <f>IF(Data!C914&gt;0,Data!C914,"")</f>
        <v/>
      </c>
      <c r="D914" s="1">
        <f>IF(Data!D914&gt;0,Data!D914,"")</f>
        <v/>
      </c>
      <c r="E914" s="1">
        <f>IF(Data!E914&gt;0,Data!E914,"")</f>
        <v/>
      </c>
      <c r="F914" s="1">
        <f>IF(Data!F914&gt;0,Data!F914,"")</f>
        <v/>
      </c>
      <c r="G914" s="1">
        <f>IF(Data!G914&gt;0,Data!G914,"")</f>
        <v/>
      </c>
      <c r="H914" s="1">
        <f>IF(Data!H914&gt;0,Data!H914,"")</f>
        <v/>
      </c>
      <c r="I914" s="1">
        <f>IF(Data!I914&gt;0,Data!I914,"")</f>
        <v/>
      </c>
      <c r="J914" s="1">
        <f>IF(Data!J914&gt;0,Data!J914,"")</f>
        <v/>
      </c>
      <c r="K914" s="1">
        <f>IF(Data!K914&gt;0,Data!K914,"")</f>
        <v/>
      </c>
      <c r="L914" s="1">
        <f>IF(Data!L914&gt;0,Data!L914,"")</f>
        <v/>
      </c>
      <c r="M914" s="1">
        <f>IF(Data!M914&gt;0,Data!M914,"")</f>
        <v/>
      </c>
      <c r="N914" s="1">
        <f>IF(Data!N914&gt;0,Data!N914,"")</f>
        <v/>
      </c>
      <c r="O914" s="1">
        <f>IF(Data!O914&gt;0,Data!O914,"")</f>
        <v/>
      </c>
      <c r="P914" s="1">
        <f>IF(Data!P914&gt;0,Data!P914,"")</f>
        <v/>
      </c>
      <c r="Q914" s="1">
        <f>IF(Data!Q914&gt;0,Data!Q914,"")</f>
        <v/>
      </c>
      <c r="R914" s="1">
        <f>IF(Data!R914&gt;0,Data!R914,"")</f>
        <v/>
      </c>
      <c r="S914" s="1">
        <f>IF(Data!S914&gt;0,Data!S914,"")</f>
        <v/>
      </c>
      <c r="V914" s="3">
        <f>IF(COUNT(D914,J914,K914,L914,M914,O914)&gt;0,AVERAGE(D914,J914,K914,L914,M914,O914),"")</f>
        <v/>
      </c>
      <c r="W914" s="3">
        <f>IF(COUNT(C914,F914,G914,N914,Q914)&gt;0,AVERAGE(C914,F914,G914,N914,Q914),"")</f>
        <v/>
      </c>
      <c r="X914" s="3">
        <f>IF(COUNT(B914,E914,H914,I914,P914,R914,S914)&gt;0,AVERAGE(B914,E914,H914,I914,P914,R914,S914),"")</f>
        <v/>
      </c>
      <c r="Y914" s="3" t="n"/>
      <c r="AJ914">
        <f>IFERROR(AVERAGEIF($A$4:$A$1004,AI914,$V$4:$V$1004),"")</f>
        <v/>
      </c>
      <c r="AK914">
        <f>IFERROR(AVERAGEIF($A$4:$A$1004,AI914,$W$4:$W$1004),"")</f>
        <v/>
      </c>
      <c r="AL914">
        <f>IFERROR(AVERAGEIF($A$4:$A$1004,AI914,$X$4:$X$1004),"")</f>
        <v/>
      </c>
    </row>
    <row r="915">
      <c r="A915" s="1">
        <f>IF(Data!A915&gt;0,Data!A915,"")</f>
        <v/>
      </c>
      <c r="B915" s="1">
        <f>IF(Data!B915&gt;0,Data!B915,"")</f>
        <v/>
      </c>
      <c r="C915" s="1">
        <f>IF(Data!C915&gt;0,Data!C915,"")</f>
        <v/>
      </c>
      <c r="D915" s="1">
        <f>IF(Data!D915&gt;0,Data!D915,"")</f>
        <v/>
      </c>
      <c r="E915" s="1">
        <f>IF(Data!E915&gt;0,Data!E915,"")</f>
        <v/>
      </c>
      <c r="F915" s="1">
        <f>IF(Data!F915&gt;0,Data!F915,"")</f>
        <v/>
      </c>
      <c r="G915" s="1">
        <f>IF(Data!G915&gt;0,Data!G915,"")</f>
        <v/>
      </c>
      <c r="H915" s="1">
        <f>IF(Data!H915&gt;0,Data!H915,"")</f>
        <v/>
      </c>
      <c r="I915" s="1">
        <f>IF(Data!I915&gt;0,Data!I915,"")</f>
        <v/>
      </c>
      <c r="J915" s="1">
        <f>IF(Data!J915&gt;0,Data!J915,"")</f>
        <v/>
      </c>
      <c r="K915" s="1">
        <f>IF(Data!K915&gt;0,Data!K915,"")</f>
        <v/>
      </c>
      <c r="L915" s="1">
        <f>IF(Data!L915&gt;0,Data!L915,"")</f>
        <v/>
      </c>
      <c r="M915" s="1">
        <f>IF(Data!M915&gt;0,Data!M915,"")</f>
        <v/>
      </c>
      <c r="N915" s="1">
        <f>IF(Data!N915&gt;0,Data!N915,"")</f>
        <v/>
      </c>
      <c r="O915" s="1">
        <f>IF(Data!O915&gt;0,Data!O915,"")</f>
        <v/>
      </c>
      <c r="P915" s="1">
        <f>IF(Data!P915&gt;0,Data!P915,"")</f>
        <v/>
      </c>
      <c r="Q915" s="1">
        <f>IF(Data!Q915&gt;0,Data!Q915,"")</f>
        <v/>
      </c>
      <c r="R915" s="1">
        <f>IF(Data!R915&gt;0,Data!R915,"")</f>
        <v/>
      </c>
      <c r="S915" s="1">
        <f>IF(Data!S915&gt;0,Data!S915,"")</f>
        <v/>
      </c>
      <c r="V915" s="3">
        <f>IF(COUNT(D915,J915,K915,L915,M915,O915)&gt;0,AVERAGE(D915,J915,K915,L915,M915,O915),"")</f>
        <v/>
      </c>
      <c r="W915" s="3">
        <f>IF(COUNT(C915,F915,G915,N915,Q915)&gt;0,AVERAGE(C915,F915,G915,N915,Q915),"")</f>
        <v/>
      </c>
      <c r="X915" s="3">
        <f>IF(COUNT(B915,E915,H915,I915,P915,R915,S915)&gt;0,AVERAGE(B915,E915,H915,I915,P915,R915,S915),"")</f>
        <v/>
      </c>
      <c r="Y915" s="3" t="n"/>
      <c r="AJ915">
        <f>IFERROR(AVERAGEIF($A$4:$A$1004,AI915,$V$4:$V$1004),"")</f>
        <v/>
      </c>
      <c r="AK915">
        <f>IFERROR(AVERAGEIF($A$4:$A$1004,AI915,$W$4:$W$1004),"")</f>
        <v/>
      </c>
      <c r="AL915">
        <f>IFERROR(AVERAGEIF($A$4:$A$1004,AI915,$X$4:$X$1004),"")</f>
        <v/>
      </c>
    </row>
    <row r="916">
      <c r="A916" s="1">
        <f>IF(Data!A916&gt;0,Data!A916,"")</f>
        <v/>
      </c>
      <c r="B916" s="1">
        <f>IF(Data!B916&gt;0,Data!B916,"")</f>
        <v/>
      </c>
      <c r="C916" s="1">
        <f>IF(Data!C916&gt;0,Data!C916,"")</f>
        <v/>
      </c>
      <c r="D916" s="1">
        <f>IF(Data!D916&gt;0,Data!D916,"")</f>
        <v/>
      </c>
      <c r="E916" s="1">
        <f>IF(Data!E916&gt;0,Data!E916,"")</f>
        <v/>
      </c>
      <c r="F916" s="1">
        <f>IF(Data!F916&gt;0,Data!F916,"")</f>
        <v/>
      </c>
      <c r="G916" s="1">
        <f>IF(Data!G916&gt;0,Data!G916,"")</f>
        <v/>
      </c>
      <c r="H916" s="1">
        <f>IF(Data!H916&gt;0,Data!H916,"")</f>
        <v/>
      </c>
      <c r="I916" s="1">
        <f>IF(Data!I916&gt;0,Data!I916,"")</f>
        <v/>
      </c>
      <c r="J916" s="1">
        <f>IF(Data!J916&gt;0,Data!J916,"")</f>
        <v/>
      </c>
      <c r="K916" s="1">
        <f>IF(Data!K916&gt;0,Data!K916,"")</f>
        <v/>
      </c>
      <c r="L916" s="1">
        <f>IF(Data!L916&gt;0,Data!L916,"")</f>
        <v/>
      </c>
      <c r="M916" s="1">
        <f>IF(Data!M916&gt;0,Data!M916,"")</f>
        <v/>
      </c>
      <c r="N916" s="1">
        <f>IF(Data!N916&gt;0,Data!N916,"")</f>
        <v/>
      </c>
      <c r="O916" s="1">
        <f>IF(Data!O916&gt;0,Data!O916,"")</f>
        <v/>
      </c>
      <c r="P916" s="1">
        <f>IF(Data!P916&gt;0,Data!P916,"")</f>
        <v/>
      </c>
      <c r="Q916" s="1">
        <f>IF(Data!Q916&gt;0,Data!Q916,"")</f>
        <v/>
      </c>
      <c r="R916" s="1">
        <f>IF(Data!R916&gt;0,Data!R916,"")</f>
        <v/>
      </c>
      <c r="S916" s="1">
        <f>IF(Data!S916&gt;0,Data!S916,"")</f>
        <v/>
      </c>
      <c r="V916" s="3">
        <f>IF(COUNT(D916,J916,K916,L916,M916,O916)&gt;0,AVERAGE(D916,J916,K916,L916,M916,O916),"")</f>
        <v/>
      </c>
      <c r="W916" s="3">
        <f>IF(COUNT(C916,F916,G916,N916,Q916)&gt;0,AVERAGE(C916,F916,G916,N916,Q916),"")</f>
        <v/>
      </c>
      <c r="X916" s="3">
        <f>IF(COUNT(B916,E916,H916,I916,P916,R916,S916)&gt;0,AVERAGE(B916,E916,H916,I916,P916,R916,S916),"")</f>
        <v/>
      </c>
      <c r="Y916" s="3" t="n"/>
      <c r="AJ916">
        <f>IFERROR(AVERAGEIF($A$4:$A$1004,AI916,$V$4:$V$1004),"")</f>
        <v/>
      </c>
      <c r="AK916">
        <f>IFERROR(AVERAGEIF($A$4:$A$1004,AI916,$W$4:$W$1004),"")</f>
        <v/>
      </c>
      <c r="AL916">
        <f>IFERROR(AVERAGEIF($A$4:$A$1004,AI916,$X$4:$X$1004),"")</f>
        <v/>
      </c>
    </row>
    <row r="917">
      <c r="A917" s="1">
        <f>IF(Data!A917&gt;0,Data!A917,"")</f>
        <v/>
      </c>
      <c r="B917" s="1">
        <f>IF(Data!B917&gt;0,Data!B917,"")</f>
        <v/>
      </c>
      <c r="C917" s="1">
        <f>IF(Data!C917&gt;0,Data!C917,"")</f>
        <v/>
      </c>
      <c r="D917" s="1">
        <f>IF(Data!D917&gt;0,Data!D917,"")</f>
        <v/>
      </c>
      <c r="E917" s="1">
        <f>IF(Data!E917&gt;0,Data!E917,"")</f>
        <v/>
      </c>
      <c r="F917" s="1">
        <f>IF(Data!F917&gt;0,Data!F917,"")</f>
        <v/>
      </c>
      <c r="G917" s="1">
        <f>IF(Data!G917&gt;0,Data!G917,"")</f>
        <v/>
      </c>
      <c r="H917" s="1">
        <f>IF(Data!H917&gt;0,Data!H917,"")</f>
        <v/>
      </c>
      <c r="I917" s="1">
        <f>IF(Data!I917&gt;0,Data!I917,"")</f>
        <v/>
      </c>
      <c r="J917" s="1">
        <f>IF(Data!J917&gt;0,Data!J917,"")</f>
        <v/>
      </c>
      <c r="K917" s="1">
        <f>IF(Data!K917&gt;0,Data!K917,"")</f>
        <v/>
      </c>
      <c r="L917" s="1">
        <f>IF(Data!L917&gt;0,Data!L917,"")</f>
        <v/>
      </c>
      <c r="M917" s="1">
        <f>IF(Data!M917&gt;0,Data!M917,"")</f>
        <v/>
      </c>
      <c r="N917" s="1">
        <f>IF(Data!N917&gt;0,Data!N917,"")</f>
        <v/>
      </c>
      <c r="O917" s="1">
        <f>IF(Data!O917&gt;0,Data!O917,"")</f>
        <v/>
      </c>
      <c r="P917" s="1">
        <f>IF(Data!P917&gt;0,Data!P917,"")</f>
        <v/>
      </c>
      <c r="Q917" s="1">
        <f>IF(Data!Q917&gt;0,Data!Q917,"")</f>
        <v/>
      </c>
      <c r="R917" s="1">
        <f>IF(Data!R917&gt;0,Data!R917,"")</f>
        <v/>
      </c>
      <c r="S917" s="1">
        <f>IF(Data!S917&gt;0,Data!S917,"")</f>
        <v/>
      </c>
      <c r="V917" s="3">
        <f>IF(COUNT(D917,J917,K917,L917,M917,O917)&gt;0,AVERAGE(D917,J917,K917,L917,M917,O917),"")</f>
        <v/>
      </c>
      <c r="W917" s="3">
        <f>IF(COUNT(C917,F917,G917,N917,Q917)&gt;0,AVERAGE(C917,F917,G917,N917,Q917),"")</f>
        <v/>
      </c>
      <c r="X917" s="3">
        <f>IF(COUNT(B917,E917,H917,I917,P917,R917,S917)&gt;0,AVERAGE(B917,E917,H917,I917,P917,R917,S917),"")</f>
        <v/>
      </c>
      <c r="Y917" s="3" t="n"/>
      <c r="AJ917">
        <f>IFERROR(AVERAGEIF($A$4:$A$1004,AI917,$V$4:$V$1004),"")</f>
        <v/>
      </c>
      <c r="AK917">
        <f>IFERROR(AVERAGEIF($A$4:$A$1004,AI917,$W$4:$W$1004),"")</f>
        <v/>
      </c>
      <c r="AL917">
        <f>IFERROR(AVERAGEIF($A$4:$A$1004,AI917,$X$4:$X$1004),"")</f>
        <v/>
      </c>
    </row>
    <row r="918">
      <c r="A918" s="1">
        <f>IF(Data!A918&gt;0,Data!A918,"")</f>
        <v/>
      </c>
      <c r="B918" s="1">
        <f>IF(Data!B918&gt;0,Data!B918,"")</f>
        <v/>
      </c>
      <c r="C918" s="1">
        <f>IF(Data!C918&gt;0,Data!C918,"")</f>
        <v/>
      </c>
      <c r="D918" s="1">
        <f>IF(Data!D918&gt;0,Data!D918,"")</f>
        <v/>
      </c>
      <c r="E918" s="1">
        <f>IF(Data!E918&gt;0,Data!E918,"")</f>
        <v/>
      </c>
      <c r="F918" s="1">
        <f>IF(Data!F918&gt;0,Data!F918,"")</f>
        <v/>
      </c>
      <c r="G918" s="1">
        <f>IF(Data!G918&gt;0,Data!G918,"")</f>
        <v/>
      </c>
      <c r="H918" s="1">
        <f>IF(Data!H918&gt;0,Data!H918,"")</f>
        <v/>
      </c>
      <c r="I918" s="1">
        <f>IF(Data!I918&gt;0,Data!I918,"")</f>
        <v/>
      </c>
      <c r="J918" s="1">
        <f>IF(Data!J918&gt;0,Data!J918,"")</f>
        <v/>
      </c>
      <c r="K918" s="1">
        <f>IF(Data!K918&gt;0,Data!K918,"")</f>
        <v/>
      </c>
      <c r="L918" s="1">
        <f>IF(Data!L918&gt;0,Data!L918,"")</f>
        <v/>
      </c>
      <c r="M918" s="1">
        <f>IF(Data!M918&gt;0,Data!M918,"")</f>
        <v/>
      </c>
      <c r="N918" s="1">
        <f>IF(Data!N918&gt;0,Data!N918,"")</f>
        <v/>
      </c>
      <c r="O918" s="1">
        <f>IF(Data!O918&gt;0,Data!O918,"")</f>
        <v/>
      </c>
      <c r="P918" s="1">
        <f>IF(Data!P918&gt;0,Data!P918,"")</f>
        <v/>
      </c>
      <c r="Q918" s="1">
        <f>IF(Data!Q918&gt;0,Data!Q918,"")</f>
        <v/>
      </c>
      <c r="R918" s="1">
        <f>IF(Data!R918&gt;0,Data!R918,"")</f>
        <v/>
      </c>
      <c r="S918" s="1">
        <f>IF(Data!S918&gt;0,Data!S918,"")</f>
        <v/>
      </c>
      <c r="V918" s="3">
        <f>IF(COUNT(D918,J918,K918,L918,M918,O918)&gt;0,AVERAGE(D918,J918,K918,L918,M918,O918),"")</f>
        <v/>
      </c>
      <c r="W918" s="3">
        <f>IF(COUNT(C918,F918,G918,N918,Q918)&gt;0,AVERAGE(C918,F918,G918,N918,Q918),"")</f>
        <v/>
      </c>
      <c r="X918" s="3">
        <f>IF(COUNT(B918,E918,H918,I918,P918,R918,S918)&gt;0,AVERAGE(B918,E918,H918,I918,P918,R918,S918),"")</f>
        <v/>
      </c>
      <c r="Y918" s="3" t="n"/>
      <c r="AJ918">
        <f>IFERROR(AVERAGEIF($A$4:$A$1004,AI918,$V$4:$V$1004),"")</f>
        <v/>
      </c>
      <c r="AK918">
        <f>IFERROR(AVERAGEIF($A$4:$A$1004,AI918,$W$4:$W$1004),"")</f>
        <v/>
      </c>
      <c r="AL918">
        <f>IFERROR(AVERAGEIF($A$4:$A$1004,AI918,$X$4:$X$1004),"")</f>
        <v/>
      </c>
    </row>
    <row r="919">
      <c r="A919" s="1">
        <f>IF(Data!A919&gt;0,Data!A919,"")</f>
        <v/>
      </c>
      <c r="B919" s="1">
        <f>IF(Data!B919&gt;0,Data!B919,"")</f>
        <v/>
      </c>
      <c r="C919" s="1">
        <f>IF(Data!C919&gt;0,Data!C919,"")</f>
        <v/>
      </c>
      <c r="D919" s="1">
        <f>IF(Data!D919&gt;0,Data!D919,"")</f>
        <v/>
      </c>
      <c r="E919" s="1">
        <f>IF(Data!E919&gt;0,Data!E919,"")</f>
        <v/>
      </c>
      <c r="F919" s="1">
        <f>IF(Data!F919&gt;0,Data!F919,"")</f>
        <v/>
      </c>
      <c r="G919" s="1">
        <f>IF(Data!G919&gt;0,Data!G919,"")</f>
        <v/>
      </c>
      <c r="H919" s="1">
        <f>IF(Data!H919&gt;0,Data!H919,"")</f>
        <v/>
      </c>
      <c r="I919" s="1">
        <f>IF(Data!I919&gt;0,Data!I919,"")</f>
        <v/>
      </c>
      <c r="J919" s="1">
        <f>IF(Data!J919&gt;0,Data!J919,"")</f>
        <v/>
      </c>
      <c r="K919" s="1">
        <f>IF(Data!K919&gt;0,Data!K919,"")</f>
        <v/>
      </c>
      <c r="L919" s="1">
        <f>IF(Data!L919&gt;0,Data!L919,"")</f>
        <v/>
      </c>
      <c r="M919" s="1">
        <f>IF(Data!M919&gt;0,Data!M919,"")</f>
        <v/>
      </c>
      <c r="N919" s="1">
        <f>IF(Data!N919&gt;0,Data!N919,"")</f>
        <v/>
      </c>
      <c r="O919" s="1">
        <f>IF(Data!O919&gt;0,Data!O919,"")</f>
        <v/>
      </c>
      <c r="P919" s="1">
        <f>IF(Data!P919&gt;0,Data!P919,"")</f>
        <v/>
      </c>
      <c r="Q919" s="1">
        <f>IF(Data!Q919&gt;0,Data!Q919,"")</f>
        <v/>
      </c>
      <c r="R919" s="1">
        <f>IF(Data!R919&gt;0,Data!R919,"")</f>
        <v/>
      </c>
      <c r="S919" s="1">
        <f>IF(Data!S919&gt;0,Data!S919,"")</f>
        <v/>
      </c>
      <c r="V919" s="3">
        <f>IF(COUNT(D919,J919,K919,L919,M919,O919)&gt;0,AVERAGE(D919,J919,K919,L919,M919,O919),"")</f>
        <v/>
      </c>
      <c r="W919" s="3">
        <f>IF(COUNT(C919,F919,G919,N919,Q919)&gt;0,AVERAGE(C919,F919,G919,N919,Q919),"")</f>
        <v/>
      </c>
      <c r="X919" s="3">
        <f>IF(COUNT(B919,E919,H919,I919,P919,R919,S919)&gt;0,AVERAGE(B919,E919,H919,I919,P919,R919,S919),"")</f>
        <v/>
      </c>
      <c r="Y919" s="3" t="n"/>
      <c r="AJ919">
        <f>IFERROR(AVERAGEIF($A$4:$A$1004,AI919,$V$4:$V$1004),"")</f>
        <v/>
      </c>
      <c r="AK919">
        <f>IFERROR(AVERAGEIF($A$4:$A$1004,AI919,$W$4:$W$1004),"")</f>
        <v/>
      </c>
      <c r="AL919">
        <f>IFERROR(AVERAGEIF($A$4:$A$1004,AI919,$X$4:$X$1004),"")</f>
        <v/>
      </c>
    </row>
    <row r="920">
      <c r="A920" s="1">
        <f>IF(Data!A920&gt;0,Data!A920,"")</f>
        <v/>
      </c>
      <c r="B920" s="1">
        <f>IF(Data!B920&gt;0,Data!B920,"")</f>
        <v/>
      </c>
      <c r="C920" s="1">
        <f>IF(Data!C920&gt;0,Data!C920,"")</f>
        <v/>
      </c>
      <c r="D920" s="1">
        <f>IF(Data!D920&gt;0,Data!D920,"")</f>
        <v/>
      </c>
      <c r="E920" s="1">
        <f>IF(Data!E920&gt;0,Data!E920,"")</f>
        <v/>
      </c>
      <c r="F920" s="1">
        <f>IF(Data!F920&gt;0,Data!F920,"")</f>
        <v/>
      </c>
      <c r="G920" s="1">
        <f>IF(Data!G920&gt;0,Data!G920,"")</f>
        <v/>
      </c>
      <c r="H920" s="1">
        <f>IF(Data!H920&gt;0,Data!H920,"")</f>
        <v/>
      </c>
      <c r="I920" s="1">
        <f>IF(Data!I920&gt;0,Data!I920,"")</f>
        <v/>
      </c>
      <c r="J920" s="1">
        <f>IF(Data!J920&gt;0,Data!J920,"")</f>
        <v/>
      </c>
      <c r="K920" s="1">
        <f>IF(Data!K920&gt;0,Data!K920,"")</f>
        <v/>
      </c>
      <c r="L920" s="1">
        <f>IF(Data!L920&gt;0,Data!L920,"")</f>
        <v/>
      </c>
      <c r="M920" s="1">
        <f>IF(Data!M920&gt;0,Data!M920,"")</f>
        <v/>
      </c>
      <c r="N920" s="1">
        <f>IF(Data!N920&gt;0,Data!N920,"")</f>
        <v/>
      </c>
      <c r="O920" s="1">
        <f>IF(Data!O920&gt;0,Data!O920,"")</f>
        <v/>
      </c>
      <c r="P920" s="1">
        <f>IF(Data!P920&gt;0,Data!P920,"")</f>
        <v/>
      </c>
      <c r="Q920" s="1">
        <f>IF(Data!Q920&gt;0,Data!Q920,"")</f>
        <v/>
      </c>
      <c r="R920" s="1">
        <f>IF(Data!R920&gt;0,Data!R920,"")</f>
        <v/>
      </c>
      <c r="S920" s="1">
        <f>IF(Data!S920&gt;0,Data!S920,"")</f>
        <v/>
      </c>
      <c r="V920" s="3">
        <f>IF(COUNT(D920,J920,K920,L920,M920,O920)&gt;0,AVERAGE(D920,J920,K920,L920,M920,O920),"")</f>
        <v/>
      </c>
      <c r="W920" s="3">
        <f>IF(COUNT(C920,F920,G920,N920,Q920)&gt;0,AVERAGE(C920,F920,G920,N920,Q920),"")</f>
        <v/>
      </c>
      <c r="X920" s="3">
        <f>IF(COUNT(B920,E920,H920,I920,P920,R920,S920)&gt;0,AVERAGE(B920,E920,H920,I920,P920,R920,S920),"")</f>
        <v/>
      </c>
      <c r="Y920" s="3" t="n"/>
      <c r="AJ920">
        <f>IFERROR(AVERAGEIF($A$4:$A$1004,AI920,$V$4:$V$1004),"")</f>
        <v/>
      </c>
      <c r="AK920">
        <f>IFERROR(AVERAGEIF($A$4:$A$1004,AI920,$W$4:$W$1004),"")</f>
        <v/>
      </c>
      <c r="AL920">
        <f>IFERROR(AVERAGEIF($A$4:$A$1004,AI920,$X$4:$X$1004),"")</f>
        <v/>
      </c>
    </row>
    <row r="921">
      <c r="A921" s="1">
        <f>IF(Data!A921&gt;0,Data!A921,"")</f>
        <v/>
      </c>
      <c r="B921" s="1">
        <f>IF(Data!B921&gt;0,Data!B921,"")</f>
        <v/>
      </c>
      <c r="C921" s="1">
        <f>IF(Data!C921&gt;0,Data!C921,"")</f>
        <v/>
      </c>
      <c r="D921" s="1">
        <f>IF(Data!D921&gt;0,Data!D921,"")</f>
        <v/>
      </c>
      <c r="E921" s="1">
        <f>IF(Data!E921&gt;0,Data!E921,"")</f>
        <v/>
      </c>
      <c r="F921" s="1">
        <f>IF(Data!F921&gt;0,Data!F921,"")</f>
        <v/>
      </c>
      <c r="G921" s="1">
        <f>IF(Data!G921&gt;0,Data!G921,"")</f>
        <v/>
      </c>
      <c r="H921" s="1">
        <f>IF(Data!H921&gt;0,Data!H921,"")</f>
        <v/>
      </c>
      <c r="I921" s="1">
        <f>IF(Data!I921&gt;0,Data!I921,"")</f>
        <v/>
      </c>
      <c r="J921" s="1">
        <f>IF(Data!J921&gt;0,Data!J921,"")</f>
        <v/>
      </c>
      <c r="K921" s="1">
        <f>IF(Data!K921&gt;0,Data!K921,"")</f>
        <v/>
      </c>
      <c r="L921" s="1">
        <f>IF(Data!L921&gt;0,Data!L921,"")</f>
        <v/>
      </c>
      <c r="M921" s="1">
        <f>IF(Data!M921&gt;0,Data!M921,"")</f>
        <v/>
      </c>
      <c r="N921" s="1">
        <f>IF(Data!N921&gt;0,Data!N921,"")</f>
        <v/>
      </c>
      <c r="O921" s="1">
        <f>IF(Data!O921&gt;0,Data!O921,"")</f>
        <v/>
      </c>
      <c r="P921" s="1">
        <f>IF(Data!P921&gt;0,Data!P921,"")</f>
        <v/>
      </c>
      <c r="Q921" s="1">
        <f>IF(Data!Q921&gt;0,Data!Q921,"")</f>
        <v/>
      </c>
      <c r="R921" s="1">
        <f>IF(Data!R921&gt;0,Data!R921,"")</f>
        <v/>
      </c>
      <c r="S921" s="1">
        <f>IF(Data!S921&gt;0,Data!S921,"")</f>
        <v/>
      </c>
      <c r="V921" s="3">
        <f>IF(COUNT(D921,J921,K921,L921,M921,O921)&gt;0,AVERAGE(D921,J921,K921,L921,M921,O921),"")</f>
        <v/>
      </c>
      <c r="W921" s="3">
        <f>IF(COUNT(C921,F921,G921,N921,Q921)&gt;0,AVERAGE(C921,F921,G921,N921,Q921),"")</f>
        <v/>
      </c>
      <c r="X921" s="3">
        <f>IF(COUNT(B921,E921,H921,I921,P921,R921,S921)&gt;0,AVERAGE(B921,E921,H921,I921,P921,R921,S921),"")</f>
        <v/>
      </c>
      <c r="Y921" s="3" t="n"/>
      <c r="AJ921">
        <f>IFERROR(AVERAGEIF($A$4:$A$1004,AI921,$V$4:$V$1004),"")</f>
        <v/>
      </c>
      <c r="AK921">
        <f>IFERROR(AVERAGEIF($A$4:$A$1004,AI921,$W$4:$W$1004),"")</f>
        <v/>
      </c>
      <c r="AL921">
        <f>IFERROR(AVERAGEIF($A$4:$A$1004,AI921,$X$4:$X$1004),"")</f>
        <v/>
      </c>
    </row>
    <row r="922">
      <c r="A922" s="1">
        <f>IF(Data!A922&gt;0,Data!A922,"")</f>
        <v/>
      </c>
      <c r="B922" s="1">
        <f>IF(Data!B922&gt;0,Data!B922,"")</f>
        <v/>
      </c>
      <c r="C922" s="1">
        <f>IF(Data!C922&gt;0,Data!C922,"")</f>
        <v/>
      </c>
      <c r="D922" s="1">
        <f>IF(Data!D922&gt;0,Data!D922,"")</f>
        <v/>
      </c>
      <c r="E922" s="1">
        <f>IF(Data!E922&gt;0,Data!E922,"")</f>
        <v/>
      </c>
      <c r="F922" s="1">
        <f>IF(Data!F922&gt;0,Data!F922,"")</f>
        <v/>
      </c>
      <c r="G922" s="1">
        <f>IF(Data!G922&gt;0,Data!G922,"")</f>
        <v/>
      </c>
      <c r="H922" s="1">
        <f>IF(Data!H922&gt;0,Data!H922,"")</f>
        <v/>
      </c>
      <c r="I922" s="1">
        <f>IF(Data!I922&gt;0,Data!I922,"")</f>
        <v/>
      </c>
      <c r="J922" s="1">
        <f>IF(Data!J922&gt;0,Data!J922,"")</f>
        <v/>
      </c>
      <c r="K922" s="1">
        <f>IF(Data!K922&gt;0,Data!K922,"")</f>
        <v/>
      </c>
      <c r="L922" s="1">
        <f>IF(Data!L922&gt;0,Data!L922,"")</f>
        <v/>
      </c>
      <c r="M922" s="1">
        <f>IF(Data!M922&gt;0,Data!M922,"")</f>
        <v/>
      </c>
      <c r="N922" s="1">
        <f>IF(Data!N922&gt;0,Data!N922,"")</f>
        <v/>
      </c>
      <c r="O922" s="1">
        <f>IF(Data!O922&gt;0,Data!O922,"")</f>
        <v/>
      </c>
      <c r="P922" s="1">
        <f>IF(Data!P922&gt;0,Data!P922,"")</f>
        <v/>
      </c>
      <c r="Q922" s="1">
        <f>IF(Data!Q922&gt;0,Data!Q922,"")</f>
        <v/>
      </c>
      <c r="R922" s="1">
        <f>IF(Data!R922&gt;0,Data!R922,"")</f>
        <v/>
      </c>
      <c r="S922" s="1">
        <f>IF(Data!S922&gt;0,Data!S922,"")</f>
        <v/>
      </c>
      <c r="V922" s="3">
        <f>IF(COUNT(D922,J922,K922,L922,M922,O922)&gt;0,AVERAGE(D922,J922,K922,L922,M922,O922),"")</f>
        <v/>
      </c>
      <c r="W922" s="3">
        <f>IF(COUNT(C922,F922,G922,N922,Q922)&gt;0,AVERAGE(C922,F922,G922,N922,Q922),"")</f>
        <v/>
      </c>
      <c r="X922" s="3">
        <f>IF(COUNT(B922,E922,H922,I922,P922,R922,S922)&gt;0,AVERAGE(B922,E922,H922,I922,P922,R922,S922),"")</f>
        <v/>
      </c>
      <c r="Y922" s="3" t="n"/>
      <c r="AJ922">
        <f>IFERROR(AVERAGEIF($A$4:$A$1004,AI922,$V$4:$V$1004),"")</f>
        <v/>
      </c>
      <c r="AK922">
        <f>IFERROR(AVERAGEIF($A$4:$A$1004,AI922,$W$4:$W$1004),"")</f>
        <v/>
      </c>
      <c r="AL922">
        <f>IFERROR(AVERAGEIF($A$4:$A$1004,AI922,$X$4:$X$1004),"")</f>
        <v/>
      </c>
    </row>
    <row r="923">
      <c r="A923" s="1">
        <f>IF(Data!A923&gt;0,Data!A923,"")</f>
        <v/>
      </c>
      <c r="B923" s="1">
        <f>IF(Data!B923&gt;0,Data!B923,"")</f>
        <v/>
      </c>
      <c r="C923" s="1">
        <f>IF(Data!C923&gt;0,Data!C923,"")</f>
        <v/>
      </c>
      <c r="D923" s="1">
        <f>IF(Data!D923&gt;0,Data!D923,"")</f>
        <v/>
      </c>
      <c r="E923" s="1">
        <f>IF(Data!E923&gt;0,Data!E923,"")</f>
        <v/>
      </c>
      <c r="F923" s="1">
        <f>IF(Data!F923&gt;0,Data!F923,"")</f>
        <v/>
      </c>
      <c r="G923" s="1">
        <f>IF(Data!G923&gt;0,Data!G923,"")</f>
        <v/>
      </c>
      <c r="H923" s="1">
        <f>IF(Data!H923&gt;0,Data!H923,"")</f>
        <v/>
      </c>
      <c r="I923" s="1">
        <f>IF(Data!I923&gt;0,Data!I923,"")</f>
        <v/>
      </c>
      <c r="J923" s="1">
        <f>IF(Data!J923&gt;0,Data!J923,"")</f>
        <v/>
      </c>
      <c r="K923" s="1">
        <f>IF(Data!K923&gt;0,Data!K923,"")</f>
        <v/>
      </c>
      <c r="L923" s="1">
        <f>IF(Data!L923&gt;0,Data!L923,"")</f>
        <v/>
      </c>
      <c r="M923" s="1">
        <f>IF(Data!M923&gt;0,Data!M923,"")</f>
        <v/>
      </c>
      <c r="N923" s="1">
        <f>IF(Data!N923&gt;0,Data!N923,"")</f>
        <v/>
      </c>
      <c r="O923" s="1">
        <f>IF(Data!O923&gt;0,Data!O923,"")</f>
        <v/>
      </c>
      <c r="P923" s="1">
        <f>IF(Data!P923&gt;0,Data!P923,"")</f>
        <v/>
      </c>
      <c r="Q923" s="1">
        <f>IF(Data!Q923&gt;0,Data!Q923,"")</f>
        <v/>
      </c>
      <c r="R923" s="1">
        <f>IF(Data!R923&gt;0,Data!R923,"")</f>
        <v/>
      </c>
      <c r="S923" s="1">
        <f>IF(Data!S923&gt;0,Data!S923,"")</f>
        <v/>
      </c>
      <c r="V923" s="3">
        <f>IF(COUNT(D923,J923,K923,L923,M923,O923)&gt;0,AVERAGE(D923,J923,K923,L923,M923,O923),"")</f>
        <v/>
      </c>
      <c r="W923" s="3">
        <f>IF(COUNT(C923,F923,G923,N923,Q923)&gt;0,AVERAGE(C923,F923,G923,N923,Q923),"")</f>
        <v/>
      </c>
      <c r="X923" s="3">
        <f>IF(COUNT(B923,E923,H923,I923,P923,R923,S923)&gt;0,AVERAGE(B923,E923,H923,I923,P923,R923,S923),"")</f>
        <v/>
      </c>
      <c r="Y923" s="3" t="n"/>
      <c r="AJ923">
        <f>IFERROR(AVERAGEIF($A$4:$A$1004,AI923,$V$4:$V$1004),"")</f>
        <v/>
      </c>
      <c r="AK923">
        <f>IFERROR(AVERAGEIF($A$4:$A$1004,AI923,$W$4:$W$1004),"")</f>
        <v/>
      </c>
      <c r="AL923">
        <f>IFERROR(AVERAGEIF($A$4:$A$1004,AI923,$X$4:$X$1004),"")</f>
        <v/>
      </c>
    </row>
    <row r="924">
      <c r="A924" s="1">
        <f>IF(Data!A924&gt;0,Data!A924,"")</f>
        <v/>
      </c>
      <c r="B924" s="1">
        <f>IF(Data!B924&gt;0,Data!B924,"")</f>
        <v/>
      </c>
      <c r="C924" s="1">
        <f>IF(Data!C924&gt;0,Data!C924,"")</f>
        <v/>
      </c>
      <c r="D924" s="1">
        <f>IF(Data!D924&gt;0,Data!D924,"")</f>
        <v/>
      </c>
      <c r="E924" s="1">
        <f>IF(Data!E924&gt;0,Data!E924,"")</f>
        <v/>
      </c>
      <c r="F924" s="1">
        <f>IF(Data!F924&gt;0,Data!F924,"")</f>
        <v/>
      </c>
      <c r="G924" s="1">
        <f>IF(Data!G924&gt;0,Data!G924,"")</f>
        <v/>
      </c>
      <c r="H924" s="1">
        <f>IF(Data!H924&gt;0,Data!H924,"")</f>
        <v/>
      </c>
      <c r="I924" s="1">
        <f>IF(Data!I924&gt;0,Data!I924,"")</f>
        <v/>
      </c>
      <c r="J924" s="1">
        <f>IF(Data!J924&gt;0,Data!J924,"")</f>
        <v/>
      </c>
      <c r="K924" s="1">
        <f>IF(Data!K924&gt;0,Data!K924,"")</f>
        <v/>
      </c>
      <c r="L924" s="1">
        <f>IF(Data!L924&gt;0,Data!L924,"")</f>
        <v/>
      </c>
      <c r="M924" s="1">
        <f>IF(Data!M924&gt;0,Data!M924,"")</f>
        <v/>
      </c>
      <c r="N924" s="1">
        <f>IF(Data!N924&gt;0,Data!N924,"")</f>
        <v/>
      </c>
      <c r="O924" s="1">
        <f>IF(Data!O924&gt;0,Data!O924,"")</f>
        <v/>
      </c>
      <c r="P924" s="1">
        <f>IF(Data!P924&gt;0,Data!P924,"")</f>
        <v/>
      </c>
      <c r="Q924" s="1">
        <f>IF(Data!Q924&gt;0,Data!Q924,"")</f>
        <v/>
      </c>
      <c r="R924" s="1">
        <f>IF(Data!R924&gt;0,Data!R924,"")</f>
        <v/>
      </c>
      <c r="S924" s="1">
        <f>IF(Data!S924&gt;0,Data!S924,"")</f>
        <v/>
      </c>
      <c r="V924" s="3">
        <f>IF(COUNT(D924,J924,K924,L924,M924,O924)&gt;0,AVERAGE(D924,J924,K924,L924,M924,O924),"")</f>
        <v/>
      </c>
      <c r="W924" s="3">
        <f>IF(COUNT(C924,F924,G924,N924,Q924)&gt;0,AVERAGE(C924,F924,G924,N924,Q924),"")</f>
        <v/>
      </c>
      <c r="X924" s="3">
        <f>IF(COUNT(B924,E924,H924,I924,P924,R924,S924)&gt;0,AVERAGE(B924,E924,H924,I924,P924,R924,S924),"")</f>
        <v/>
      </c>
      <c r="Y924" s="3" t="n"/>
      <c r="AJ924">
        <f>IFERROR(AVERAGEIF($A$4:$A$1004,AI924,$V$4:$V$1004),"")</f>
        <v/>
      </c>
      <c r="AK924">
        <f>IFERROR(AVERAGEIF($A$4:$A$1004,AI924,$W$4:$W$1004),"")</f>
        <v/>
      </c>
      <c r="AL924">
        <f>IFERROR(AVERAGEIF($A$4:$A$1004,AI924,$X$4:$X$1004),"")</f>
        <v/>
      </c>
    </row>
    <row r="925">
      <c r="A925" s="1">
        <f>IF(Data!A925&gt;0,Data!A925,"")</f>
        <v/>
      </c>
      <c r="B925" s="1">
        <f>IF(Data!B925&gt;0,Data!B925,"")</f>
        <v/>
      </c>
      <c r="C925" s="1">
        <f>IF(Data!C925&gt;0,Data!C925,"")</f>
        <v/>
      </c>
      <c r="D925" s="1">
        <f>IF(Data!D925&gt;0,Data!D925,"")</f>
        <v/>
      </c>
      <c r="E925" s="1">
        <f>IF(Data!E925&gt;0,Data!E925,"")</f>
        <v/>
      </c>
      <c r="F925" s="1">
        <f>IF(Data!F925&gt;0,Data!F925,"")</f>
        <v/>
      </c>
      <c r="G925" s="1">
        <f>IF(Data!G925&gt;0,Data!G925,"")</f>
        <v/>
      </c>
      <c r="H925" s="1">
        <f>IF(Data!H925&gt;0,Data!H925,"")</f>
        <v/>
      </c>
      <c r="I925" s="1">
        <f>IF(Data!I925&gt;0,Data!I925,"")</f>
        <v/>
      </c>
      <c r="J925" s="1">
        <f>IF(Data!J925&gt;0,Data!J925,"")</f>
        <v/>
      </c>
      <c r="K925" s="1">
        <f>IF(Data!K925&gt;0,Data!K925,"")</f>
        <v/>
      </c>
      <c r="L925" s="1">
        <f>IF(Data!L925&gt;0,Data!L925,"")</f>
        <v/>
      </c>
      <c r="M925" s="1">
        <f>IF(Data!M925&gt;0,Data!M925,"")</f>
        <v/>
      </c>
      <c r="N925" s="1">
        <f>IF(Data!N925&gt;0,Data!N925,"")</f>
        <v/>
      </c>
      <c r="O925" s="1">
        <f>IF(Data!O925&gt;0,Data!O925,"")</f>
        <v/>
      </c>
      <c r="P925" s="1">
        <f>IF(Data!P925&gt;0,Data!P925,"")</f>
        <v/>
      </c>
      <c r="Q925" s="1">
        <f>IF(Data!Q925&gt;0,Data!Q925,"")</f>
        <v/>
      </c>
      <c r="R925" s="1">
        <f>IF(Data!R925&gt;0,Data!R925,"")</f>
        <v/>
      </c>
      <c r="S925" s="1">
        <f>IF(Data!S925&gt;0,Data!S925,"")</f>
        <v/>
      </c>
      <c r="V925" s="3">
        <f>IF(COUNT(D925,J925,K925,L925,M925,O925)&gt;0,AVERAGE(D925,J925,K925,L925,M925,O925),"")</f>
        <v/>
      </c>
      <c r="W925" s="3">
        <f>IF(COUNT(C925,F925,G925,N925,Q925)&gt;0,AVERAGE(C925,F925,G925,N925,Q925),"")</f>
        <v/>
      </c>
      <c r="X925" s="3">
        <f>IF(COUNT(B925,E925,H925,I925,P925,R925,S925)&gt;0,AVERAGE(B925,E925,H925,I925,P925,R925,S925),"")</f>
        <v/>
      </c>
      <c r="Y925" s="3" t="n"/>
      <c r="AJ925">
        <f>IFERROR(AVERAGEIF($A$4:$A$1004,AI925,$V$4:$V$1004),"")</f>
        <v/>
      </c>
      <c r="AK925">
        <f>IFERROR(AVERAGEIF($A$4:$A$1004,AI925,$W$4:$W$1004),"")</f>
        <v/>
      </c>
      <c r="AL925">
        <f>IFERROR(AVERAGEIF($A$4:$A$1004,AI925,$X$4:$X$1004),"")</f>
        <v/>
      </c>
    </row>
    <row r="926">
      <c r="A926" s="1">
        <f>IF(Data!A926&gt;0,Data!A926,"")</f>
        <v/>
      </c>
      <c r="B926" s="1">
        <f>IF(Data!B926&gt;0,Data!B926,"")</f>
        <v/>
      </c>
      <c r="C926" s="1">
        <f>IF(Data!C926&gt;0,Data!C926,"")</f>
        <v/>
      </c>
      <c r="D926" s="1">
        <f>IF(Data!D926&gt;0,Data!D926,"")</f>
        <v/>
      </c>
      <c r="E926" s="1">
        <f>IF(Data!E926&gt;0,Data!E926,"")</f>
        <v/>
      </c>
      <c r="F926" s="1">
        <f>IF(Data!F926&gt;0,Data!F926,"")</f>
        <v/>
      </c>
      <c r="G926" s="1">
        <f>IF(Data!G926&gt;0,Data!G926,"")</f>
        <v/>
      </c>
      <c r="H926" s="1">
        <f>IF(Data!H926&gt;0,Data!H926,"")</f>
        <v/>
      </c>
      <c r="I926" s="1">
        <f>IF(Data!I926&gt;0,Data!I926,"")</f>
        <v/>
      </c>
      <c r="J926" s="1">
        <f>IF(Data!J926&gt;0,Data!J926,"")</f>
        <v/>
      </c>
      <c r="K926" s="1">
        <f>IF(Data!K926&gt;0,Data!K926,"")</f>
        <v/>
      </c>
      <c r="L926" s="1">
        <f>IF(Data!L926&gt;0,Data!L926,"")</f>
        <v/>
      </c>
      <c r="M926" s="1">
        <f>IF(Data!M926&gt;0,Data!M926,"")</f>
        <v/>
      </c>
      <c r="N926" s="1">
        <f>IF(Data!N926&gt;0,Data!N926,"")</f>
        <v/>
      </c>
      <c r="O926" s="1">
        <f>IF(Data!O926&gt;0,Data!O926,"")</f>
        <v/>
      </c>
      <c r="P926" s="1">
        <f>IF(Data!P926&gt;0,Data!P926,"")</f>
        <v/>
      </c>
      <c r="Q926" s="1">
        <f>IF(Data!Q926&gt;0,Data!Q926,"")</f>
        <v/>
      </c>
      <c r="R926" s="1">
        <f>IF(Data!R926&gt;0,Data!R926,"")</f>
        <v/>
      </c>
      <c r="S926" s="1">
        <f>IF(Data!S926&gt;0,Data!S926,"")</f>
        <v/>
      </c>
      <c r="V926" s="3">
        <f>IF(COUNT(D926,J926,K926,L926,M926,O926)&gt;0,AVERAGE(D926,J926,K926,L926,M926,O926),"")</f>
        <v/>
      </c>
      <c r="W926" s="3">
        <f>IF(COUNT(C926,F926,G926,N926,Q926)&gt;0,AVERAGE(C926,F926,G926,N926,Q926),"")</f>
        <v/>
      </c>
      <c r="X926" s="3">
        <f>IF(COUNT(B926,E926,H926,I926,P926,R926,S926)&gt;0,AVERAGE(B926,E926,H926,I926,P926,R926,S926),"")</f>
        <v/>
      </c>
      <c r="Y926" s="3" t="n"/>
      <c r="AJ926">
        <f>IFERROR(AVERAGEIF($A$4:$A$1004,AI926,$V$4:$V$1004),"")</f>
        <v/>
      </c>
      <c r="AK926">
        <f>IFERROR(AVERAGEIF($A$4:$A$1004,AI926,$W$4:$W$1004),"")</f>
        <v/>
      </c>
      <c r="AL926">
        <f>IFERROR(AVERAGEIF($A$4:$A$1004,AI926,$X$4:$X$1004),"")</f>
        <v/>
      </c>
    </row>
    <row r="927">
      <c r="A927" s="1">
        <f>IF(Data!A927&gt;0,Data!A927,"")</f>
        <v/>
      </c>
      <c r="B927" s="1">
        <f>IF(Data!B927&gt;0,Data!B927,"")</f>
        <v/>
      </c>
      <c r="C927" s="1">
        <f>IF(Data!C927&gt;0,Data!C927,"")</f>
        <v/>
      </c>
      <c r="D927" s="1">
        <f>IF(Data!D927&gt;0,Data!D927,"")</f>
        <v/>
      </c>
      <c r="E927" s="1">
        <f>IF(Data!E927&gt;0,Data!E927,"")</f>
        <v/>
      </c>
      <c r="F927" s="1">
        <f>IF(Data!F927&gt;0,Data!F927,"")</f>
        <v/>
      </c>
      <c r="G927" s="1">
        <f>IF(Data!G927&gt;0,Data!G927,"")</f>
        <v/>
      </c>
      <c r="H927" s="1">
        <f>IF(Data!H927&gt;0,Data!H927,"")</f>
        <v/>
      </c>
      <c r="I927" s="1">
        <f>IF(Data!I927&gt;0,Data!I927,"")</f>
        <v/>
      </c>
      <c r="J927" s="1">
        <f>IF(Data!J927&gt;0,Data!J927,"")</f>
        <v/>
      </c>
      <c r="K927" s="1">
        <f>IF(Data!K927&gt;0,Data!K927,"")</f>
        <v/>
      </c>
      <c r="L927" s="1">
        <f>IF(Data!L927&gt;0,Data!L927,"")</f>
        <v/>
      </c>
      <c r="M927" s="1">
        <f>IF(Data!M927&gt;0,Data!M927,"")</f>
        <v/>
      </c>
      <c r="N927" s="1">
        <f>IF(Data!N927&gt;0,Data!N927,"")</f>
        <v/>
      </c>
      <c r="O927" s="1">
        <f>IF(Data!O927&gt;0,Data!O927,"")</f>
        <v/>
      </c>
      <c r="P927" s="1">
        <f>IF(Data!P927&gt;0,Data!P927,"")</f>
        <v/>
      </c>
      <c r="Q927" s="1">
        <f>IF(Data!Q927&gt;0,Data!Q927,"")</f>
        <v/>
      </c>
      <c r="R927" s="1">
        <f>IF(Data!R927&gt;0,Data!R927,"")</f>
        <v/>
      </c>
      <c r="S927" s="1">
        <f>IF(Data!S927&gt;0,Data!S927,"")</f>
        <v/>
      </c>
      <c r="V927" s="3">
        <f>IF(COUNT(D927,J927,K927,L927,M927,O927)&gt;0,AVERAGE(D927,J927,K927,L927,M927,O927),"")</f>
        <v/>
      </c>
      <c r="W927" s="3">
        <f>IF(COUNT(C927,F927,G927,N927,Q927)&gt;0,AVERAGE(C927,F927,G927,N927,Q927),"")</f>
        <v/>
      </c>
      <c r="X927" s="3">
        <f>IF(COUNT(B927,E927,H927,I927,P927,R927,S927)&gt;0,AVERAGE(B927,E927,H927,I927,P927,R927,S927),"")</f>
        <v/>
      </c>
      <c r="Y927" s="3" t="n"/>
      <c r="AJ927">
        <f>IFERROR(AVERAGEIF($A$4:$A$1004,AI927,$V$4:$V$1004),"")</f>
        <v/>
      </c>
      <c r="AK927">
        <f>IFERROR(AVERAGEIF($A$4:$A$1004,AI927,$W$4:$W$1004),"")</f>
        <v/>
      </c>
      <c r="AL927">
        <f>IFERROR(AVERAGEIF($A$4:$A$1004,AI927,$X$4:$X$1004),"")</f>
        <v/>
      </c>
    </row>
    <row r="928">
      <c r="A928" s="1">
        <f>IF(Data!A928&gt;0,Data!A928,"")</f>
        <v/>
      </c>
      <c r="B928" s="1">
        <f>IF(Data!B928&gt;0,Data!B928,"")</f>
        <v/>
      </c>
      <c r="C928" s="1">
        <f>IF(Data!C928&gt;0,Data!C928,"")</f>
        <v/>
      </c>
      <c r="D928" s="1">
        <f>IF(Data!D928&gt;0,Data!D928,"")</f>
        <v/>
      </c>
      <c r="E928" s="1">
        <f>IF(Data!E928&gt;0,Data!E928,"")</f>
        <v/>
      </c>
      <c r="F928" s="1">
        <f>IF(Data!F928&gt;0,Data!F928,"")</f>
        <v/>
      </c>
      <c r="G928" s="1">
        <f>IF(Data!G928&gt;0,Data!G928,"")</f>
        <v/>
      </c>
      <c r="H928" s="1">
        <f>IF(Data!H928&gt;0,Data!H928,"")</f>
        <v/>
      </c>
      <c r="I928" s="1">
        <f>IF(Data!I928&gt;0,Data!I928,"")</f>
        <v/>
      </c>
      <c r="J928" s="1">
        <f>IF(Data!J928&gt;0,Data!J928,"")</f>
        <v/>
      </c>
      <c r="K928" s="1">
        <f>IF(Data!K928&gt;0,Data!K928,"")</f>
        <v/>
      </c>
      <c r="L928" s="1">
        <f>IF(Data!L928&gt;0,Data!L928,"")</f>
        <v/>
      </c>
      <c r="M928" s="1">
        <f>IF(Data!M928&gt;0,Data!M928,"")</f>
        <v/>
      </c>
      <c r="N928" s="1">
        <f>IF(Data!N928&gt;0,Data!N928,"")</f>
        <v/>
      </c>
      <c r="O928" s="1">
        <f>IF(Data!O928&gt;0,Data!O928,"")</f>
        <v/>
      </c>
      <c r="P928" s="1">
        <f>IF(Data!P928&gt;0,Data!P928,"")</f>
        <v/>
      </c>
      <c r="Q928" s="1">
        <f>IF(Data!Q928&gt;0,Data!Q928,"")</f>
        <v/>
      </c>
      <c r="R928" s="1">
        <f>IF(Data!R928&gt;0,Data!R928,"")</f>
        <v/>
      </c>
      <c r="S928" s="1">
        <f>IF(Data!S928&gt;0,Data!S928,"")</f>
        <v/>
      </c>
      <c r="V928" s="3">
        <f>IF(COUNT(D928,J928,K928,L928,M928,O928)&gt;0,AVERAGE(D928,J928,K928,L928,M928,O928),"")</f>
        <v/>
      </c>
      <c r="W928" s="3">
        <f>IF(COUNT(C928,F928,G928,N928,Q928)&gt;0,AVERAGE(C928,F928,G928,N928,Q928),"")</f>
        <v/>
      </c>
      <c r="X928" s="3">
        <f>IF(COUNT(B928,E928,H928,I928,P928,R928,S928)&gt;0,AVERAGE(B928,E928,H928,I928,P928,R928,S928),"")</f>
        <v/>
      </c>
      <c r="Y928" s="3" t="n"/>
      <c r="AJ928">
        <f>IFERROR(AVERAGEIF($A$4:$A$1004,AI928,$V$4:$V$1004),"")</f>
        <v/>
      </c>
      <c r="AK928">
        <f>IFERROR(AVERAGEIF($A$4:$A$1004,AI928,$W$4:$W$1004),"")</f>
        <v/>
      </c>
      <c r="AL928">
        <f>IFERROR(AVERAGEIF($A$4:$A$1004,AI928,$X$4:$X$1004),"")</f>
        <v/>
      </c>
    </row>
    <row r="929">
      <c r="A929" s="1">
        <f>IF(Data!A929&gt;0,Data!A929,"")</f>
        <v/>
      </c>
      <c r="B929" s="1">
        <f>IF(Data!B929&gt;0,Data!B929,"")</f>
        <v/>
      </c>
      <c r="C929" s="1">
        <f>IF(Data!C929&gt;0,Data!C929,"")</f>
        <v/>
      </c>
      <c r="D929" s="1">
        <f>IF(Data!D929&gt;0,Data!D929,"")</f>
        <v/>
      </c>
      <c r="E929" s="1">
        <f>IF(Data!E929&gt;0,Data!E929,"")</f>
        <v/>
      </c>
      <c r="F929" s="1">
        <f>IF(Data!F929&gt;0,Data!F929,"")</f>
        <v/>
      </c>
      <c r="G929" s="1">
        <f>IF(Data!G929&gt;0,Data!G929,"")</f>
        <v/>
      </c>
      <c r="H929" s="1">
        <f>IF(Data!H929&gt;0,Data!H929,"")</f>
        <v/>
      </c>
      <c r="I929" s="1">
        <f>IF(Data!I929&gt;0,Data!I929,"")</f>
        <v/>
      </c>
      <c r="J929" s="1">
        <f>IF(Data!J929&gt;0,Data!J929,"")</f>
        <v/>
      </c>
      <c r="K929" s="1">
        <f>IF(Data!K929&gt;0,Data!K929,"")</f>
        <v/>
      </c>
      <c r="L929" s="1">
        <f>IF(Data!L929&gt;0,Data!L929,"")</f>
        <v/>
      </c>
      <c r="M929" s="1">
        <f>IF(Data!M929&gt;0,Data!M929,"")</f>
        <v/>
      </c>
      <c r="N929" s="1">
        <f>IF(Data!N929&gt;0,Data!N929,"")</f>
        <v/>
      </c>
      <c r="O929" s="1">
        <f>IF(Data!O929&gt;0,Data!O929,"")</f>
        <v/>
      </c>
      <c r="P929" s="1">
        <f>IF(Data!P929&gt;0,Data!P929,"")</f>
        <v/>
      </c>
      <c r="Q929" s="1">
        <f>IF(Data!Q929&gt;0,Data!Q929,"")</f>
        <v/>
      </c>
      <c r="R929" s="1">
        <f>IF(Data!R929&gt;0,Data!R929,"")</f>
        <v/>
      </c>
      <c r="S929" s="1">
        <f>IF(Data!S929&gt;0,Data!S929,"")</f>
        <v/>
      </c>
      <c r="V929" s="3">
        <f>IF(COUNT(D929,J929,K929,L929,M929,O929)&gt;0,AVERAGE(D929,J929,K929,L929,M929,O929),"")</f>
        <v/>
      </c>
      <c r="W929" s="3">
        <f>IF(COUNT(C929,F929,G929,N929,Q929)&gt;0,AVERAGE(C929,F929,G929,N929,Q929),"")</f>
        <v/>
      </c>
      <c r="X929" s="3">
        <f>IF(COUNT(B929,E929,H929,I929,P929,R929,S929)&gt;0,AVERAGE(B929,E929,H929,I929,P929,R929,S929),"")</f>
        <v/>
      </c>
      <c r="Y929" s="3" t="n"/>
      <c r="AJ929">
        <f>IFERROR(AVERAGEIF($A$4:$A$1004,AI929,$V$4:$V$1004),"")</f>
        <v/>
      </c>
      <c r="AK929">
        <f>IFERROR(AVERAGEIF($A$4:$A$1004,AI929,$W$4:$W$1004),"")</f>
        <v/>
      </c>
      <c r="AL929">
        <f>IFERROR(AVERAGEIF($A$4:$A$1004,AI929,$X$4:$X$1004),"")</f>
        <v/>
      </c>
    </row>
    <row r="930">
      <c r="A930" s="1">
        <f>IF(Data!A930&gt;0,Data!A930,"")</f>
        <v/>
      </c>
      <c r="B930" s="1">
        <f>IF(Data!B930&gt;0,Data!B930,"")</f>
        <v/>
      </c>
      <c r="C930" s="1">
        <f>IF(Data!C930&gt;0,Data!C930,"")</f>
        <v/>
      </c>
      <c r="D930" s="1">
        <f>IF(Data!D930&gt;0,Data!D930,"")</f>
        <v/>
      </c>
      <c r="E930" s="1">
        <f>IF(Data!E930&gt;0,Data!E930,"")</f>
        <v/>
      </c>
      <c r="F930" s="1">
        <f>IF(Data!F930&gt;0,Data!F930,"")</f>
        <v/>
      </c>
      <c r="G930" s="1">
        <f>IF(Data!G930&gt;0,Data!G930,"")</f>
        <v/>
      </c>
      <c r="H930" s="1">
        <f>IF(Data!H930&gt;0,Data!H930,"")</f>
        <v/>
      </c>
      <c r="I930" s="1">
        <f>IF(Data!I930&gt;0,Data!I930,"")</f>
        <v/>
      </c>
      <c r="J930" s="1">
        <f>IF(Data!J930&gt;0,Data!J930,"")</f>
        <v/>
      </c>
      <c r="K930" s="1">
        <f>IF(Data!K930&gt;0,Data!K930,"")</f>
        <v/>
      </c>
      <c r="L930" s="1">
        <f>IF(Data!L930&gt;0,Data!L930,"")</f>
        <v/>
      </c>
      <c r="M930" s="1">
        <f>IF(Data!M930&gt;0,Data!M930,"")</f>
        <v/>
      </c>
      <c r="N930" s="1">
        <f>IF(Data!N930&gt;0,Data!N930,"")</f>
        <v/>
      </c>
      <c r="O930" s="1">
        <f>IF(Data!O930&gt;0,Data!O930,"")</f>
        <v/>
      </c>
      <c r="P930" s="1">
        <f>IF(Data!P930&gt;0,Data!P930,"")</f>
        <v/>
      </c>
      <c r="Q930" s="1">
        <f>IF(Data!Q930&gt;0,Data!Q930,"")</f>
        <v/>
      </c>
      <c r="R930" s="1">
        <f>IF(Data!R930&gt;0,Data!R930,"")</f>
        <v/>
      </c>
      <c r="S930" s="1">
        <f>IF(Data!S930&gt;0,Data!S930,"")</f>
        <v/>
      </c>
      <c r="V930" s="3">
        <f>IF(COUNT(D930,J930,K930,L930,M930,O930)&gt;0,AVERAGE(D930,J930,K930,L930,M930,O930),"")</f>
        <v/>
      </c>
      <c r="W930" s="3">
        <f>IF(COUNT(C930,F930,G930,N930,Q930)&gt;0,AVERAGE(C930,F930,G930,N930,Q930),"")</f>
        <v/>
      </c>
      <c r="X930" s="3">
        <f>IF(COUNT(B930,E930,H930,I930,P930,R930,S930)&gt;0,AVERAGE(B930,E930,H930,I930,P930,R930,S930),"")</f>
        <v/>
      </c>
      <c r="Y930" s="3" t="n"/>
      <c r="AJ930">
        <f>IFERROR(AVERAGEIF($A$4:$A$1004,AI930,$V$4:$V$1004),"")</f>
        <v/>
      </c>
      <c r="AK930">
        <f>IFERROR(AVERAGEIF($A$4:$A$1004,AI930,$W$4:$W$1004),"")</f>
        <v/>
      </c>
      <c r="AL930">
        <f>IFERROR(AVERAGEIF($A$4:$A$1004,AI930,$X$4:$X$1004),"")</f>
        <v/>
      </c>
    </row>
    <row r="931">
      <c r="A931" s="1">
        <f>IF(Data!A931&gt;0,Data!A931,"")</f>
        <v/>
      </c>
      <c r="B931" s="1">
        <f>IF(Data!B931&gt;0,Data!B931,"")</f>
        <v/>
      </c>
      <c r="C931" s="1">
        <f>IF(Data!C931&gt;0,Data!C931,"")</f>
        <v/>
      </c>
      <c r="D931" s="1">
        <f>IF(Data!D931&gt;0,Data!D931,"")</f>
        <v/>
      </c>
      <c r="E931" s="1">
        <f>IF(Data!E931&gt;0,Data!E931,"")</f>
        <v/>
      </c>
      <c r="F931" s="1">
        <f>IF(Data!F931&gt;0,Data!F931,"")</f>
        <v/>
      </c>
      <c r="G931" s="1">
        <f>IF(Data!G931&gt;0,Data!G931,"")</f>
        <v/>
      </c>
      <c r="H931" s="1">
        <f>IF(Data!H931&gt;0,Data!H931,"")</f>
        <v/>
      </c>
      <c r="I931" s="1">
        <f>IF(Data!I931&gt;0,Data!I931,"")</f>
        <v/>
      </c>
      <c r="J931" s="1">
        <f>IF(Data!J931&gt;0,Data!J931,"")</f>
        <v/>
      </c>
      <c r="K931" s="1">
        <f>IF(Data!K931&gt;0,Data!K931,"")</f>
        <v/>
      </c>
      <c r="L931" s="1">
        <f>IF(Data!L931&gt;0,Data!L931,"")</f>
        <v/>
      </c>
      <c r="M931" s="1">
        <f>IF(Data!M931&gt;0,Data!M931,"")</f>
        <v/>
      </c>
      <c r="N931" s="1">
        <f>IF(Data!N931&gt;0,Data!N931,"")</f>
        <v/>
      </c>
      <c r="O931" s="1">
        <f>IF(Data!O931&gt;0,Data!O931,"")</f>
        <v/>
      </c>
      <c r="P931" s="1">
        <f>IF(Data!P931&gt;0,Data!P931,"")</f>
        <v/>
      </c>
      <c r="Q931" s="1">
        <f>IF(Data!Q931&gt;0,Data!Q931,"")</f>
        <v/>
      </c>
      <c r="R931" s="1">
        <f>IF(Data!R931&gt;0,Data!R931,"")</f>
        <v/>
      </c>
      <c r="S931" s="1">
        <f>IF(Data!S931&gt;0,Data!S931,"")</f>
        <v/>
      </c>
      <c r="V931" s="3">
        <f>IF(COUNT(D931,J931,K931,L931,M931,O931)&gt;0,AVERAGE(D931,J931,K931,L931,M931,O931),"")</f>
        <v/>
      </c>
      <c r="W931" s="3">
        <f>IF(COUNT(C931,F931,G931,N931,Q931)&gt;0,AVERAGE(C931,F931,G931,N931,Q931),"")</f>
        <v/>
      </c>
      <c r="X931" s="3">
        <f>IF(COUNT(B931,E931,H931,I931,P931,R931,S931)&gt;0,AVERAGE(B931,E931,H931,I931,P931,R931,S931),"")</f>
        <v/>
      </c>
      <c r="Y931" s="3" t="n"/>
      <c r="AJ931">
        <f>IFERROR(AVERAGEIF($A$4:$A$1004,AI931,$V$4:$V$1004),"")</f>
        <v/>
      </c>
      <c r="AK931">
        <f>IFERROR(AVERAGEIF($A$4:$A$1004,AI931,$W$4:$W$1004),"")</f>
        <v/>
      </c>
      <c r="AL931">
        <f>IFERROR(AVERAGEIF($A$4:$A$1004,AI931,$X$4:$X$1004),"")</f>
        <v/>
      </c>
    </row>
    <row r="932">
      <c r="A932" s="1">
        <f>IF(Data!A932&gt;0,Data!A932,"")</f>
        <v/>
      </c>
      <c r="B932" s="1">
        <f>IF(Data!B932&gt;0,Data!B932,"")</f>
        <v/>
      </c>
      <c r="C932" s="1">
        <f>IF(Data!C932&gt;0,Data!C932,"")</f>
        <v/>
      </c>
      <c r="D932" s="1">
        <f>IF(Data!D932&gt;0,Data!D932,"")</f>
        <v/>
      </c>
      <c r="E932" s="1">
        <f>IF(Data!E932&gt;0,Data!E932,"")</f>
        <v/>
      </c>
      <c r="F932" s="1">
        <f>IF(Data!F932&gt;0,Data!F932,"")</f>
        <v/>
      </c>
      <c r="G932" s="1">
        <f>IF(Data!G932&gt;0,Data!G932,"")</f>
        <v/>
      </c>
      <c r="H932" s="1">
        <f>IF(Data!H932&gt;0,Data!H932,"")</f>
        <v/>
      </c>
      <c r="I932" s="1">
        <f>IF(Data!I932&gt;0,Data!I932,"")</f>
        <v/>
      </c>
      <c r="J932" s="1">
        <f>IF(Data!J932&gt;0,Data!J932,"")</f>
        <v/>
      </c>
      <c r="K932" s="1">
        <f>IF(Data!K932&gt;0,Data!K932,"")</f>
        <v/>
      </c>
      <c r="L932" s="1">
        <f>IF(Data!L932&gt;0,Data!L932,"")</f>
        <v/>
      </c>
      <c r="M932" s="1">
        <f>IF(Data!M932&gt;0,Data!M932,"")</f>
        <v/>
      </c>
      <c r="N932" s="1">
        <f>IF(Data!N932&gt;0,Data!N932,"")</f>
        <v/>
      </c>
      <c r="O932" s="1">
        <f>IF(Data!O932&gt;0,Data!O932,"")</f>
        <v/>
      </c>
      <c r="P932" s="1">
        <f>IF(Data!P932&gt;0,Data!P932,"")</f>
        <v/>
      </c>
      <c r="Q932" s="1">
        <f>IF(Data!Q932&gt;0,Data!Q932,"")</f>
        <v/>
      </c>
      <c r="R932" s="1">
        <f>IF(Data!R932&gt;0,Data!R932,"")</f>
        <v/>
      </c>
      <c r="S932" s="1">
        <f>IF(Data!S932&gt;0,Data!S932,"")</f>
        <v/>
      </c>
      <c r="V932" s="3">
        <f>IF(COUNT(D932,J932,K932,L932,M932,O932)&gt;0,AVERAGE(D932,J932,K932,L932,M932,O932),"")</f>
        <v/>
      </c>
      <c r="W932" s="3">
        <f>IF(COUNT(C932,F932,G932,N932,Q932)&gt;0,AVERAGE(C932,F932,G932,N932,Q932),"")</f>
        <v/>
      </c>
      <c r="X932" s="3">
        <f>IF(COUNT(B932,E932,H932,I932,P932,R932,S932)&gt;0,AVERAGE(B932,E932,H932,I932,P932,R932,S932),"")</f>
        <v/>
      </c>
      <c r="Y932" s="3" t="n"/>
      <c r="AJ932">
        <f>IFERROR(AVERAGEIF($A$4:$A$1004,AI932,$V$4:$V$1004),"")</f>
        <v/>
      </c>
      <c r="AK932">
        <f>IFERROR(AVERAGEIF($A$4:$A$1004,AI932,$W$4:$W$1004),"")</f>
        <v/>
      </c>
      <c r="AL932">
        <f>IFERROR(AVERAGEIF($A$4:$A$1004,AI932,$X$4:$X$1004),"")</f>
        <v/>
      </c>
    </row>
    <row r="933">
      <c r="A933" s="1">
        <f>IF(Data!A933&gt;0,Data!A933,"")</f>
        <v/>
      </c>
      <c r="B933" s="1">
        <f>IF(Data!B933&gt;0,Data!B933,"")</f>
        <v/>
      </c>
      <c r="C933" s="1">
        <f>IF(Data!C933&gt;0,Data!C933,"")</f>
        <v/>
      </c>
      <c r="D933" s="1">
        <f>IF(Data!D933&gt;0,Data!D933,"")</f>
        <v/>
      </c>
      <c r="E933" s="1">
        <f>IF(Data!E933&gt;0,Data!E933,"")</f>
        <v/>
      </c>
      <c r="F933" s="1">
        <f>IF(Data!F933&gt;0,Data!F933,"")</f>
        <v/>
      </c>
      <c r="G933" s="1">
        <f>IF(Data!G933&gt;0,Data!G933,"")</f>
        <v/>
      </c>
      <c r="H933" s="1">
        <f>IF(Data!H933&gt;0,Data!H933,"")</f>
        <v/>
      </c>
      <c r="I933" s="1">
        <f>IF(Data!I933&gt;0,Data!I933,"")</f>
        <v/>
      </c>
      <c r="J933" s="1">
        <f>IF(Data!J933&gt;0,Data!J933,"")</f>
        <v/>
      </c>
      <c r="K933" s="1">
        <f>IF(Data!K933&gt;0,Data!K933,"")</f>
        <v/>
      </c>
      <c r="L933" s="1">
        <f>IF(Data!L933&gt;0,Data!L933,"")</f>
        <v/>
      </c>
      <c r="M933" s="1">
        <f>IF(Data!M933&gt;0,Data!M933,"")</f>
        <v/>
      </c>
      <c r="N933" s="1">
        <f>IF(Data!N933&gt;0,Data!N933,"")</f>
        <v/>
      </c>
      <c r="O933" s="1">
        <f>IF(Data!O933&gt;0,Data!O933,"")</f>
        <v/>
      </c>
      <c r="P933" s="1">
        <f>IF(Data!P933&gt;0,Data!P933,"")</f>
        <v/>
      </c>
      <c r="Q933" s="1">
        <f>IF(Data!Q933&gt;0,Data!Q933,"")</f>
        <v/>
      </c>
      <c r="R933" s="1">
        <f>IF(Data!R933&gt;0,Data!R933,"")</f>
        <v/>
      </c>
      <c r="S933" s="1">
        <f>IF(Data!S933&gt;0,Data!S933,"")</f>
        <v/>
      </c>
      <c r="V933" s="3">
        <f>IF(COUNT(D933,J933,K933,L933,M933,O933)&gt;0,AVERAGE(D933,J933,K933,L933,M933,O933),"")</f>
        <v/>
      </c>
      <c r="W933" s="3">
        <f>IF(COUNT(C933,F933,G933,N933,Q933)&gt;0,AVERAGE(C933,F933,G933,N933,Q933),"")</f>
        <v/>
      </c>
      <c r="X933" s="3">
        <f>IF(COUNT(B933,E933,H933,I933,P933,R933,S933)&gt;0,AVERAGE(B933,E933,H933,I933,P933,R933,S933),"")</f>
        <v/>
      </c>
      <c r="Y933" s="3" t="n"/>
      <c r="AJ933">
        <f>IFERROR(AVERAGEIF($A$4:$A$1004,AI933,$V$4:$V$1004),"")</f>
        <v/>
      </c>
      <c r="AK933">
        <f>IFERROR(AVERAGEIF($A$4:$A$1004,AI933,$W$4:$W$1004),"")</f>
        <v/>
      </c>
      <c r="AL933">
        <f>IFERROR(AVERAGEIF($A$4:$A$1004,AI933,$X$4:$X$1004),"")</f>
        <v/>
      </c>
    </row>
    <row r="934">
      <c r="A934" s="1">
        <f>IF(Data!A934&gt;0,Data!A934,"")</f>
        <v/>
      </c>
      <c r="B934" s="1">
        <f>IF(Data!B934&gt;0,Data!B934,"")</f>
        <v/>
      </c>
      <c r="C934" s="1">
        <f>IF(Data!C934&gt;0,Data!C934,"")</f>
        <v/>
      </c>
      <c r="D934" s="1">
        <f>IF(Data!D934&gt;0,Data!D934,"")</f>
        <v/>
      </c>
      <c r="E934" s="1">
        <f>IF(Data!E934&gt;0,Data!E934,"")</f>
        <v/>
      </c>
      <c r="F934" s="1">
        <f>IF(Data!F934&gt;0,Data!F934,"")</f>
        <v/>
      </c>
      <c r="G934" s="1">
        <f>IF(Data!G934&gt;0,Data!G934,"")</f>
        <v/>
      </c>
      <c r="H934" s="1">
        <f>IF(Data!H934&gt;0,Data!H934,"")</f>
        <v/>
      </c>
      <c r="I934" s="1">
        <f>IF(Data!I934&gt;0,Data!I934,"")</f>
        <v/>
      </c>
      <c r="J934" s="1">
        <f>IF(Data!J934&gt;0,Data!J934,"")</f>
        <v/>
      </c>
      <c r="K934" s="1">
        <f>IF(Data!K934&gt;0,Data!K934,"")</f>
        <v/>
      </c>
      <c r="L934" s="1">
        <f>IF(Data!L934&gt;0,Data!L934,"")</f>
        <v/>
      </c>
      <c r="M934" s="1">
        <f>IF(Data!M934&gt;0,Data!M934,"")</f>
        <v/>
      </c>
      <c r="N934" s="1">
        <f>IF(Data!N934&gt;0,Data!N934,"")</f>
        <v/>
      </c>
      <c r="O934" s="1">
        <f>IF(Data!O934&gt;0,Data!O934,"")</f>
        <v/>
      </c>
      <c r="P934" s="1">
        <f>IF(Data!P934&gt;0,Data!P934,"")</f>
        <v/>
      </c>
      <c r="Q934" s="1">
        <f>IF(Data!Q934&gt;0,Data!Q934,"")</f>
        <v/>
      </c>
      <c r="R934" s="1">
        <f>IF(Data!R934&gt;0,Data!R934,"")</f>
        <v/>
      </c>
      <c r="S934" s="1">
        <f>IF(Data!S934&gt;0,Data!S934,"")</f>
        <v/>
      </c>
      <c r="V934" s="3">
        <f>IF(COUNT(D934,J934,K934,L934,M934,O934)&gt;0,AVERAGE(D934,J934,K934,L934,M934,O934),"")</f>
        <v/>
      </c>
      <c r="W934" s="3">
        <f>IF(COUNT(C934,F934,G934,N934,Q934)&gt;0,AVERAGE(C934,F934,G934,N934,Q934),"")</f>
        <v/>
      </c>
      <c r="X934" s="3">
        <f>IF(COUNT(B934,E934,H934,I934,P934,R934,S934)&gt;0,AVERAGE(B934,E934,H934,I934,P934,R934,S934),"")</f>
        <v/>
      </c>
      <c r="Y934" s="3" t="n"/>
      <c r="AJ934">
        <f>IFERROR(AVERAGEIF($A$4:$A$1004,AI934,$V$4:$V$1004),"")</f>
        <v/>
      </c>
      <c r="AK934">
        <f>IFERROR(AVERAGEIF($A$4:$A$1004,AI934,$W$4:$W$1004),"")</f>
        <v/>
      </c>
      <c r="AL934">
        <f>IFERROR(AVERAGEIF($A$4:$A$1004,AI934,$X$4:$X$1004),"")</f>
        <v/>
      </c>
    </row>
    <row r="935">
      <c r="A935" s="1">
        <f>IF(Data!A935&gt;0,Data!A935,"")</f>
        <v/>
      </c>
      <c r="B935" s="1">
        <f>IF(Data!B935&gt;0,Data!B935,"")</f>
        <v/>
      </c>
      <c r="C935" s="1">
        <f>IF(Data!C935&gt;0,Data!C935,"")</f>
        <v/>
      </c>
      <c r="D935" s="1">
        <f>IF(Data!D935&gt;0,Data!D935,"")</f>
        <v/>
      </c>
      <c r="E935" s="1">
        <f>IF(Data!E935&gt;0,Data!E935,"")</f>
        <v/>
      </c>
      <c r="F935" s="1">
        <f>IF(Data!F935&gt;0,Data!F935,"")</f>
        <v/>
      </c>
      <c r="G935" s="1">
        <f>IF(Data!G935&gt;0,Data!G935,"")</f>
        <v/>
      </c>
      <c r="H935" s="1">
        <f>IF(Data!H935&gt;0,Data!H935,"")</f>
        <v/>
      </c>
      <c r="I935" s="1">
        <f>IF(Data!I935&gt;0,Data!I935,"")</f>
        <v/>
      </c>
      <c r="J935" s="1">
        <f>IF(Data!J935&gt;0,Data!J935,"")</f>
        <v/>
      </c>
      <c r="K935" s="1">
        <f>IF(Data!K935&gt;0,Data!K935,"")</f>
        <v/>
      </c>
      <c r="L935" s="1">
        <f>IF(Data!L935&gt;0,Data!L935,"")</f>
        <v/>
      </c>
      <c r="M935" s="1">
        <f>IF(Data!M935&gt;0,Data!M935,"")</f>
        <v/>
      </c>
      <c r="N935" s="1">
        <f>IF(Data!N935&gt;0,Data!N935,"")</f>
        <v/>
      </c>
      <c r="O935" s="1">
        <f>IF(Data!O935&gt;0,Data!O935,"")</f>
        <v/>
      </c>
      <c r="P935" s="1">
        <f>IF(Data!P935&gt;0,Data!P935,"")</f>
        <v/>
      </c>
      <c r="Q935" s="1">
        <f>IF(Data!Q935&gt;0,Data!Q935,"")</f>
        <v/>
      </c>
      <c r="R935" s="1">
        <f>IF(Data!R935&gt;0,Data!R935,"")</f>
        <v/>
      </c>
      <c r="S935" s="1">
        <f>IF(Data!S935&gt;0,Data!S935,"")</f>
        <v/>
      </c>
      <c r="V935" s="3">
        <f>IF(COUNT(D935,J935,K935,L935,M935,O935)&gt;0,AVERAGE(D935,J935,K935,L935,M935,O935),"")</f>
        <v/>
      </c>
      <c r="W935" s="3">
        <f>IF(COUNT(C935,F935,G935,N935,Q935)&gt;0,AVERAGE(C935,F935,G935,N935,Q935),"")</f>
        <v/>
      </c>
      <c r="X935" s="3">
        <f>IF(COUNT(B935,E935,H935,I935,P935,R935,S935)&gt;0,AVERAGE(B935,E935,H935,I935,P935,R935,S935),"")</f>
        <v/>
      </c>
      <c r="Y935" s="3" t="n"/>
      <c r="AJ935">
        <f>IFERROR(AVERAGEIF($A$4:$A$1004,AI935,$V$4:$V$1004),"")</f>
        <v/>
      </c>
      <c r="AK935">
        <f>IFERROR(AVERAGEIF($A$4:$A$1004,AI935,$W$4:$W$1004),"")</f>
        <v/>
      </c>
      <c r="AL935">
        <f>IFERROR(AVERAGEIF($A$4:$A$1004,AI935,$X$4:$X$1004),"")</f>
        <v/>
      </c>
    </row>
    <row r="936">
      <c r="A936" s="1">
        <f>IF(Data!A936&gt;0,Data!A936,"")</f>
        <v/>
      </c>
      <c r="B936" s="1">
        <f>IF(Data!B936&gt;0,Data!B936,"")</f>
        <v/>
      </c>
      <c r="C936" s="1">
        <f>IF(Data!C936&gt;0,Data!C936,"")</f>
        <v/>
      </c>
      <c r="D936" s="1">
        <f>IF(Data!D936&gt;0,Data!D936,"")</f>
        <v/>
      </c>
      <c r="E936" s="1">
        <f>IF(Data!E936&gt;0,Data!E936,"")</f>
        <v/>
      </c>
      <c r="F936" s="1">
        <f>IF(Data!F936&gt;0,Data!F936,"")</f>
        <v/>
      </c>
      <c r="G936" s="1">
        <f>IF(Data!G936&gt;0,Data!G936,"")</f>
        <v/>
      </c>
      <c r="H936" s="1">
        <f>IF(Data!H936&gt;0,Data!H936,"")</f>
        <v/>
      </c>
      <c r="I936" s="1">
        <f>IF(Data!I936&gt;0,Data!I936,"")</f>
        <v/>
      </c>
      <c r="J936" s="1">
        <f>IF(Data!J936&gt;0,Data!J936,"")</f>
        <v/>
      </c>
      <c r="K936" s="1">
        <f>IF(Data!K936&gt;0,Data!K936,"")</f>
        <v/>
      </c>
      <c r="L936" s="1">
        <f>IF(Data!L936&gt;0,Data!L936,"")</f>
        <v/>
      </c>
      <c r="M936" s="1">
        <f>IF(Data!M936&gt;0,Data!M936,"")</f>
        <v/>
      </c>
      <c r="N936" s="1">
        <f>IF(Data!N936&gt;0,Data!N936,"")</f>
        <v/>
      </c>
      <c r="O936" s="1">
        <f>IF(Data!O936&gt;0,Data!O936,"")</f>
        <v/>
      </c>
      <c r="P936" s="1">
        <f>IF(Data!P936&gt;0,Data!P936,"")</f>
        <v/>
      </c>
      <c r="Q936" s="1">
        <f>IF(Data!Q936&gt;0,Data!Q936,"")</f>
        <v/>
      </c>
      <c r="R936" s="1">
        <f>IF(Data!R936&gt;0,Data!R936,"")</f>
        <v/>
      </c>
      <c r="S936" s="1">
        <f>IF(Data!S936&gt;0,Data!S936,"")</f>
        <v/>
      </c>
      <c r="V936" s="3">
        <f>IF(COUNT(D936,J936,K936,L936,M936,O936)&gt;0,AVERAGE(D936,J936,K936,L936,M936,O936),"")</f>
        <v/>
      </c>
      <c r="W936" s="3">
        <f>IF(COUNT(C936,F936,G936,N936,Q936)&gt;0,AVERAGE(C936,F936,G936,N936,Q936),"")</f>
        <v/>
      </c>
      <c r="X936" s="3">
        <f>IF(COUNT(B936,E936,H936,I936,P936,R936,S936)&gt;0,AVERAGE(B936,E936,H936,I936,P936,R936,S936),"")</f>
        <v/>
      </c>
      <c r="Y936" s="3" t="n"/>
      <c r="AJ936">
        <f>IFERROR(AVERAGEIF($A$4:$A$1004,AI936,$V$4:$V$1004),"")</f>
        <v/>
      </c>
      <c r="AK936">
        <f>IFERROR(AVERAGEIF($A$4:$A$1004,AI936,$W$4:$W$1004),"")</f>
        <v/>
      </c>
      <c r="AL936">
        <f>IFERROR(AVERAGEIF($A$4:$A$1004,AI936,$X$4:$X$1004),"")</f>
        <v/>
      </c>
    </row>
    <row r="937">
      <c r="A937" s="1">
        <f>IF(Data!A937&gt;0,Data!A937,"")</f>
        <v/>
      </c>
      <c r="B937" s="1">
        <f>IF(Data!B937&gt;0,Data!B937,"")</f>
        <v/>
      </c>
      <c r="C937" s="1">
        <f>IF(Data!C937&gt;0,Data!C937,"")</f>
        <v/>
      </c>
      <c r="D937" s="1">
        <f>IF(Data!D937&gt;0,Data!D937,"")</f>
        <v/>
      </c>
      <c r="E937" s="1">
        <f>IF(Data!E937&gt;0,Data!E937,"")</f>
        <v/>
      </c>
      <c r="F937" s="1">
        <f>IF(Data!F937&gt;0,Data!F937,"")</f>
        <v/>
      </c>
      <c r="G937" s="1">
        <f>IF(Data!G937&gt;0,Data!G937,"")</f>
        <v/>
      </c>
      <c r="H937" s="1">
        <f>IF(Data!H937&gt;0,Data!H937,"")</f>
        <v/>
      </c>
      <c r="I937" s="1">
        <f>IF(Data!I937&gt;0,Data!I937,"")</f>
        <v/>
      </c>
      <c r="J937" s="1">
        <f>IF(Data!J937&gt;0,Data!J937,"")</f>
        <v/>
      </c>
      <c r="K937" s="1">
        <f>IF(Data!K937&gt;0,Data!K937,"")</f>
        <v/>
      </c>
      <c r="L937" s="1">
        <f>IF(Data!L937&gt;0,Data!L937,"")</f>
        <v/>
      </c>
      <c r="M937" s="1">
        <f>IF(Data!M937&gt;0,Data!M937,"")</f>
        <v/>
      </c>
      <c r="N937" s="1">
        <f>IF(Data!N937&gt;0,Data!N937,"")</f>
        <v/>
      </c>
      <c r="O937" s="1">
        <f>IF(Data!O937&gt;0,Data!O937,"")</f>
        <v/>
      </c>
      <c r="P937" s="1">
        <f>IF(Data!P937&gt;0,Data!P937,"")</f>
        <v/>
      </c>
      <c r="Q937" s="1">
        <f>IF(Data!Q937&gt;0,Data!Q937,"")</f>
        <v/>
      </c>
      <c r="R937" s="1">
        <f>IF(Data!R937&gt;0,Data!R937,"")</f>
        <v/>
      </c>
      <c r="S937" s="1">
        <f>IF(Data!S937&gt;0,Data!S937,"")</f>
        <v/>
      </c>
      <c r="V937" s="3">
        <f>IF(COUNT(D937,J937,K937,L937,M937,O937)&gt;0,AVERAGE(D937,J937,K937,L937,M937,O937),"")</f>
        <v/>
      </c>
      <c r="W937" s="3">
        <f>IF(COUNT(C937,F937,G937,N937,Q937)&gt;0,AVERAGE(C937,F937,G937,N937,Q937),"")</f>
        <v/>
      </c>
      <c r="X937" s="3">
        <f>IF(COUNT(B937,E937,H937,I937,P937,R937,S937)&gt;0,AVERAGE(B937,E937,H937,I937,P937,R937,S937),"")</f>
        <v/>
      </c>
      <c r="Y937" s="3" t="n"/>
      <c r="AJ937">
        <f>IFERROR(AVERAGEIF($A$4:$A$1004,AI937,$V$4:$V$1004),"")</f>
        <v/>
      </c>
      <c r="AK937">
        <f>IFERROR(AVERAGEIF($A$4:$A$1004,AI937,$W$4:$W$1004),"")</f>
        <v/>
      </c>
      <c r="AL937">
        <f>IFERROR(AVERAGEIF($A$4:$A$1004,AI937,$X$4:$X$1004),"")</f>
        <v/>
      </c>
    </row>
    <row r="938">
      <c r="A938" s="1">
        <f>IF(Data!A938&gt;0,Data!A938,"")</f>
        <v/>
      </c>
      <c r="B938" s="1">
        <f>IF(Data!B938&gt;0,Data!B938,"")</f>
        <v/>
      </c>
      <c r="C938" s="1">
        <f>IF(Data!C938&gt;0,Data!C938,"")</f>
        <v/>
      </c>
      <c r="D938" s="1">
        <f>IF(Data!D938&gt;0,Data!D938,"")</f>
        <v/>
      </c>
      <c r="E938" s="1">
        <f>IF(Data!E938&gt;0,Data!E938,"")</f>
        <v/>
      </c>
      <c r="F938" s="1">
        <f>IF(Data!F938&gt;0,Data!F938,"")</f>
        <v/>
      </c>
      <c r="G938" s="1">
        <f>IF(Data!G938&gt;0,Data!G938,"")</f>
        <v/>
      </c>
      <c r="H938" s="1">
        <f>IF(Data!H938&gt;0,Data!H938,"")</f>
        <v/>
      </c>
      <c r="I938" s="1">
        <f>IF(Data!I938&gt;0,Data!I938,"")</f>
        <v/>
      </c>
      <c r="J938" s="1">
        <f>IF(Data!J938&gt;0,Data!J938,"")</f>
        <v/>
      </c>
      <c r="K938" s="1">
        <f>IF(Data!K938&gt;0,Data!K938,"")</f>
        <v/>
      </c>
      <c r="L938" s="1">
        <f>IF(Data!L938&gt;0,Data!L938,"")</f>
        <v/>
      </c>
      <c r="M938" s="1">
        <f>IF(Data!M938&gt;0,Data!M938,"")</f>
        <v/>
      </c>
      <c r="N938" s="1">
        <f>IF(Data!N938&gt;0,Data!N938,"")</f>
        <v/>
      </c>
      <c r="O938" s="1">
        <f>IF(Data!O938&gt;0,Data!O938,"")</f>
        <v/>
      </c>
      <c r="P938" s="1">
        <f>IF(Data!P938&gt;0,Data!P938,"")</f>
        <v/>
      </c>
      <c r="Q938" s="1">
        <f>IF(Data!Q938&gt;0,Data!Q938,"")</f>
        <v/>
      </c>
      <c r="R938" s="1">
        <f>IF(Data!R938&gt;0,Data!R938,"")</f>
        <v/>
      </c>
      <c r="S938" s="1">
        <f>IF(Data!S938&gt;0,Data!S938,"")</f>
        <v/>
      </c>
      <c r="V938" s="3">
        <f>IF(COUNT(D938,J938,K938,L938,M938,O938)&gt;0,AVERAGE(D938,J938,K938,L938,M938,O938),"")</f>
        <v/>
      </c>
      <c r="W938" s="3">
        <f>IF(COUNT(C938,F938,G938,N938,Q938)&gt;0,AVERAGE(C938,F938,G938,N938,Q938),"")</f>
        <v/>
      </c>
      <c r="X938" s="3">
        <f>IF(COUNT(B938,E938,H938,I938,P938,R938,S938)&gt;0,AVERAGE(B938,E938,H938,I938,P938,R938,S938),"")</f>
        <v/>
      </c>
      <c r="Y938" s="3" t="n"/>
      <c r="AJ938">
        <f>IFERROR(AVERAGEIF($A$4:$A$1004,AI938,$V$4:$V$1004),"")</f>
        <v/>
      </c>
      <c r="AK938">
        <f>IFERROR(AVERAGEIF($A$4:$A$1004,AI938,$W$4:$W$1004),"")</f>
        <v/>
      </c>
      <c r="AL938">
        <f>IFERROR(AVERAGEIF($A$4:$A$1004,AI938,$X$4:$X$1004),"")</f>
        <v/>
      </c>
    </row>
    <row r="939">
      <c r="A939" s="1">
        <f>IF(Data!A939&gt;0,Data!A939,"")</f>
        <v/>
      </c>
      <c r="B939" s="1">
        <f>IF(Data!B939&gt;0,Data!B939,"")</f>
        <v/>
      </c>
      <c r="C939" s="1">
        <f>IF(Data!C939&gt;0,Data!C939,"")</f>
        <v/>
      </c>
      <c r="D939" s="1">
        <f>IF(Data!D939&gt;0,Data!D939,"")</f>
        <v/>
      </c>
      <c r="E939" s="1">
        <f>IF(Data!E939&gt;0,Data!E939,"")</f>
        <v/>
      </c>
      <c r="F939" s="1">
        <f>IF(Data!F939&gt;0,Data!F939,"")</f>
        <v/>
      </c>
      <c r="G939" s="1">
        <f>IF(Data!G939&gt;0,Data!G939,"")</f>
        <v/>
      </c>
      <c r="H939" s="1">
        <f>IF(Data!H939&gt;0,Data!H939,"")</f>
        <v/>
      </c>
      <c r="I939" s="1">
        <f>IF(Data!I939&gt;0,Data!I939,"")</f>
        <v/>
      </c>
      <c r="J939" s="1">
        <f>IF(Data!J939&gt;0,Data!J939,"")</f>
        <v/>
      </c>
      <c r="K939" s="1">
        <f>IF(Data!K939&gt;0,Data!K939,"")</f>
        <v/>
      </c>
      <c r="L939" s="1">
        <f>IF(Data!L939&gt;0,Data!L939,"")</f>
        <v/>
      </c>
      <c r="M939" s="1">
        <f>IF(Data!M939&gt;0,Data!M939,"")</f>
        <v/>
      </c>
      <c r="N939" s="1">
        <f>IF(Data!N939&gt;0,Data!N939,"")</f>
        <v/>
      </c>
      <c r="O939" s="1">
        <f>IF(Data!O939&gt;0,Data!O939,"")</f>
        <v/>
      </c>
      <c r="P939" s="1">
        <f>IF(Data!P939&gt;0,Data!P939,"")</f>
        <v/>
      </c>
      <c r="Q939" s="1">
        <f>IF(Data!Q939&gt;0,Data!Q939,"")</f>
        <v/>
      </c>
      <c r="R939" s="1">
        <f>IF(Data!R939&gt;0,Data!R939,"")</f>
        <v/>
      </c>
      <c r="S939" s="1">
        <f>IF(Data!S939&gt;0,Data!S939,"")</f>
        <v/>
      </c>
      <c r="V939" s="3">
        <f>IF(COUNT(D939,J939,K939,L939,M939,O939)&gt;0,AVERAGE(D939,J939,K939,L939,M939,O939),"")</f>
        <v/>
      </c>
      <c r="W939" s="3">
        <f>IF(COUNT(C939,F939,G939,N939,Q939)&gt;0,AVERAGE(C939,F939,G939,N939,Q939),"")</f>
        <v/>
      </c>
      <c r="X939" s="3">
        <f>IF(COUNT(B939,E939,H939,I939,P939,R939,S939)&gt;0,AVERAGE(B939,E939,H939,I939,P939,R939,S939),"")</f>
        <v/>
      </c>
      <c r="Y939" s="3" t="n"/>
      <c r="AJ939">
        <f>IFERROR(AVERAGEIF($A$4:$A$1004,AI939,$V$4:$V$1004),"")</f>
        <v/>
      </c>
      <c r="AK939">
        <f>IFERROR(AVERAGEIF($A$4:$A$1004,AI939,$W$4:$W$1004),"")</f>
        <v/>
      </c>
      <c r="AL939">
        <f>IFERROR(AVERAGEIF($A$4:$A$1004,AI939,$X$4:$X$1004),"")</f>
        <v/>
      </c>
    </row>
    <row r="940">
      <c r="A940" s="1">
        <f>IF(Data!A940&gt;0,Data!A940,"")</f>
        <v/>
      </c>
      <c r="B940" s="1">
        <f>IF(Data!B940&gt;0,Data!B940,"")</f>
        <v/>
      </c>
      <c r="C940" s="1">
        <f>IF(Data!C940&gt;0,Data!C940,"")</f>
        <v/>
      </c>
      <c r="D940" s="1">
        <f>IF(Data!D940&gt;0,Data!D940,"")</f>
        <v/>
      </c>
      <c r="E940" s="1">
        <f>IF(Data!E940&gt;0,Data!E940,"")</f>
        <v/>
      </c>
      <c r="F940" s="1">
        <f>IF(Data!F940&gt;0,Data!F940,"")</f>
        <v/>
      </c>
      <c r="G940" s="1">
        <f>IF(Data!G940&gt;0,Data!G940,"")</f>
        <v/>
      </c>
      <c r="H940" s="1">
        <f>IF(Data!H940&gt;0,Data!H940,"")</f>
        <v/>
      </c>
      <c r="I940" s="1">
        <f>IF(Data!I940&gt;0,Data!I940,"")</f>
        <v/>
      </c>
      <c r="J940" s="1">
        <f>IF(Data!J940&gt;0,Data!J940,"")</f>
        <v/>
      </c>
      <c r="K940" s="1">
        <f>IF(Data!K940&gt;0,Data!K940,"")</f>
        <v/>
      </c>
      <c r="L940" s="1">
        <f>IF(Data!L940&gt;0,Data!L940,"")</f>
        <v/>
      </c>
      <c r="M940" s="1">
        <f>IF(Data!M940&gt;0,Data!M940,"")</f>
        <v/>
      </c>
      <c r="N940" s="1">
        <f>IF(Data!N940&gt;0,Data!N940,"")</f>
        <v/>
      </c>
      <c r="O940" s="1">
        <f>IF(Data!O940&gt;0,Data!O940,"")</f>
        <v/>
      </c>
      <c r="P940" s="1">
        <f>IF(Data!P940&gt;0,Data!P940,"")</f>
        <v/>
      </c>
      <c r="Q940" s="1">
        <f>IF(Data!Q940&gt;0,Data!Q940,"")</f>
        <v/>
      </c>
      <c r="R940" s="1">
        <f>IF(Data!R940&gt;0,Data!R940,"")</f>
        <v/>
      </c>
      <c r="S940" s="1">
        <f>IF(Data!S940&gt;0,Data!S940,"")</f>
        <v/>
      </c>
      <c r="V940" s="3">
        <f>IF(COUNT(D940,J940,K940,L940,M940,O940)&gt;0,AVERAGE(D940,J940,K940,L940,M940,O940),"")</f>
        <v/>
      </c>
      <c r="W940" s="3">
        <f>IF(COUNT(C940,F940,G940,N940,Q940)&gt;0,AVERAGE(C940,F940,G940,N940,Q940),"")</f>
        <v/>
      </c>
      <c r="X940" s="3">
        <f>IF(COUNT(B940,E940,H940,I940,P940,R940,S940)&gt;0,AVERAGE(B940,E940,H940,I940,P940,R940,S940),"")</f>
        <v/>
      </c>
      <c r="Y940" s="3" t="n"/>
      <c r="AJ940">
        <f>IFERROR(AVERAGEIF($A$4:$A$1004,AI940,$V$4:$V$1004),"")</f>
        <v/>
      </c>
      <c r="AK940">
        <f>IFERROR(AVERAGEIF($A$4:$A$1004,AI940,$W$4:$W$1004),"")</f>
        <v/>
      </c>
      <c r="AL940">
        <f>IFERROR(AVERAGEIF($A$4:$A$1004,AI940,$X$4:$X$1004),"")</f>
        <v/>
      </c>
    </row>
    <row r="941">
      <c r="A941" s="1">
        <f>IF(Data!A941&gt;0,Data!A941,"")</f>
        <v/>
      </c>
      <c r="B941" s="1">
        <f>IF(Data!B941&gt;0,Data!B941,"")</f>
        <v/>
      </c>
      <c r="C941" s="1">
        <f>IF(Data!C941&gt;0,Data!C941,"")</f>
        <v/>
      </c>
      <c r="D941" s="1">
        <f>IF(Data!D941&gt;0,Data!D941,"")</f>
        <v/>
      </c>
      <c r="E941" s="1">
        <f>IF(Data!E941&gt;0,Data!E941,"")</f>
        <v/>
      </c>
      <c r="F941" s="1">
        <f>IF(Data!F941&gt;0,Data!F941,"")</f>
        <v/>
      </c>
      <c r="G941" s="1">
        <f>IF(Data!G941&gt;0,Data!G941,"")</f>
        <v/>
      </c>
      <c r="H941" s="1">
        <f>IF(Data!H941&gt;0,Data!H941,"")</f>
        <v/>
      </c>
      <c r="I941" s="1">
        <f>IF(Data!I941&gt;0,Data!I941,"")</f>
        <v/>
      </c>
      <c r="J941" s="1">
        <f>IF(Data!J941&gt;0,Data!J941,"")</f>
        <v/>
      </c>
      <c r="K941" s="1">
        <f>IF(Data!K941&gt;0,Data!K941,"")</f>
        <v/>
      </c>
      <c r="L941" s="1">
        <f>IF(Data!L941&gt;0,Data!L941,"")</f>
        <v/>
      </c>
      <c r="M941" s="1">
        <f>IF(Data!M941&gt;0,Data!M941,"")</f>
        <v/>
      </c>
      <c r="N941" s="1">
        <f>IF(Data!N941&gt;0,Data!N941,"")</f>
        <v/>
      </c>
      <c r="O941" s="1">
        <f>IF(Data!O941&gt;0,Data!O941,"")</f>
        <v/>
      </c>
      <c r="P941" s="1">
        <f>IF(Data!P941&gt;0,Data!P941,"")</f>
        <v/>
      </c>
      <c r="Q941" s="1">
        <f>IF(Data!Q941&gt;0,Data!Q941,"")</f>
        <v/>
      </c>
      <c r="R941" s="1">
        <f>IF(Data!R941&gt;0,Data!R941,"")</f>
        <v/>
      </c>
      <c r="S941" s="1">
        <f>IF(Data!S941&gt;0,Data!S941,"")</f>
        <v/>
      </c>
      <c r="V941" s="3">
        <f>IF(COUNT(D941,J941,K941,L941,M941,O941)&gt;0,AVERAGE(D941,J941,K941,L941,M941,O941),"")</f>
        <v/>
      </c>
      <c r="W941" s="3">
        <f>IF(COUNT(C941,F941,G941,N941,Q941)&gt;0,AVERAGE(C941,F941,G941,N941,Q941),"")</f>
        <v/>
      </c>
      <c r="X941" s="3">
        <f>IF(COUNT(B941,E941,H941,I941,P941,R941,S941)&gt;0,AVERAGE(B941,E941,H941,I941,P941,R941,S941),"")</f>
        <v/>
      </c>
      <c r="Y941" s="3" t="n"/>
      <c r="AJ941">
        <f>IFERROR(AVERAGEIF($A$4:$A$1004,AI941,$V$4:$V$1004),"")</f>
        <v/>
      </c>
      <c r="AK941">
        <f>IFERROR(AVERAGEIF($A$4:$A$1004,AI941,$W$4:$W$1004),"")</f>
        <v/>
      </c>
      <c r="AL941">
        <f>IFERROR(AVERAGEIF($A$4:$A$1004,AI941,$X$4:$X$1004),"")</f>
        <v/>
      </c>
    </row>
    <row r="942">
      <c r="A942" s="1">
        <f>IF(Data!A942&gt;0,Data!A942,"")</f>
        <v/>
      </c>
      <c r="B942" s="1">
        <f>IF(Data!B942&gt;0,Data!B942,"")</f>
        <v/>
      </c>
      <c r="C942" s="1">
        <f>IF(Data!C942&gt;0,Data!C942,"")</f>
        <v/>
      </c>
      <c r="D942" s="1">
        <f>IF(Data!D942&gt;0,Data!D942,"")</f>
        <v/>
      </c>
      <c r="E942" s="1">
        <f>IF(Data!E942&gt;0,Data!E942,"")</f>
        <v/>
      </c>
      <c r="F942" s="1">
        <f>IF(Data!F942&gt;0,Data!F942,"")</f>
        <v/>
      </c>
      <c r="G942" s="1">
        <f>IF(Data!G942&gt;0,Data!G942,"")</f>
        <v/>
      </c>
      <c r="H942" s="1">
        <f>IF(Data!H942&gt;0,Data!H942,"")</f>
        <v/>
      </c>
      <c r="I942" s="1">
        <f>IF(Data!I942&gt;0,Data!I942,"")</f>
        <v/>
      </c>
      <c r="J942" s="1">
        <f>IF(Data!J942&gt;0,Data!J942,"")</f>
        <v/>
      </c>
      <c r="K942" s="1">
        <f>IF(Data!K942&gt;0,Data!K942,"")</f>
        <v/>
      </c>
      <c r="L942" s="1">
        <f>IF(Data!L942&gt;0,Data!L942,"")</f>
        <v/>
      </c>
      <c r="M942" s="1">
        <f>IF(Data!M942&gt;0,Data!M942,"")</f>
        <v/>
      </c>
      <c r="N942" s="1">
        <f>IF(Data!N942&gt;0,Data!N942,"")</f>
        <v/>
      </c>
      <c r="O942" s="1">
        <f>IF(Data!O942&gt;0,Data!O942,"")</f>
        <v/>
      </c>
      <c r="P942" s="1">
        <f>IF(Data!P942&gt;0,Data!P942,"")</f>
        <v/>
      </c>
      <c r="Q942" s="1">
        <f>IF(Data!Q942&gt;0,Data!Q942,"")</f>
        <v/>
      </c>
      <c r="R942" s="1">
        <f>IF(Data!R942&gt;0,Data!R942,"")</f>
        <v/>
      </c>
      <c r="S942" s="1">
        <f>IF(Data!S942&gt;0,Data!S942,"")</f>
        <v/>
      </c>
      <c r="V942" s="3">
        <f>IF(COUNT(D942,J942,K942,L942,M942,O942)&gt;0,AVERAGE(D942,J942,K942,L942,M942,O942),"")</f>
        <v/>
      </c>
      <c r="W942" s="3">
        <f>IF(COUNT(C942,F942,G942,N942,Q942)&gt;0,AVERAGE(C942,F942,G942,N942,Q942),"")</f>
        <v/>
      </c>
      <c r="X942" s="3">
        <f>IF(COUNT(B942,E942,H942,I942,P942,R942,S942)&gt;0,AVERAGE(B942,E942,H942,I942,P942,R942,S942),"")</f>
        <v/>
      </c>
      <c r="Y942" s="3" t="n"/>
      <c r="AJ942">
        <f>IFERROR(AVERAGEIF($A$4:$A$1004,AI942,$V$4:$V$1004),"")</f>
        <v/>
      </c>
      <c r="AK942">
        <f>IFERROR(AVERAGEIF($A$4:$A$1004,AI942,$W$4:$W$1004),"")</f>
        <v/>
      </c>
      <c r="AL942">
        <f>IFERROR(AVERAGEIF($A$4:$A$1004,AI942,$X$4:$X$1004),"")</f>
        <v/>
      </c>
    </row>
    <row r="943">
      <c r="A943" s="1">
        <f>IF(Data!A943&gt;0,Data!A943,"")</f>
        <v/>
      </c>
      <c r="B943" s="1">
        <f>IF(Data!B943&gt;0,Data!B943,"")</f>
        <v/>
      </c>
      <c r="C943" s="1">
        <f>IF(Data!C943&gt;0,Data!C943,"")</f>
        <v/>
      </c>
      <c r="D943" s="1">
        <f>IF(Data!D943&gt;0,Data!D943,"")</f>
        <v/>
      </c>
      <c r="E943" s="1">
        <f>IF(Data!E943&gt;0,Data!E943,"")</f>
        <v/>
      </c>
      <c r="F943" s="1">
        <f>IF(Data!F943&gt;0,Data!F943,"")</f>
        <v/>
      </c>
      <c r="G943" s="1">
        <f>IF(Data!G943&gt;0,Data!G943,"")</f>
        <v/>
      </c>
      <c r="H943" s="1">
        <f>IF(Data!H943&gt;0,Data!H943,"")</f>
        <v/>
      </c>
      <c r="I943" s="1">
        <f>IF(Data!I943&gt;0,Data!I943,"")</f>
        <v/>
      </c>
      <c r="J943" s="1">
        <f>IF(Data!J943&gt;0,Data!J943,"")</f>
        <v/>
      </c>
      <c r="K943" s="1">
        <f>IF(Data!K943&gt;0,Data!K943,"")</f>
        <v/>
      </c>
      <c r="L943" s="1">
        <f>IF(Data!L943&gt;0,Data!L943,"")</f>
        <v/>
      </c>
      <c r="M943" s="1">
        <f>IF(Data!M943&gt;0,Data!M943,"")</f>
        <v/>
      </c>
      <c r="N943" s="1">
        <f>IF(Data!N943&gt;0,Data!N943,"")</f>
        <v/>
      </c>
      <c r="O943" s="1">
        <f>IF(Data!O943&gt;0,Data!O943,"")</f>
        <v/>
      </c>
      <c r="P943" s="1">
        <f>IF(Data!P943&gt;0,Data!P943,"")</f>
        <v/>
      </c>
      <c r="Q943" s="1">
        <f>IF(Data!Q943&gt;0,Data!Q943,"")</f>
        <v/>
      </c>
      <c r="R943" s="1">
        <f>IF(Data!R943&gt;0,Data!R943,"")</f>
        <v/>
      </c>
      <c r="S943" s="1">
        <f>IF(Data!S943&gt;0,Data!S943,"")</f>
        <v/>
      </c>
      <c r="V943" s="3">
        <f>IF(COUNT(D943,J943,K943,L943,M943,O943)&gt;0,AVERAGE(D943,J943,K943,L943,M943,O943),"")</f>
        <v/>
      </c>
      <c r="W943" s="3">
        <f>IF(COUNT(C943,F943,G943,N943,Q943)&gt;0,AVERAGE(C943,F943,G943,N943,Q943),"")</f>
        <v/>
      </c>
      <c r="X943" s="3">
        <f>IF(COUNT(B943,E943,H943,I943,P943,R943,S943)&gt;0,AVERAGE(B943,E943,H943,I943,P943,R943,S943),"")</f>
        <v/>
      </c>
      <c r="Y943" s="3" t="n"/>
      <c r="AJ943">
        <f>IFERROR(AVERAGEIF($A$4:$A$1004,AI943,$V$4:$V$1004),"")</f>
        <v/>
      </c>
      <c r="AK943">
        <f>IFERROR(AVERAGEIF($A$4:$A$1004,AI943,$W$4:$W$1004),"")</f>
        <v/>
      </c>
      <c r="AL943">
        <f>IFERROR(AVERAGEIF($A$4:$A$1004,AI943,$X$4:$X$1004),"")</f>
        <v/>
      </c>
    </row>
    <row r="944">
      <c r="A944" s="1">
        <f>IF(Data!A944&gt;0,Data!A944,"")</f>
        <v/>
      </c>
      <c r="B944" s="1">
        <f>IF(Data!B944&gt;0,Data!B944,"")</f>
        <v/>
      </c>
      <c r="C944" s="1">
        <f>IF(Data!C944&gt;0,Data!C944,"")</f>
        <v/>
      </c>
      <c r="D944" s="1">
        <f>IF(Data!D944&gt;0,Data!D944,"")</f>
        <v/>
      </c>
      <c r="E944" s="1">
        <f>IF(Data!E944&gt;0,Data!E944,"")</f>
        <v/>
      </c>
      <c r="F944" s="1">
        <f>IF(Data!F944&gt;0,Data!F944,"")</f>
        <v/>
      </c>
      <c r="G944" s="1">
        <f>IF(Data!G944&gt;0,Data!G944,"")</f>
        <v/>
      </c>
      <c r="H944" s="1">
        <f>IF(Data!H944&gt;0,Data!H944,"")</f>
        <v/>
      </c>
      <c r="I944" s="1">
        <f>IF(Data!I944&gt;0,Data!I944,"")</f>
        <v/>
      </c>
      <c r="J944" s="1">
        <f>IF(Data!J944&gt;0,Data!J944,"")</f>
        <v/>
      </c>
      <c r="K944" s="1">
        <f>IF(Data!K944&gt;0,Data!K944,"")</f>
        <v/>
      </c>
      <c r="L944" s="1">
        <f>IF(Data!L944&gt;0,Data!L944,"")</f>
        <v/>
      </c>
      <c r="M944" s="1">
        <f>IF(Data!M944&gt;0,Data!M944,"")</f>
        <v/>
      </c>
      <c r="N944" s="1">
        <f>IF(Data!N944&gt;0,Data!N944,"")</f>
        <v/>
      </c>
      <c r="O944" s="1">
        <f>IF(Data!O944&gt;0,Data!O944,"")</f>
        <v/>
      </c>
      <c r="P944" s="1">
        <f>IF(Data!P944&gt;0,Data!P944,"")</f>
        <v/>
      </c>
      <c r="Q944" s="1">
        <f>IF(Data!Q944&gt;0,Data!Q944,"")</f>
        <v/>
      </c>
      <c r="R944" s="1">
        <f>IF(Data!R944&gt;0,Data!R944,"")</f>
        <v/>
      </c>
      <c r="S944" s="1">
        <f>IF(Data!S944&gt;0,Data!S944,"")</f>
        <v/>
      </c>
      <c r="V944" s="3">
        <f>IF(COUNT(D944,J944,K944,L944,M944,O944)&gt;0,AVERAGE(D944,J944,K944,L944,M944,O944),"")</f>
        <v/>
      </c>
      <c r="W944" s="3">
        <f>IF(COUNT(C944,F944,G944,N944,Q944)&gt;0,AVERAGE(C944,F944,G944,N944,Q944),"")</f>
        <v/>
      </c>
      <c r="X944" s="3">
        <f>IF(COUNT(B944,E944,H944,I944,P944,R944,S944)&gt;0,AVERAGE(B944,E944,H944,I944,P944,R944,S944),"")</f>
        <v/>
      </c>
      <c r="Y944" s="3" t="n"/>
      <c r="AJ944">
        <f>IFERROR(AVERAGEIF($A$4:$A$1004,AI944,$V$4:$V$1004),"")</f>
        <v/>
      </c>
      <c r="AK944">
        <f>IFERROR(AVERAGEIF($A$4:$A$1004,AI944,$W$4:$W$1004),"")</f>
        <v/>
      </c>
      <c r="AL944">
        <f>IFERROR(AVERAGEIF($A$4:$A$1004,AI944,$X$4:$X$1004),"")</f>
        <v/>
      </c>
    </row>
    <row r="945">
      <c r="A945" s="1">
        <f>IF(Data!A945&gt;0,Data!A945,"")</f>
        <v/>
      </c>
      <c r="B945" s="1">
        <f>IF(Data!B945&gt;0,Data!B945,"")</f>
        <v/>
      </c>
      <c r="C945" s="1">
        <f>IF(Data!C945&gt;0,Data!C945,"")</f>
        <v/>
      </c>
      <c r="D945" s="1">
        <f>IF(Data!D945&gt;0,Data!D945,"")</f>
        <v/>
      </c>
      <c r="E945" s="1">
        <f>IF(Data!E945&gt;0,Data!E945,"")</f>
        <v/>
      </c>
      <c r="F945" s="1">
        <f>IF(Data!F945&gt;0,Data!F945,"")</f>
        <v/>
      </c>
      <c r="G945" s="1">
        <f>IF(Data!G945&gt;0,Data!G945,"")</f>
        <v/>
      </c>
      <c r="H945" s="1">
        <f>IF(Data!H945&gt;0,Data!H945,"")</f>
        <v/>
      </c>
      <c r="I945" s="1">
        <f>IF(Data!I945&gt;0,Data!I945,"")</f>
        <v/>
      </c>
      <c r="J945" s="1">
        <f>IF(Data!J945&gt;0,Data!J945,"")</f>
        <v/>
      </c>
      <c r="K945" s="1">
        <f>IF(Data!K945&gt;0,Data!K945,"")</f>
        <v/>
      </c>
      <c r="L945" s="1">
        <f>IF(Data!L945&gt;0,Data!L945,"")</f>
        <v/>
      </c>
      <c r="M945" s="1">
        <f>IF(Data!M945&gt;0,Data!M945,"")</f>
        <v/>
      </c>
      <c r="N945" s="1">
        <f>IF(Data!N945&gt;0,Data!N945,"")</f>
        <v/>
      </c>
      <c r="O945" s="1">
        <f>IF(Data!O945&gt;0,Data!O945,"")</f>
        <v/>
      </c>
      <c r="P945" s="1">
        <f>IF(Data!P945&gt;0,Data!P945,"")</f>
        <v/>
      </c>
      <c r="Q945" s="1">
        <f>IF(Data!Q945&gt;0,Data!Q945,"")</f>
        <v/>
      </c>
      <c r="R945" s="1">
        <f>IF(Data!R945&gt;0,Data!R945,"")</f>
        <v/>
      </c>
      <c r="S945" s="1">
        <f>IF(Data!S945&gt;0,Data!S945,"")</f>
        <v/>
      </c>
      <c r="V945" s="3">
        <f>IF(COUNT(D945,J945,K945,L945,M945,O945)&gt;0,AVERAGE(D945,J945,K945,L945,M945,O945),"")</f>
        <v/>
      </c>
      <c r="W945" s="3">
        <f>IF(COUNT(C945,F945,G945,N945,Q945)&gt;0,AVERAGE(C945,F945,G945,N945,Q945),"")</f>
        <v/>
      </c>
      <c r="X945" s="3">
        <f>IF(COUNT(B945,E945,H945,I945,P945,R945,S945)&gt;0,AVERAGE(B945,E945,H945,I945,P945,R945,S945),"")</f>
        <v/>
      </c>
      <c r="Y945" s="3" t="n"/>
      <c r="AJ945">
        <f>IFERROR(AVERAGEIF($A$4:$A$1004,AI945,$V$4:$V$1004),"")</f>
        <v/>
      </c>
      <c r="AK945">
        <f>IFERROR(AVERAGEIF($A$4:$A$1004,AI945,$W$4:$W$1004),"")</f>
        <v/>
      </c>
      <c r="AL945">
        <f>IFERROR(AVERAGEIF($A$4:$A$1004,AI945,$X$4:$X$1004),"")</f>
        <v/>
      </c>
    </row>
    <row r="946">
      <c r="A946" s="1">
        <f>IF(Data!A946&gt;0,Data!A946,"")</f>
        <v/>
      </c>
      <c r="B946" s="1">
        <f>IF(Data!B946&gt;0,Data!B946,"")</f>
        <v/>
      </c>
      <c r="C946" s="1">
        <f>IF(Data!C946&gt;0,Data!C946,"")</f>
        <v/>
      </c>
      <c r="D946" s="1">
        <f>IF(Data!D946&gt;0,Data!D946,"")</f>
        <v/>
      </c>
      <c r="E946" s="1">
        <f>IF(Data!E946&gt;0,Data!E946,"")</f>
        <v/>
      </c>
      <c r="F946" s="1">
        <f>IF(Data!F946&gt;0,Data!F946,"")</f>
        <v/>
      </c>
      <c r="G946" s="1">
        <f>IF(Data!G946&gt;0,Data!G946,"")</f>
        <v/>
      </c>
      <c r="H946" s="1">
        <f>IF(Data!H946&gt;0,Data!H946,"")</f>
        <v/>
      </c>
      <c r="I946" s="1">
        <f>IF(Data!I946&gt;0,Data!I946,"")</f>
        <v/>
      </c>
      <c r="J946" s="1">
        <f>IF(Data!J946&gt;0,Data!J946,"")</f>
        <v/>
      </c>
      <c r="K946" s="1">
        <f>IF(Data!K946&gt;0,Data!K946,"")</f>
        <v/>
      </c>
      <c r="L946" s="1">
        <f>IF(Data!L946&gt;0,Data!L946,"")</f>
        <v/>
      </c>
      <c r="M946" s="1">
        <f>IF(Data!M946&gt;0,Data!M946,"")</f>
        <v/>
      </c>
      <c r="N946" s="1">
        <f>IF(Data!N946&gt;0,Data!N946,"")</f>
        <v/>
      </c>
      <c r="O946" s="1">
        <f>IF(Data!O946&gt;0,Data!O946,"")</f>
        <v/>
      </c>
      <c r="P946" s="1">
        <f>IF(Data!P946&gt;0,Data!P946,"")</f>
        <v/>
      </c>
      <c r="Q946" s="1">
        <f>IF(Data!Q946&gt;0,Data!Q946,"")</f>
        <v/>
      </c>
      <c r="R946" s="1">
        <f>IF(Data!R946&gt;0,Data!R946,"")</f>
        <v/>
      </c>
      <c r="S946" s="1">
        <f>IF(Data!S946&gt;0,Data!S946,"")</f>
        <v/>
      </c>
      <c r="V946" s="3">
        <f>IF(COUNT(D946,J946,K946,L946,M946,O946)&gt;0,AVERAGE(D946,J946,K946,L946,M946,O946),"")</f>
        <v/>
      </c>
      <c r="W946" s="3">
        <f>IF(COUNT(C946,F946,G946,N946,Q946)&gt;0,AVERAGE(C946,F946,G946,N946,Q946),"")</f>
        <v/>
      </c>
      <c r="X946" s="3">
        <f>IF(COUNT(B946,E946,H946,I946,P946,R946,S946)&gt;0,AVERAGE(B946,E946,H946,I946,P946,R946,S946),"")</f>
        <v/>
      </c>
      <c r="Y946" s="3" t="n"/>
      <c r="AJ946">
        <f>IFERROR(AVERAGEIF($A$4:$A$1004,AI946,$V$4:$V$1004),"")</f>
        <v/>
      </c>
      <c r="AK946">
        <f>IFERROR(AVERAGEIF($A$4:$A$1004,AI946,$W$4:$W$1004),"")</f>
        <v/>
      </c>
      <c r="AL946">
        <f>IFERROR(AVERAGEIF($A$4:$A$1004,AI946,$X$4:$X$1004),"")</f>
        <v/>
      </c>
    </row>
    <row r="947">
      <c r="A947" s="1">
        <f>IF(Data!A947&gt;0,Data!A947,"")</f>
        <v/>
      </c>
      <c r="B947" s="1">
        <f>IF(Data!B947&gt;0,Data!B947,"")</f>
        <v/>
      </c>
      <c r="C947" s="1">
        <f>IF(Data!C947&gt;0,Data!C947,"")</f>
        <v/>
      </c>
      <c r="D947" s="1">
        <f>IF(Data!D947&gt;0,Data!D947,"")</f>
        <v/>
      </c>
      <c r="E947" s="1">
        <f>IF(Data!E947&gt;0,Data!E947,"")</f>
        <v/>
      </c>
      <c r="F947" s="1">
        <f>IF(Data!F947&gt;0,Data!F947,"")</f>
        <v/>
      </c>
      <c r="G947" s="1">
        <f>IF(Data!G947&gt;0,Data!G947,"")</f>
        <v/>
      </c>
      <c r="H947" s="1">
        <f>IF(Data!H947&gt;0,Data!H947,"")</f>
        <v/>
      </c>
      <c r="I947" s="1">
        <f>IF(Data!I947&gt;0,Data!I947,"")</f>
        <v/>
      </c>
      <c r="J947" s="1">
        <f>IF(Data!J947&gt;0,Data!J947,"")</f>
        <v/>
      </c>
      <c r="K947" s="1">
        <f>IF(Data!K947&gt;0,Data!K947,"")</f>
        <v/>
      </c>
      <c r="L947" s="1">
        <f>IF(Data!L947&gt;0,Data!L947,"")</f>
        <v/>
      </c>
      <c r="M947" s="1">
        <f>IF(Data!M947&gt;0,Data!M947,"")</f>
        <v/>
      </c>
      <c r="N947" s="1">
        <f>IF(Data!N947&gt;0,Data!N947,"")</f>
        <v/>
      </c>
      <c r="O947" s="1">
        <f>IF(Data!O947&gt;0,Data!O947,"")</f>
        <v/>
      </c>
      <c r="P947" s="1">
        <f>IF(Data!P947&gt;0,Data!P947,"")</f>
        <v/>
      </c>
      <c r="Q947" s="1">
        <f>IF(Data!Q947&gt;0,Data!Q947,"")</f>
        <v/>
      </c>
      <c r="R947" s="1">
        <f>IF(Data!R947&gt;0,Data!R947,"")</f>
        <v/>
      </c>
      <c r="S947" s="1">
        <f>IF(Data!S947&gt;0,Data!S947,"")</f>
        <v/>
      </c>
      <c r="V947" s="3">
        <f>IF(COUNT(D947,J947,K947,L947,M947,O947)&gt;0,AVERAGE(D947,J947,K947,L947,M947,O947),"")</f>
        <v/>
      </c>
      <c r="W947" s="3">
        <f>IF(COUNT(C947,F947,G947,N947,Q947)&gt;0,AVERAGE(C947,F947,G947,N947,Q947),"")</f>
        <v/>
      </c>
      <c r="X947" s="3">
        <f>IF(COUNT(B947,E947,H947,I947,P947,R947,S947)&gt;0,AVERAGE(B947,E947,H947,I947,P947,R947,S947),"")</f>
        <v/>
      </c>
      <c r="Y947" s="3" t="n"/>
      <c r="AJ947">
        <f>IFERROR(AVERAGEIF($A$4:$A$1004,AI947,$V$4:$V$1004),"")</f>
        <v/>
      </c>
      <c r="AK947">
        <f>IFERROR(AVERAGEIF($A$4:$A$1004,AI947,$W$4:$W$1004),"")</f>
        <v/>
      </c>
      <c r="AL947">
        <f>IFERROR(AVERAGEIF($A$4:$A$1004,AI947,$X$4:$X$1004),"")</f>
        <v/>
      </c>
    </row>
    <row r="948">
      <c r="A948" s="1">
        <f>IF(Data!A948&gt;0,Data!A948,"")</f>
        <v/>
      </c>
      <c r="B948" s="1">
        <f>IF(Data!B948&gt;0,Data!B948,"")</f>
        <v/>
      </c>
      <c r="C948" s="1">
        <f>IF(Data!C948&gt;0,Data!C948,"")</f>
        <v/>
      </c>
      <c r="D948" s="1">
        <f>IF(Data!D948&gt;0,Data!D948,"")</f>
        <v/>
      </c>
      <c r="E948" s="1">
        <f>IF(Data!E948&gt;0,Data!E948,"")</f>
        <v/>
      </c>
      <c r="F948" s="1">
        <f>IF(Data!F948&gt;0,Data!F948,"")</f>
        <v/>
      </c>
      <c r="G948" s="1">
        <f>IF(Data!G948&gt;0,Data!G948,"")</f>
        <v/>
      </c>
      <c r="H948" s="1">
        <f>IF(Data!H948&gt;0,Data!H948,"")</f>
        <v/>
      </c>
      <c r="I948" s="1">
        <f>IF(Data!I948&gt;0,Data!I948,"")</f>
        <v/>
      </c>
      <c r="J948" s="1">
        <f>IF(Data!J948&gt;0,Data!J948,"")</f>
        <v/>
      </c>
      <c r="K948" s="1">
        <f>IF(Data!K948&gt;0,Data!K948,"")</f>
        <v/>
      </c>
      <c r="L948" s="1">
        <f>IF(Data!L948&gt;0,Data!L948,"")</f>
        <v/>
      </c>
      <c r="M948" s="1">
        <f>IF(Data!M948&gt;0,Data!M948,"")</f>
        <v/>
      </c>
      <c r="N948" s="1">
        <f>IF(Data!N948&gt;0,Data!N948,"")</f>
        <v/>
      </c>
      <c r="O948" s="1">
        <f>IF(Data!O948&gt;0,Data!O948,"")</f>
        <v/>
      </c>
      <c r="P948" s="1">
        <f>IF(Data!P948&gt;0,Data!P948,"")</f>
        <v/>
      </c>
      <c r="Q948" s="1">
        <f>IF(Data!Q948&gt;0,Data!Q948,"")</f>
        <v/>
      </c>
      <c r="R948" s="1">
        <f>IF(Data!R948&gt;0,Data!R948,"")</f>
        <v/>
      </c>
      <c r="S948" s="1">
        <f>IF(Data!S948&gt;0,Data!S948,"")</f>
        <v/>
      </c>
      <c r="V948" s="3">
        <f>IF(COUNT(D948,J948,K948,L948,M948,O948)&gt;0,AVERAGE(D948,J948,K948,L948,M948,O948),"")</f>
        <v/>
      </c>
      <c r="W948" s="3">
        <f>IF(COUNT(C948,F948,G948,N948,Q948)&gt;0,AVERAGE(C948,F948,G948,N948,Q948),"")</f>
        <v/>
      </c>
      <c r="X948" s="3">
        <f>IF(COUNT(B948,E948,H948,I948,P948,R948,S948)&gt;0,AVERAGE(B948,E948,H948,I948,P948,R948,S948),"")</f>
        <v/>
      </c>
      <c r="Y948" s="3" t="n"/>
      <c r="AJ948">
        <f>IFERROR(AVERAGEIF($A$4:$A$1004,AI948,$V$4:$V$1004),"")</f>
        <v/>
      </c>
      <c r="AK948">
        <f>IFERROR(AVERAGEIF($A$4:$A$1004,AI948,$W$4:$W$1004),"")</f>
        <v/>
      </c>
      <c r="AL948">
        <f>IFERROR(AVERAGEIF($A$4:$A$1004,AI948,$X$4:$X$1004),"")</f>
        <v/>
      </c>
    </row>
    <row r="949">
      <c r="A949" s="1">
        <f>IF(Data!A949&gt;0,Data!A949,"")</f>
        <v/>
      </c>
      <c r="B949" s="1">
        <f>IF(Data!B949&gt;0,Data!B949,"")</f>
        <v/>
      </c>
      <c r="C949" s="1">
        <f>IF(Data!C949&gt;0,Data!C949,"")</f>
        <v/>
      </c>
      <c r="D949" s="1">
        <f>IF(Data!D949&gt;0,Data!D949,"")</f>
        <v/>
      </c>
      <c r="E949" s="1">
        <f>IF(Data!E949&gt;0,Data!E949,"")</f>
        <v/>
      </c>
      <c r="F949" s="1">
        <f>IF(Data!F949&gt;0,Data!F949,"")</f>
        <v/>
      </c>
      <c r="G949" s="1">
        <f>IF(Data!G949&gt;0,Data!G949,"")</f>
        <v/>
      </c>
      <c r="H949" s="1">
        <f>IF(Data!H949&gt;0,Data!H949,"")</f>
        <v/>
      </c>
      <c r="I949" s="1">
        <f>IF(Data!I949&gt;0,Data!I949,"")</f>
        <v/>
      </c>
      <c r="J949" s="1">
        <f>IF(Data!J949&gt;0,Data!J949,"")</f>
        <v/>
      </c>
      <c r="K949" s="1">
        <f>IF(Data!K949&gt;0,Data!K949,"")</f>
        <v/>
      </c>
      <c r="L949" s="1">
        <f>IF(Data!L949&gt;0,Data!L949,"")</f>
        <v/>
      </c>
      <c r="M949" s="1">
        <f>IF(Data!M949&gt;0,Data!M949,"")</f>
        <v/>
      </c>
      <c r="N949" s="1">
        <f>IF(Data!N949&gt;0,Data!N949,"")</f>
        <v/>
      </c>
      <c r="O949" s="1">
        <f>IF(Data!O949&gt;0,Data!O949,"")</f>
        <v/>
      </c>
      <c r="P949" s="1">
        <f>IF(Data!P949&gt;0,Data!P949,"")</f>
        <v/>
      </c>
      <c r="Q949" s="1">
        <f>IF(Data!Q949&gt;0,Data!Q949,"")</f>
        <v/>
      </c>
      <c r="R949" s="1">
        <f>IF(Data!R949&gt;0,Data!R949,"")</f>
        <v/>
      </c>
      <c r="S949" s="1">
        <f>IF(Data!S949&gt;0,Data!S949,"")</f>
        <v/>
      </c>
      <c r="V949" s="3">
        <f>IF(COUNT(D949,J949,K949,L949,M949,O949)&gt;0,AVERAGE(D949,J949,K949,L949,M949,O949),"")</f>
        <v/>
      </c>
      <c r="W949" s="3">
        <f>IF(COUNT(C949,F949,G949,N949,Q949)&gt;0,AVERAGE(C949,F949,G949,N949,Q949),"")</f>
        <v/>
      </c>
      <c r="X949" s="3">
        <f>IF(COUNT(B949,E949,H949,I949,P949,R949,S949)&gt;0,AVERAGE(B949,E949,H949,I949,P949,R949,S949),"")</f>
        <v/>
      </c>
      <c r="Y949" s="3" t="n"/>
      <c r="AJ949">
        <f>IFERROR(AVERAGEIF($A$4:$A$1004,AI949,$V$4:$V$1004),"")</f>
        <v/>
      </c>
      <c r="AK949">
        <f>IFERROR(AVERAGEIF($A$4:$A$1004,AI949,$W$4:$W$1004),"")</f>
        <v/>
      </c>
      <c r="AL949">
        <f>IFERROR(AVERAGEIF($A$4:$A$1004,AI949,$X$4:$X$1004),"")</f>
        <v/>
      </c>
    </row>
    <row r="950">
      <c r="A950" s="1">
        <f>IF(Data!A950&gt;0,Data!A950,"")</f>
        <v/>
      </c>
      <c r="B950" s="1">
        <f>IF(Data!B950&gt;0,Data!B950,"")</f>
        <v/>
      </c>
      <c r="C950" s="1">
        <f>IF(Data!C950&gt;0,Data!C950,"")</f>
        <v/>
      </c>
      <c r="D950" s="1">
        <f>IF(Data!D950&gt;0,Data!D950,"")</f>
        <v/>
      </c>
      <c r="E950" s="1">
        <f>IF(Data!E950&gt;0,Data!E950,"")</f>
        <v/>
      </c>
      <c r="F950" s="1">
        <f>IF(Data!F950&gt;0,Data!F950,"")</f>
        <v/>
      </c>
      <c r="G950" s="1">
        <f>IF(Data!G950&gt;0,Data!G950,"")</f>
        <v/>
      </c>
      <c r="H950" s="1">
        <f>IF(Data!H950&gt;0,Data!H950,"")</f>
        <v/>
      </c>
      <c r="I950" s="1">
        <f>IF(Data!I950&gt;0,Data!I950,"")</f>
        <v/>
      </c>
      <c r="J950" s="1">
        <f>IF(Data!J950&gt;0,Data!J950,"")</f>
        <v/>
      </c>
      <c r="K950" s="1">
        <f>IF(Data!K950&gt;0,Data!K950,"")</f>
        <v/>
      </c>
      <c r="L950" s="1">
        <f>IF(Data!L950&gt;0,Data!L950,"")</f>
        <v/>
      </c>
      <c r="M950" s="1">
        <f>IF(Data!M950&gt;0,Data!M950,"")</f>
        <v/>
      </c>
      <c r="N950" s="1">
        <f>IF(Data!N950&gt;0,Data!N950,"")</f>
        <v/>
      </c>
      <c r="O950" s="1">
        <f>IF(Data!O950&gt;0,Data!O950,"")</f>
        <v/>
      </c>
      <c r="P950" s="1">
        <f>IF(Data!P950&gt;0,Data!P950,"")</f>
        <v/>
      </c>
      <c r="Q950" s="1">
        <f>IF(Data!Q950&gt;0,Data!Q950,"")</f>
        <v/>
      </c>
      <c r="R950" s="1">
        <f>IF(Data!R950&gt;0,Data!R950,"")</f>
        <v/>
      </c>
      <c r="S950" s="1">
        <f>IF(Data!S950&gt;0,Data!S950,"")</f>
        <v/>
      </c>
      <c r="V950" s="3">
        <f>IF(COUNT(D950,J950,K950,L950,M950,O950)&gt;0,AVERAGE(D950,J950,K950,L950,M950,O950),"")</f>
        <v/>
      </c>
      <c r="W950" s="3">
        <f>IF(COUNT(C950,F950,G950,N950,Q950)&gt;0,AVERAGE(C950,F950,G950,N950,Q950),"")</f>
        <v/>
      </c>
      <c r="X950" s="3">
        <f>IF(COUNT(B950,E950,H950,I950,P950,R950,S950)&gt;0,AVERAGE(B950,E950,H950,I950,P950,R950,S950),"")</f>
        <v/>
      </c>
      <c r="Y950" s="3" t="n"/>
      <c r="AJ950">
        <f>IFERROR(AVERAGEIF($A$4:$A$1004,AI950,$V$4:$V$1004),"")</f>
        <v/>
      </c>
      <c r="AK950">
        <f>IFERROR(AVERAGEIF($A$4:$A$1004,AI950,$W$4:$W$1004),"")</f>
        <v/>
      </c>
      <c r="AL950">
        <f>IFERROR(AVERAGEIF($A$4:$A$1004,AI950,$X$4:$X$1004),"")</f>
        <v/>
      </c>
    </row>
    <row r="951">
      <c r="A951" s="1">
        <f>IF(Data!A951&gt;0,Data!A951,"")</f>
        <v/>
      </c>
      <c r="B951" s="1">
        <f>IF(Data!B951&gt;0,Data!B951,"")</f>
        <v/>
      </c>
      <c r="C951" s="1">
        <f>IF(Data!C951&gt;0,Data!C951,"")</f>
        <v/>
      </c>
      <c r="D951" s="1">
        <f>IF(Data!D951&gt;0,Data!D951,"")</f>
        <v/>
      </c>
      <c r="E951" s="1">
        <f>IF(Data!E951&gt;0,Data!E951,"")</f>
        <v/>
      </c>
      <c r="F951" s="1">
        <f>IF(Data!F951&gt;0,Data!F951,"")</f>
        <v/>
      </c>
      <c r="G951" s="1">
        <f>IF(Data!G951&gt;0,Data!G951,"")</f>
        <v/>
      </c>
      <c r="H951" s="1">
        <f>IF(Data!H951&gt;0,Data!H951,"")</f>
        <v/>
      </c>
      <c r="I951" s="1">
        <f>IF(Data!I951&gt;0,Data!I951,"")</f>
        <v/>
      </c>
      <c r="J951" s="1">
        <f>IF(Data!J951&gt;0,Data!J951,"")</f>
        <v/>
      </c>
      <c r="K951" s="1">
        <f>IF(Data!K951&gt;0,Data!K951,"")</f>
        <v/>
      </c>
      <c r="L951" s="1">
        <f>IF(Data!L951&gt;0,Data!L951,"")</f>
        <v/>
      </c>
      <c r="M951" s="1">
        <f>IF(Data!M951&gt;0,Data!M951,"")</f>
        <v/>
      </c>
      <c r="N951" s="1">
        <f>IF(Data!N951&gt;0,Data!N951,"")</f>
        <v/>
      </c>
      <c r="O951" s="1">
        <f>IF(Data!O951&gt;0,Data!O951,"")</f>
        <v/>
      </c>
      <c r="P951" s="1">
        <f>IF(Data!P951&gt;0,Data!P951,"")</f>
        <v/>
      </c>
      <c r="Q951" s="1">
        <f>IF(Data!Q951&gt;0,Data!Q951,"")</f>
        <v/>
      </c>
      <c r="R951" s="1">
        <f>IF(Data!R951&gt;0,Data!R951,"")</f>
        <v/>
      </c>
      <c r="S951" s="1">
        <f>IF(Data!S951&gt;0,Data!S951,"")</f>
        <v/>
      </c>
      <c r="V951" s="3">
        <f>IF(COUNT(D951,J951,K951,L951,M951,O951)&gt;0,AVERAGE(D951,J951,K951,L951,M951,O951),"")</f>
        <v/>
      </c>
      <c r="W951" s="3">
        <f>IF(COUNT(C951,F951,G951,N951,Q951)&gt;0,AVERAGE(C951,F951,G951,N951,Q951),"")</f>
        <v/>
      </c>
      <c r="X951" s="3">
        <f>IF(COUNT(B951,E951,H951,I951,P951,R951,S951)&gt;0,AVERAGE(B951,E951,H951,I951,P951,R951,S951),"")</f>
        <v/>
      </c>
      <c r="Y951" s="3" t="n"/>
      <c r="AJ951">
        <f>IFERROR(AVERAGEIF($A$4:$A$1004,AI951,$V$4:$V$1004),"")</f>
        <v/>
      </c>
      <c r="AK951">
        <f>IFERROR(AVERAGEIF($A$4:$A$1004,AI951,$W$4:$W$1004),"")</f>
        <v/>
      </c>
      <c r="AL951">
        <f>IFERROR(AVERAGEIF($A$4:$A$1004,AI951,$X$4:$X$1004),"")</f>
        <v/>
      </c>
    </row>
    <row r="952">
      <c r="A952" s="1">
        <f>IF(Data!A952&gt;0,Data!A952,"")</f>
        <v/>
      </c>
      <c r="B952" s="1">
        <f>IF(Data!B952&gt;0,Data!B952,"")</f>
        <v/>
      </c>
      <c r="C952" s="1">
        <f>IF(Data!C952&gt;0,Data!C952,"")</f>
        <v/>
      </c>
      <c r="D952" s="1">
        <f>IF(Data!D952&gt;0,Data!D952,"")</f>
        <v/>
      </c>
      <c r="E952" s="1">
        <f>IF(Data!E952&gt;0,Data!E952,"")</f>
        <v/>
      </c>
      <c r="F952" s="1">
        <f>IF(Data!F952&gt;0,Data!F952,"")</f>
        <v/>
      </c>
      <c r="G952" s="1">
        <f>IF(Data!G952&gt;0,Data!G952,"")</f>
        <v/>
      </c>
      <c r="H952" s="1">
        <f>IF(Data!H952&gt;0,Data!H952,"")</f>
        <v/>
      </c>
      <c r="I952" s="1">
        <f>IF(Data!I952&gt;0,Data!I952,"")</f>
        <v/>
      </c>
      <c r="J952" s="1">
        <f>IF(Data!J952&gt;0,Data!J952,"")</f>
        <v/>
      </c>
      <c r="K952" s="1">
        <f>IF(Data!K952&gt;0,Data!K952,"")</f>
        <v/>
      </c>
      <c r="L952" s="1">
        <f>IF(Data!L952&gt;0,Data!L952,"")</f>
        <v/>
      </c>
      <c r="M952" s="1">
        <f>IF(Data!M952&gt;0,Data!M952,"")</f>
        <v/>
      </c>
      <c r="N952" s="1">
        <f>IF(Data!N952&gt;0,Data!N952,"")</f>
        <v/>
      </c>
      <c r="O952" s="1">
        <f>IF(Data!O952&gt;0,Data!O952,"")</f>
        <v/>
      </c>
      <c r="P952" s="1">
        <f>IF(Data!P952&gt;0,Data!P952,"")</f>
        <v/>
      </c>
      <c r="Q952" s="1">
        <f>IF(Data!Q952&gt;0,Data!Q952,"")</f>
        <v/>
      </c>
      <c r="R952" s="1">
        <f>IF(Data!R952&gt;0,Data!R952,"")</f>
        <v/>
      </c>
      <c r="S952" s="1">
        <f>IF(Data!S952&gt;0,Data!S952,"")</f>
        <v/>
      </c>
      <c r="V952" s="3">
        <f>IF(COUNT(D952,J952,K952,L952,M952,O952)&gt;0,AVERAGE(D952,J952,K952,L952,M952,O952),"")</f>
        <v/>
      </c>
      <c r="W952" s="3">
        <f>IF(COUNT(C952,F952,G952,N952,Q952)&gt;0,AVERAGE(C952,F952,G952,N952,Q952),"")</f>
        <v/>
      </c>
      <c r="X952" s="3">
        <f>IF(COUNT(B952,E952,H952,I952,P952,R952,S952)&gt;0,AVERAGE(B952,E952,H952,I952,P952,R952,S952),"")</f>
        <v/>
      </c>
      <c r="Y952" s="3" t="n"/>
      <c r="AJ952">
        <f>IFERROR(AVERAGEIF($A$4:$A$1004,AI952,$V$4:$V$1004),"")</f>
        <v/>
      </c>
      <c r="AK952">
        <f>IFERROR(AVERAGEIF($A$4:$A$1004,AI952,$W$4:$W$1004),"")</f>
        <v/>
      </c>
      <c r="AL952">
        <f>IFERROR(AVERAGEIF($A$4:$A$1004,AI952,$X$4:$X$1004),"")</f>
        <v/>
      </c>
    </row>
    <row r="953">
      <c r="A953" s="1">
        <f>IF(Data!A953&gt;0,Data!A953,"")</f>
        <v/>
      </c>
      <c r="B953" s="1">
        <f>IF(Data!B953&gt;0,Data!B953,"")</f>
        <v/>
      </c>
      <c r="C953" s="1">
        <f>IF(Data!C953&gt;0,Data!C953,"")</f>
        <v/>
      </c>
      <c r="D953" s="1">
        <f>IF(Data!D953&gt;0,Data!D953,"")</f>
        <v/>
      </c>
      <c r="E953" s="1">
        <f>IF(Data!E953&gt;0,Data!E953,"")</f>
        <v/>
      </c>
      <c r="F953" s="1">
        <f>IF(Data!F953&gt;0,Data!F953,"")</f>
        <v/>
      </c>
      <c r="G953" s="1">
        <f>IF(Data!G953&gt;0,Data!G953,"")</f>
        <v/>
      </c>
      <c r="H953" s="1">
        <f>IF(Data!H953&gt;0,Data!H953,"")</f>
        <v/>
      </c>
      <c r="I953" s="1">
        <f>IF(Data!I953&gt;0,Data!I953,"")</f>
        <v/>
      </c>
      <c r="J953" s="1">
        <f>IF(Data!J953&gt;0,Data!J953,"")</f>
        <v/>
      </c>
      <c r="K953" s="1">
        <f>IF(Data!K953&gt;0,Data!K953,"")</f>
        <v/>
      </c>
      <c r="L953" s="1">
        <f>IF(Data!L953&gt;0,Data!L953,"")</f>
        <v/>
      </c>
      <c r="M953" s="1">
        <f>IF(Data!M953&gt;0,Data!M953,"")</f>
        <v/>
      </c>
      <c r="N953" s="1">
        <f>IF(Data!N953&gt;0,Data!N953,"")</f>
        <v/>
      </c>
      <c r="O953" s="1">
        <f>IF(Data!O953&gt;0,Data!O953,"")</f>
        <v/>
      </c>
      <c r="P953" s="1">
        <f>IF(Data!P953&gt;0,Data!P953,"")</f>
        <v/>
      </c>
      <c r="Q953" s="1">
        <f>IF(Data!Q953&gt;0,Data!Q953,"")</f>
        <v/>
      </c>
      <c r="R953" s="1">
        <f>IF(Data!R953&gt;0,Data!R953,"")</f>
        <v/>
      </c>
      <c r="S953" s="1">
        <f>IF(Data!S953&gt;0,Data!S953,"")</f>
        <v/>
      </c>
      <c r="V953" s="3">
        <f>IF(COUNT(D953,J953,K953,L953,M953,O953)&gt;0,AVERAGE(D953,J953,K953,L953,M953,O953),"")</f>
        <v/>
      </c>
      <c r="W953" s="3">
        <f>IF(COUNT(C953,F953,G953,N953,Q953)&gt;0,AVERAGE(C953,F953,G953,N953,Q953),"")</f>
        <v/>
      </c>
      <c r="X953" s="3">
        <f>IF(COUNT(B953,E953,H953,I953,P953,R953,S953)&gt;0,AVERAGE(B953,E953,H953,I953,P953,R953,S953),"")</f>
        <v/>
      </c>
      <c r="Y953" s="3" t="n"/>
      <c r="AJ953">
        <f>IFERROR(AVERAGEIF($A$4:$A$1004,AI953,$V$4:$V$1004),"")</f>
        <v/>
      </c>
      <c r="AK953">
        <f>IFERROR(AVERAGEIF($A$4:$A$1004,AI953,$W$4:$W$1004),"")</f>
        <v/>
      </c>
      <c r="AL953">
        <f>IFERROR(AVERAGEIF($A$4:$A$1004,AI953,$X$4:$X$1004),"")</f>
        <v/>
      </c>
    </row>
    <row r="954">
      <c r="A954" s="1">
        <f>IF(Data!A954&gt;0,Data!A954,"")</f>
        <v/>
      </c>
      <c r="B954" s="1">
        <f>IF(Data!B954&gt;0,Data!B954,"")</f>
        <v/>
      </c>
      <c r="C954" s="1">
        <f>IF(Data!C954&gt;0,Data!C954,"")</f>
        <v/>
      </c>
      <c r="D954" s="1">
        <f>IF(Data!D954&gt;0,Data!D954,"")</f>
        <v/>
      </c>
      <c r="E954" s="1">
        <f>IF(Data!E954&gt;0,Data!E954,"")</f>
        <v/>
      </c>
      <c r="F954" s="1">
        <f>IF(Data!F954&gt;0,Data!F954,"")</f>
        <v/>
      </c>
      <c r="G954" s="1">
        <f>IF(Data!G954&gt;0,Data!G954,"")</f>
        <v/>
      </c>
      <c r="H954" s="1">
        <f>IF(Data!H954&gt;0,Data!H954,"")</f>
        <v/>
      </c>
      <c r="I954" s="1">
        <f>IF(Data!I954&gt;0,Data!I954,"")</f>
        <v/>
      </c>
      <c r="J954" s="1">
        <f>IF(Data!J954&gt;0,Data!J954,"")</f>
        <v/>
      </c>
      <c r="K954" s="1">
        <f>IF(Data!K954&gt;0,Data!K954,"")</f>
        <v/>
      </c>
      <c r="L954" s="1">
        <f>IF(Data!L954&gt;0,Data!L954,"")</f>
        <v/>
      </c>
      <c r="M954" s="1">
        <f>IF(Data!M954&gt;0,Data!M954,"")</f>
        <v/>
      </c>
      <c r="N954" s="1">
        <f>IF(Data!N954&gt;0,Data!N954,"")</f>
        <v/>
      </c>
      <c r="O954" s="1">
        <f>IF(Data!O954&gt;0,Data!O954,"")</f>
        <v/>
      </c>
      <c r="P954" s="1">
        <f>IF(Data!P954&gt;0,Data!P954,"")</f>
        <v/>
      </c>
      <c r="Q954" s="1">
        <f>IF(Data!Q954&gt;0,Data!Q954,"")</f>
        <v/>
      </c>
      <c r="R954" s="1">
        <f>IF(Data!R954&gt;0,Data!R954,"")</f>
        <v/>
      </c>
      <c r="S954" s="1">
        <f>IF(Data!S954&gt;0,Data!S954,"")</f>
        <v/>
      </c>
      <c r="V954" s="3">
        <f>IF(COUNT(D954,J954,K954,L954,M954,O954)&gt;0,AVERAGE(D954,J954,K954,L954,M954,O954),"")</f>
        <v/>
      </c>
      <c r="W954" s="3">
        <f>IF(COUNT(C954,F954,G954,N954,Q954)&gt;0,AVERAGE(C954,F954,G954,N954,Q954),"")</f>
        <v/>
      </c>
      <c r="X954" s="3">
        <f>IF(COUNT(B954,E954,H954,I954,P954,R954,S954)&gt;0,AVERAGE(B954,E954,H954,I954,P954,R954,S954),"")</f>
        <v/>
      </c>
      <c r="Y954" s="3" t="n"/>
      <c r="AJ954">
        <f>IFERROR(AVERAGEIF($A$4:$A$1004,AI954,$V$4:$V$1004),"")</f>
        <v/>
      </c>
      <c r="AK954">
        <f>IFERROR(AVERAGEIF($A$4:$A$1004,AI954,$W$4:$W$1004),"")</f>
        <v/>
      </c>
      <c r="AL954">
        <f>IFERROR(AVERAGEIF($A$4:$A$1004,AI954,$X$4:$X$1004),"")</f>
        <v/>
      </c>
    </row>
    <row r="955">
      <c r="A955" s="1">
        <f>IF(Data!A955&gt;0,Data!A955,"")</f>
        <v/>
      </c>
      <c r="B955" s="1">
        <f>IF(Data!B955&gt;0,Data!B955,"")</f>
        <v/>
      </c>
      <c r="C955" s="1">
        <f>IF(Data!C955&gt;0,Data!C955,"")</f>
        <v/>
      </c>
      <c r="D955" s="1">
        <f>IF(Data!D955&gt;0,Data!D955,"")</f>
        <v/>
      </c>
      <c r="E955" s="1">
        <f>IF(Data!E955&gt;0,Data!E955,"")</f>
        <v/>
      </c>
      <c r="F955" s="1">
        <f>IF(Data!F955&gt;0,Data!F955,"")</f>
        <v/>
      </c>
      <c r="G955" s="1">
        <f>IF(Data!G955&gt;0,Data!G955,"")</f>
        <v/>
      </c>
      <c r="H955" s="1">
        <f>IF(Data!H955&gt;0,Data!H955,"")</f>
        <v/>
      </c>
      <c r="I955" s="1">
        <f>IF(Data!I955&gt;0,Data!I955,"")</f>
        <v/>
      </c>
      <c r="J955" s="1">
        <f>IF(Data!J955&gt;0,Data!J955,"")</f>
        <v/>
      </c>
      <c r="K955" s="1">
        <f>IF(Data!K955&gt;0,Data!K955,"")</f>
        <v/>
      </c>
      <c r="L955" s="1">
        <f>IF(Data!L955&gt;0,Data!L955,"")</f>
        <v/>
      </c>
      <c r="M955" s="1">
        <f>IF(Data!M955&gt;0,Data!M955,"")</f>
        <v/>
      </c>
      <c r="N955" s="1">
        <f>IF(Data!N955&gt;0,Data!N955,"")</f>
        <v/>
      </c>
      <c r="O955" s="1">
        <f>IF(Data!O955&gt;0,Data!O955,"")</f>
        <v/>
      </c>
      <c r="P955" s="1">
        <f>IF(Data!P955&gt;0,Data!P955,"")</f>
        <v/>
      </c>
      <c r="Q955" s="1">
        <f>IF(Data!Q955&gt;0,Data!Q955,"")</f>
        <v/>
      </c>
      <c r="R955" s="1">
        <f>IF(Data!R955&gt;0,Data!R955,"")</f>
        <v/>
      </c>
      <c r="S955" s="1">
        <f>IF(Data!S955&gt;0,Data!S955,"")</f>
        <v/>
      </c>
      <c r="V955" s="3">
        <f>IF(COUNT(D955,J955,K955,L955,M955,O955)&gt;0,AVERAGE(D955,J955,K955,L955,M955,O955),"")</f>
        <v/>
      </c>
      <c r="W955" s="3">
        <f>IF(COUNT(C955,F955,G955,N955,Q955)&gt;0,AVERAGE(C955,F955,G955,N955,Q955),"")</f>
        <v/>
      </c>
      <c r="X955" s="3">
        <f>IF(COUNT(B955,E955,H955,I955,P955,R955,S955)&gt;0,AVERAGE(B955,E955,H955,I955,P955,R955,S955),"")</f>
        <v/>
      </c>
      <c r="Y955" s="3" t="n"/>
      <c r="AJ955">
        <f>IFERROR(AVERAGEIF($A$4:$A$1004,AI955,$V$4:$V$1004),"")</f>
        <v/>
      </c>
      <c r="AK955">
        <f>IFERROR(AVERAGEIF($A$4:$A$1004,AI955,$W$4:$W$1004),"")</f>
        <v/>
      </c>
      <c r="AL955">
        <f>IFERROR(AVERAGEIF($A$4:$A$1004,AI955,$X$4:$X$1004),"")</f>
        <v/>
      </c>
    </row>
    <row r="956">
      <c r="A956" s="1">
        <f>IF(Data!A956&gt;0,Data!A956,"")</f>
        <v/>
      </c>
      <c r="B956" s="1">
        <f>IF(Data!B956&gt;0,Data!B956,"")</f>
        <v/>
      </c>
      <c r="C956" s="1">
        <f>IF(Data!C956&gt;0,Data!C956,"")</f>
        <v/>
      </c>
      <c r="D956" s="1">
        <f>IF(Data!D956&gt;0,Data!D956,"")</f>
        <v/>
      </c>
      <c r="E956" s="1">
        <f>IF(Data!E956&gt;0,Data!E956,"")</f>
        <v/>
      </c>
      <c r="F956" s="1">
        <f>IF(Data!F956&gt;0,Data!F956,"")</f>
        <v/>
      </c>
      <c r="G956" s="1">
        <f>IF(Data!G956&gt;0,Data!G956,"")</f>
        <v/>
      </c>
      <c r="H956" s="1">
        <f>IF(Data!H956&gt;0,Data!H956,"")</f>
        <v/>
      </c>
      <c r="I956" s="1">
        <f>IF(Data!I956&gt;0,Data!I956,"")</f>
        <v/>
      </c>
      <c r="J956" s="1">
        <f>IF(Data!J956&gt;0,Data!J956,"")</f>
        <v/>
      </c>
      <c r="K956" s="1">
        <f>IF(Data!K956&gt;0,Data!K956,"")</f>
        <v/>
      </c>
      <c r="L956" s="1">
        <f>IF(Data!L956&gt;0,Data!L956,"")</f>
        <v/>
      </c>
      <c r="M956" s="1">
        <f>IF(Data!M956&gt;0,Data!M956,"")</f>
        <v/>
      </c>
      <c r="N956" s="1">
        <f>IF(Data!N956&gt;0,Data!N956,"")</f>
        <v/>
      </c>
      <c r="O956" s="1">
        <f>IF(Data!O956&gt;0,Data!O956,"")</f>
        <v/>
      </c>
      <c r="P956" s="1">
        <f>IF(Data!P956&gt;0,Data!P956,"")</f>
        <v/>
      </c>
      <c r="Q956" s="1">
        <f>IF(Data!Q956&gt;0,Data!Q956,"")</f>
        <v/>
      </c>
      <c r="R956" s="1">
        <f>IF(Data!R956&gt;0,Data!R956,"")</f>
        <v/>
      </c>
      <c r="S956" s="1">
        <f>IF(Data!S956&gt;0,Data!S956,"")</f>
        <v/>
      </c>
      <c r="V956" s="3">
        <f>IF(COUNT(D956,J956,K956,L956,M956,O956)&gt;0,AVERAGE(D956,J956,K956,L956,M956,O956),"")</f>
        <v/>
      </c>
      <c r="W956" s="3">
        <f>IF(COUNT(C956,F956,G956,N956,Q956)&gt;0,AVERAGE(C956,F956,G956,N956,Q956),"")</f>
        <v/>
      </c>
      <c r="X956" s="3">
        <f>IF(COUNT(B956,E956,H956,I956,P956,R956,S956)&gt;0,AVERAGE(B956,E956,H956,I956,P956,R956,S956),"")</f>
        <v/>
      </c>
      <c r="Y956" s="3" t="n"/>
      <c r="AJ956">
        <f>IFERROR(AVERAGEIF($A$4:$A$1004,AI956,$V$4:$V$1004),"")</f>
        <v/>
      </c>
      <c r="AK956">
        <f>IFERROR(AVERAGEIF($A$4:$A$1004,AI956,$W$4:$W$1004),"")</f>
        <v/>
      </c>
      <c r="AL956">
        <f>IFERROR(AVERAGEIF($A$4:$A$1004,AI956,$X$4:$X$1004),"")</f>
        <v/>
      </c>
    </row>
    <row r="957">
      <c r="A957" s="1">
        <f>IF(Data!A957&gt;0,Data!A957,"")</f>
        <v/>
      </c>
      <c r="B957" s="1">
        <f>IF(Data!B957&gt;0,Data!B957,"")</f>
        <v/>
      </c>
      <c r="C957" s="1">
        <f>IF(Data!C957&gt;0,Data!C957,"")</f>
        <v/>
      </c>
      <c r="D957" s="1">
        <f>IF(Data!D957&gt;0,Data!D957,"")</f>
        <v/>
      </c>
      <c r="E957" s="1">
        <f>IF(Data!E957&gt;0,Data!E957,"")</f>
        <v/>
      </c>
      <c r="F957" s="1">
        <f>IF(Data!F957&gt;0,Data!F957,"")</f>
        <v/>
      </c>
      <c r="G957" s="1">
        <f>IF(Data!G957&gt;0,Data!G957,"")</f>
        <v/>
      </c>
      <c r="H957" s="1">
        <f>IF(Data!H957&gt;0,Data!H957,"")</f>
        <v/>
      </c>
      <c r="I957" s="1">
        <f>IF(Data!I957&gt;0,Data!I957,"")</f>
        <v/>
      </c>
      <c r="J957" s="1">
        <f>IF(Data!J957&gt;0,Data!J957,"")</f>
        <v/>
      </c>
      <c r="K957" s="1">
        <f>IF(Data!K957&gt;0,Data!K957,"")</f>
        <v/>
      </c>
      <c r="L957" s="1">
        <f>IF(Data!L957&gt;0,Data!L957,"")</f>
        <v/>
      </c>
      <c r="M957" s="1">
        <f>IF(Data!M957&gt;0,Data!M957,"")</f>
        <v/>
      </c>
      <c r="N957" s="1">
        <f>IF(Data!N957&gt;0,Data!N957,"")</f>
        <v/>
      </c>
      <c r="O957" s="1">
        <f>IF(Data!O957&gt;0,Data!O957,"")</f>
        <v/>
      </c>
      <c r="P957" s="1">
        <f>IF(Data!P957&gt;0,Data!P957,"")</f>
        <v/>
      </c>
      <c r="Q957" s="1">
        <f>IF(Data!Q957&gt;0,Data!Q957,"")</f>
        <v/>
      </c>
      <c r="R957" s="1">
        <f>IF(Data!R957&gt;0,Data!R957,"")</f>
        <v/>
      </c>
      <c r="S957" s="1">
        <f>IF(Data!S957&gt;0,Data!S957,"")</f>
        <v/>
      </c>
      <c r="V957" s="3">
        <f>IF(COUNT(D957,J957,K957,L957,M957,O957)&gt;0,AVERAGE(D957,J957,K957,L957,M957,O957),"")</f>
        <v/>
      </c>
      <c r="W957" s="3">
        <f>IF(COUNT(C957,F957,G957,N957,Q957)&gt;0,AVERAGE(C957,F957,G957,N957,Q957),"")</f>
        <v/>
      </c>
      <c r="X957" s="3">
        <f>IF(COUNT(B957,E957,H957,I957,P957,R957,S957)&gt;0,AVERAGE(B957,E957,H957,I957,P957,R957,S957),"")</f>
        <v/>
      </c>
      <c r="Y957" s="3" t="n"/>
      <c r="AJ957">
        <f>IFERROR(AVERAGEIF($A$4:$A$1004,AI957,$V$4:$V$1004),"")</f>
        <v/>
      </c>
      <c r="AK957">
        <f>IFERROR(AVERAGEIF($A$4:$A$1004,AI957,$W$4:$W$1004),"")</f>
        <v/>
      </c>
      <c r="AL957">
        <f>IFERROR(AVERAGEIF($A$4:$A$1004,AI957,$X$4:$X$1004),"")</f>
        <v/>
      </c>
    </row>
    <row r="958">
      <c r="A958" s="1">
        <f>IF(Data!A958&gt;0,Data!A958,"")</f>
        <v/>
      </c>
      <c r="B958" s="1">
        <f>IF(Data!B958&gt;0,Data!B958,"")</f>
        <v/>
      </c>
      <c r="C958" s="1">
        <f>IF(Data!C958&gt;0,Data!C958,"")</f>
        <v/>
      </c>
      <c r="D958" s="1">
        <f>IF(Data!D958&gt;0,Data!D958,"")</f>
        <v/>
      </c>
      <c r="E958" s="1">
        <f>IF(Data!E958&gt;0,Data!E958,"")</f>
        <v/>
      </c>
      <c r="F958" s="1">
        <f>IF(Data!F958&gt;0,Data!F958,"")</f>
        <v/>
      </c>
      <c r="G958" s="1">
        <f>IF(Data!G958&gt;0,Data!G958,"")</f>
        <v/>
      </c>
      <c r="H958" s="1">
        <f>IF(Data!H958&gt;0,Data!H958,"")</f>
        <v/>
      </c>
      <c r="I958" s="1">
        <f>IF(Data!I958&gt;0,Data!I958,"")</f>
        <v/>
      </c>
      <c r="J958" s="1">
        <f>IF(Data!J958&gt;0,Data!J958,"")</f>
        <v/>
      </c>
      <c r="K958" s="1">
        <f>IF(Data!K958&gt;0,Data!K958,"")</f>
        <v/>
      </c>
      <c r="L958" s="1">
        <f>IF(Data!L958&gt;0,Data!L958,"")</f>
        <v/>
      </c>
      <c r="M958" s="1">
        <f>IF(Data!M958&gt;0,Data!M958,"")</f>
        <v/>
      </c>
      <c r="N958" s="1">
        <f>IF(Data!N958&gt;0,Data!N958,"")</f>
        <v/>
      </c>
      <c r="O958" s="1">
        <f>IF(Data!O958&gt;0,Data!O958,"")</f>
        <v/>
      </c>
      <c r="P958" s="1">
        <f>IF(Data!P958&gt;0,Data!P958,"")</f>
        <v/>
      </c>
      <c r="Q958" s="1">
        <f>IF(Data!Q958&gt;0,Data!Q958,"")</f>
        <v/>
      </c>
      <c r="R958" s="1">
        <f>IF(Data!R958&gt;0,Data!R958,"")</f>
        <v/>
      </c>
      <c r="S958" s="1">
        <f>IF(Data!S958&gt;0,Data!S958,"")</f>
        <v/>
      </c>
      <c r="V958" s="3">
        <f>IF(COUNT(D958,J958,K958,L958,M958,O958)&gt;0,AVERAGE(D958,J958,K958,L958,M958,O958),"")</f>
        <v/>
      </c>
      <c r="W958" s="3">
        <f>IF(COUNT(C958,F958,G958,N958,Q958)&gt;0,AVERAGE(C958,F958,G958,N958,Q958),"")</f>
        <v/>
      </c>
      <c r="X958" s="3">
        <f>IF(COUNT(B958,E958,H958,I958,P958,R958,S958)&gt;0,AVERAGE(B958,E958,H958,I958,P958,R958,S958),"")</f>
        <v/>
      </c>
      <c r="Y958" s="3" t="n"/>
      <c r="AJ958">
        <f>IFERROR(AVERAGEIF($A$4:$A$1004,AI958,$V$4:$V$1004),"")</f>
        <v/>
      </c>
      <c r="AK958">
        <f>IFERROR(AVERAGEIF($A$4:$A$1004,AI958,$W$4:$W$1004),"")</f>
        <v/>
      </c>
      <c r="AL958">
        <f>IFERROR(AVERAGEIF($A$4:$A$1004,AI958,$X$4:$X$1004),"")</f>
        <v/>
      </c>
    </row>
    <row r="959">
      <c r="A959" s="1">
        <f>IF(Data!A959&gt;0,Data!A959,"")</f>
        <v/>
      </c>
      <c r="B959" s="1">
        <f>IF(Data!B959&gt;0,Data!B959,"")</f>
        <v/>
      </c>
      <c r="C959" s="1">
        <f>IF(Data!C959&gt;0,Data!C959,"")</f>
        <v/>
      </c>
      <c r="D959" s="1">
        <f>IF(Data!D959&gt;0,Data!D959,"")</f>
        <v/>
      </c>
      <c r="E959" s="1">
        <f>IF(Data!E959&gt;0,Data!E959,"")</f>
        <v/>
      </c>
      <c r="F959" s="1">
        <f>IF(Data!F959&gt;0,Data!F959,"")</f>
        <v/>
      </c>
      <c r="G959" s="1">
        <f>IF(Data!G959&gt;0,Data!G959,"")</f>
        <v/>
      </c>
      <c r="H959" s="1">
        <f>IF(Data!H959&gt;0,Data!H959,"")</f>
        <v/>
      </c>
      <c r="I959" s="1">
        <f>IF(Data!I959&gt;0,Data!I959,"")</f>
        <v/>
      </c>
      <c r="J959" s="1">
        <f>IF(Data!J959&gt;0,Data!J959,"")</f>
        <v/>
      </c>
      <c r="K959" s="1">
        <f>IF(Data!K959&gt;0,Data!K959,"")</f>
        <v/>
      </c>
      <c r="L959" s="1">
        <f>IF(Data!L959&gt;0,Data!L959,"")</f>
        <v/>
      </c>
      <c r="M959" s="1">
        <f>IF(Data!M959&gt;0,Data!M959,"")</f>
        <v/>
      </c>
      <c r="N959" s="1">
        <f>IF(Data!N959&gt;0,Data!N959,"")</f>
        <v/>
      </c>
      <c r="O959" s="1">
        <f>IF(Data!O959&gt;0,Data!O959,"")</f>
        <v/>
      </c>
      <c r="P959" s="1">
        <f>IF(Data!P959&gt;0,Data!P959,"")</f>
        <v/>
      </c>
      <c r="Q959" s="1">
        <f>IF(Data!Q959&gt;0,Data!Q959,"")</f>
        <v/>
      </c>
      <c r="R959" s="1">
        <f>IF(Data!R959&gt;0,Data!R959,"")</f>
        <v/>
      </c>
      <c r="S959" s="1">
        <f>IF(Data!S959&gt;0,Data!S959,"")</f>
        <v/>
      </c>
      <c r="V959" s="3">
        <f>IF(COUNT(D959,J959,K959,L959,M959,O959)&gt;0,AVERAGE(D959,J959,K959,L959,M959,O959),"")</f>
        <v/>
      </c>
      <c r="W959" s="3">
        <f>IF(COUNT(C959,F959,G959,N959,Q959)&gt;0,AVERAGE(C959,F959,G959,N959,Q959),"")</f>
        <v/>
      </c>
      <c r="X959" s="3">
        <f>IF(COUNT(B959,E959,H959,I959,P959,R959,S959)&gt;0,AVERAGE(B959,E959,H959,I959,P959,R959,S959),"")</f>
        <v/>
      </c>
      <c r="Y959" s="3" t="n"/>
      <c r="AJ959">
        <f>IFERROR(AVERAGEIF($A$4:$A$1004,AI959,$V$4:$V$1004),"")</f>
        <v/>
      </c>
      <c r="AK959">
        <f>IFERROR(AVERAGEIF($A$4:$A$1004,AI959,$W$4:$W$1004),"")</f>
        <v/>
      </c>
      <c r="AL959">
        <f>IFERROR(AVERAGEIF($A$4:$A$1004,AI959,$X$4:$X$1004),"")</f>
        <v/>
      </c>
    </row>
    <row r="960">
      <c r="A960" s="1">
        <f>IF(Data!A960&gt;0,Data!A960,"")</f>
        <v/>
      </c>
      <c r="B960" s="1">
        <f>IF(Data!B960&gt;0,Data!B960,"")</f>
        <v/>
      </c>
      <c r="C960" s="1">
        <f>IF(Data!C960&gt;0,Data!C960,"")</f>
        <v/>
      </c>
      <c r="D960" s="1">
        <f>IF(Data!D960&gt;0,Data!D960,"")</f>
        <v/>
      </c>
      <c r="E960" s="1">
        <f>IF(Data!E960&gt;0,Data!E960,"")</f>
        <v/>
      </c>
      <c r="F960" s="1">
        <f>IF(Data!F960&gt;0,Data!F960,"")</f>
        <v/>
      </c>
      <c r="G960" s="1">
        <f>IF(Data!G960&gt;0,Data!G960,"")</f>
        <v/>
      </c>
      <c r="H960" s="1">
        <f>IF(Data!H960&gt;0,Data!H960,"")</f>
        <v/>
      </c>
      <c r="I960" s="1">
        <f>IF(Data!I960&gt;0,Data!I960,"")</f>
        <v/>
      </c>
      <c r="J960" s="1">
        <f>IF(Data!J960&gt;0,Data!J960,"")</f>
        <v/>
      </c>
      <c r="K960" s="1">
        <f>IF(Data!K960&gt;0,Data!K960,"")</f>
        <v/>
      </c>
      <c r="L960" s="1">
        <f>IF(Data!L960&gt;0,Data!L960,"")</f>
        <v/>
      </c>
      <c r="M960" s="1">
        <f>IF(Data!M960&gt;0,Data!M960,"")</f>
        <v/>
      </c>
      <c r="N960" s="1">
        <f>IF(Data!N960&gt;0,Data!N960,"")</f>
        <v/>
      </c>
      <c r="O960" s="1">
        <f>IF(Data!O960&gt;0,Data!O960,"")</f>
        <v/>
      </c>
      <c r="P960" s="1">
        <f>IF(Data!P960&gt;0,Data!P960,"")</f>
        <v/>
      </c>
      <c r="Q960" s="1">
        <f>IF(Data!Q960&gt;0,Data!Q960,"")</f>
        <v/>
      </c>
      <c r="R960" s="1">
        <f>IF(Data!R960&gt;0,Data!R960,"")</f>
        <v/>
      </c>
      <c r="S960" s="1">
        <f>IF(Data!S960&gt;0,Data!S960,"")</f>
        <v/>
      </c>
      <c r="V960" s="3">
        <f>IF(COUNT(D960,J960,K960,L960,M960,O960)&gt;0,AVERAGE(D960,J960,K960,L960,M960,O960),"")</f>
        <v/>
      </c>
      <c r="W960" s="3">
        <f>IF(COUNT(C960,F960,G960,N960,Q960)&gt;0,AVERAGE(C960,F960,G960,N960,Q960),"")</f>
        <v/>
      </c>
      <c r="X960" s="3">
        <f>IF(COUNT(B960,E960,H960,I960,P960,R960,S960)&gt;0,AVERAGE(B960,E960,H960,I960,P960,R960,S960),"")</f>
        <v/>
      </c>
      <c r="Y960" s="3" t="n"/>
      <c r="AJ960">
        <f>IFERROR(AVERAGEIF($A$4:$A$1004,AI960,$V$4:$V$1004),"")</f>
        <v/>
      </c>
      <c r="AK960">
        <f>IFERROR(AVERAGEIF($A$4:$A$1004,AI960,$W$4:$W$1004),"")</f>
        <v/>
      </c>
      <c r="AL960">
        <f>IFERROR(AVERAGEIF($A$4:$A$1004,AI960,$X$4:$X$1004),"")</f>
        <v/>
      </c>
    </row>
    <row r="961">
      <c r="A961" s="1">
        <f>IF(Data!A961&gt;0,Data!A961,"")</f>
        <v/>
      </c>
      <c r="B961" s="1">
        <f>IF(Data!B961&gt;0,Data!B961,"")</f>
        <v/>
      </c>
      <c r="C961" s="1">
        <f>IF(Data!C961&gt;0,Data!C961,"")</f>
        <v/>
      </c>
      <c r="D961" s="1">
        <f>IF(Data!D961&gt;0,Data!D961,"")</f>
        <v/>
      </c>
      <c r="E961" s="1">
        <f>IF(Data!E961&gt;0,Data!E961,"")</f>
        <v/>
      </c>
      <c r="F961" s="1">
        <f>IF(Data!F961&gt;0,Data!F961,"")</f>
        <v/>
      </c>
      <c r="G961" s="1">
        <f>IF(Data!G961&gt;0,Data!G961,"")</f>
        <v/>
      </c>
      <c r="H961" s="1">
        <f>IF(Data!H961&gt;0,Data!H961,"")</f>
        <v/>
      </c>
      <c r="I961" s="1">
        <f>IF(Data!I961&gt;0,Data!I961,"")</f>
        <v/>
      </c>
      <c r="J961" s="1">
        <f>IF(Data!J961&gt;0,Data!J961,"")</f>
        <v/>
      </c>
      <c r="K961" s="1">
        <f>IF(Data!K961&gt;0,Data!K961,"")</f>
        <v/>
      </c>
      <c r="L961" s="1">
        <f>IF(Data!L961&gt;0,Data!L961,"")</f>
        <v/>
      </c>
      <c r="M961" s="1">
        <f>IF(Data!M961&gt;0,Data!M961,"")</f>
        <v/>
      </c>
      <c r="N961" s="1">
        <f>IF(Data!N961&gt;0,Data!N961,"")</f>
        <v/>
      </c>
      <c r="O961" s="1">
        <f>IF(Data!O961&gt;0,Data!O961,"")</f>
        <v/>
      </c>
      <c r="P961" s="1">
        <f>IF(Data!P961&gt;0,Data!P961,"")</f>
        <v/>
      </c>
      <c r="Q961" s="1">
        <f>IF(Data!Q961&gt;0,Data!Q961,"")</f>
        <v/>
      </c>
      <c r="R961" s="1">
        <f>IF(Data!R961&gt;0,Data!R961,"")</f>
        <v/>
      </c>
      <c r="S961" s="1">
        <f>IF(Data!S961&gt;0,Data!S961,"")</f>
        <v/>
      </c>
      <c r="V961" s="3">
        <f>IF(COUNT(D961,J961,K961,L961,M961,O961)&gt;0,AVERAGE(D961,J961,K961,L961,M961,O961),"")</f>
        <v/>
      </c>
      <c r="W961" s="3">
        <f>IF(COUNT(C961,F961,G961,N961,Q961)&gt;0,AVERAGE(C961,F961,G961,N961,Q961),"")</f>
        <v/>
      </c>
      <c r="X961" s="3">
        <f>IF(COUNT(B961,E961,H961,I961,P961,R961,S961)&gt;0,AVERAGE(B961,E961,H961,I961,P961,R961,S961),"")</f>
        <v/>
      </c>
      <c r="Y961" s="3" t="n"/>
      <c r="AJ961">
        <f>IFERROR(AVERAGEIF($A$4:$A$1004,AI961,$V$4:$V$1004),"")</f>
        <v/>
      </c>
      <c r="AK961">
        <f>IFERROR(AVERAGEIF($A$4:$A$1004,AI961,$W$4:$W$1004),"")</f>
        <v/>
      </c>
      <c r="AL961">
        <f>IFERROR(AVERAGEIF($A$4:$A$1004,AI961,$X$4:$X$1004),"")</f>
        <v/>
      </c>
    </row>
    <row r="962">
      <c r="A962" s="1">
        <f>IF(Data!A962&gt;0,Data!A962,"")</f>
        <v/>
      </c>
      <c r="B962" s="1">
        <f>IF(Data!B962&gt;0,Data!B962,"")</f>
        <v/>
      </c>
      <c r="C962" s="1">
        <f>IF(Data!C962&gt;0,Data!C962,"")</f>
        <v/>
      </c>
      <c r="D962" s="1">
        <f>IF(Data!D962&gt;0,Data!D962,"")</f>
        <v/>
      </c>
      <c r="E962" s="1">
        <f>IF(Data!E962&gt;0,Data!E962,"")</f>
        <v/>
      </c>
      <c r="F962" s="1">
        <f>IF(Data!F962&gt;0,Data!F962,"")</f>
        <v/>
      </c>
      <c r="G962" s="1">
        <f>IF(Data!G962&gt;0,Data!G962,"")</f>
        <v/>
      </c>
      <c r="H962" s="1">
        <f>IF(Data!H962&gt;0,Data!H962,"")</f>
        <v/>
      </c>
      <c r="I962" s="1">
        <f>IF(Data!I962&gt;0,Data!I962,"")</f>
        <v/>
      </c>
      <c r="J962" s="1">
        <f>IF(Data!J962&gt;0,Data!J962,"")</f>
        <v/>
      </c>
      <c r="K962" s="1">
        <f>IF(Data!K962&gt;0,Data!K962,"")</f>
        <v/>
      </c>
      <c r="L962" s="1">
        <f>IF(Data!L962&gt;0,Data!L962,"")</f>
        <v/>
      </c>
      <c r="M962" s="1">
        <f>IF(Data!M962&gt;0,Data!M962,"")</f>
        <v/>
      </c>
      <c r="N962" s="1">
        <f>IF(Data!N962&gt;0,Data!N962,"")</f>
        <v/>
      </c>
      <c r="O962" s="1">
        <f>IF(Data!O962&gt;0,Data!O962,"")</f>
        <v/>
      </c>
      <c r="P962" s="1">
        <f>IF(Data!P962&gt;0,Data!P962,"")</f>
        <v/>
      </c>
      <c r="Q962" s="1">
        <f>IF(Data!Q962&gt;0,Data!Q962,"")</f>
        <v/>
      </c>
      <c r="R962" s="1">
        <f>IF(Data!R962&gt;0,Data!R962,"")</f>
        <v/>
      </c>
      <c r="S962" s="1">
        <f>IF(Data!S962&gt;0,Data!S962,"")</f>
        <v/>
      </c>
      <c r="V962" s="3">
        <f>IF(COUNT(D962,J962,K962,L962,M962,O962)&gt;0,AVERAGE(D962,J962,K962,L962,M962,O962),"")</f>
        <v/>
      </c>
      <c r="W962" s="3">
        <f>IF(COUNT(C962,F962,G962,N962,Q962)&gt;0,AVERAGE(C962,F962,G962,N962,Q962),"")</f>
        <v/>
      </c>
      <c r="X962" s="3">
        <f>IF(COUNT(B962,E962,H962,I962,P962,R962,S962)&gt;0,AVERAGE(B962,E962,H962,I962,P962,R962,S962),"")</f>
        <v/>
      </c>
      <c r="Y962" s="3" t="n"/>
      <c r="AJ962">
        <f>IFERROR(AVERAGEIF($A$4:$A$1004,AI962,$V$4:$V$1004),"")</f>
        <v/>
      </c>
      <c r="AK962">
        <f>IFERROR(AVERAGEIF($A$4:$A$1004,AI962,$W$4:$W$1004),"")</f>
        <v/>
      </c>
      <c r="AL962">
        <f>IFERROR(AVERAGEIF($A$4:$A$1004,AI962,$X$4:$X$1004),"")</f>
        <v/>
      </c>
    </row>
    <row r="963">
      <c r="A963" s="1">
        <f>IF(Data!A963&gt;0,Data!A963,"")</f>
        <v/>
      </c>
      <c r="B963" s="1">
        <f>IF(Data!B963&gt;0,Data!B963,"")</f>
        <v/>
      </c>
      <c r="C963" s="1">
        <f>IF(Data!C963&gt;0,Data!C963,"")</f>
        <v/>
      </c>
      <c r="D963" s="1">
        <f>IF(Data!D963&gt;0,Data!D963,"")</f>
        <v/>
      </c>
      <c r="E963" s="1">
        <f>IF(Data!E963&gt;0,Data!E963,"")</f>
        <v/>
      </c>
      <c r="F963" s="1">
        <f>IF(Data!F963&gt;0,Data!F963,"")</f>
        <v/>
      </c>
      <c r="G963" s="1">
        <f>IF(Data!G963&gt;0,Data!G963,"")</f>
        <v/>
      </c>
      <c r="H963" s="1">
        <f>IF(Data!H963&gt;0,Data!H963,"")</f>
        <v/>
      </c>
      <c r="I963" s="1">
        <f>IF(Data!I963&gt;0,Data!I963,"")</f>
        <v/>
      </c>
      <c r="J963" s="1">
        <f>IF(Data!J963&gt;0,Data!J963,"")</f>
        <v/>
      </c>
      <c r="K963" s="1">
        <f>IF(Data!K963&gt;0,Data!K963,"")</f>
        <v/>
      </c>
      <c r="L963" s="1">
        <f>IF(Data!L963&gt;0,Data!L963,"")</f>
        <v/>
      </c>
      <c r="M963" s="1">
        <f>IF(Data!M963&gt;0,Data!M963,"")</f>
        <v/>
      </c>
      <c r="N963" s="1">
        <f>IF(Data!N963&gt;0,Data!N963,"")</f>
        <v/>
      </c>
      <c r="O963" s="1">
        <f>IF(Data!O963&gt;0,Data!O963,"")</f>
        <v/>
      </c>
      <c r="P963" s="1">
        <f>IF(Data!P963&gt;0,Data!P963,"")</f>
        <v/>
      </c>
      <c r="Q963" s="1">
        <f>IF(Data!Q963&gt;0,Data!Q963,"")</f>
        <v/>
      </c>
      <c r="R963" s="1">
        <f>IF(Data!R963&gt;0,Data!R963,"")</f>
        <v/>
      </c>
      <c r="S963" s="1">
        <f>IF(Data!S963&gt;0,Data!S963,"")</f>
        <v/>
      </c>
      <c r="V963" s="3">
        <f>IF(COUNT(D963,J963,K963,L963,M963,O963)&gt;0,AVERAGE(D963,J963,K963,L963,M963,O963),"")</f>
        <v/>
      </c>
      <c r="W963" s="3">
        <f>IF(COUNT(C963,F963,G963,N963,Q963)&gt;0,AVERAGE(C963,F963,G963,N963,Q963),"")</f>
        <v/>
      </c>
      <c r="X963" s="3">
        <f>IF(COUNT(B963,E963,H963,I963,P963,R963,S963)&gt;0,AVERAGE(B963,E963,H963,I963,P963,R963,S963),"")</f>
        <v/>
      </c>
      <c r="Y963" s="3" t="n"/>
      <c r="AJ963">
        <f>IFERROR(AVERAGEIF($A$4:$A$1004,AI963,$V$4:$V$1004),"")</f>
        <v/>
      </c>
      <c r="AK963">
        <f>IFERROR(AVERAGEIF($A$4:$A$1004,AI963,$W$4:$W$1004),"")</f>
        <v/>
      </c>
      <c r="AL963">
        <f>IFERROR(AVERAGEIF($A$4:$A$1004,AI963,$X$4:$X$1004),"")</f>
        <v/>
      </c>
    </row>
    <row r="964">
      <c r="A964" s="1">
        <f>IF(Data!A964&gt;0,Data!A964,"")</f>
        <v/>
      </c>
      <c r="B964" s="1">
        <f>IF(Data!B964&gt;0,Data!B964,"")</f>
        <v/>
      </c>
      <c r="C964" s="1">
        <f>IF(Data!C964&gt;0,Data!C964,"")</f>
        <v/>
      </c>
      <c r="D964" s="1">
        <f>IF(Data!D964&gt;0,Data!D964,"")</f>
        <v/>
      </c>
      <c r="E964" s="1">
        <f>IF(Data!E964&gt;0,Data!E964,"")</f>
        <v/>
      </c>
      <c r="F964" s="1">
        <f>IF(Data!F964&gt;0,Data!F964,"")</f>
        <v/>
      </c>
      <c r="G964" s="1">
        <f>IF(Data!G964&gt;0,Data!G964,"")</f>
        <v/>
      </c>
      <c r="H964" s="1">
        <f>IF(Data!H964&gt;0,Data!H964,"")</f>
        <v/>
      </c>
      <c r="I964" s="1">
        <f>IF(Data!I964&gt;0,Data!I964,"")</f>
        <v/>
      </c>
      <c r="J964" s="1">
        <f>IF(Data!J964&gt;0,Data!J964,"")</f>
        <v/>
      </c>
      <c r="K964" s="1">
        <f>IF(Data!K964&gt;0,Data!K964,"")</f>
        <v/>
      </c>
      <c r="L964" s="1">
        <f>IF(Data!L964&gt;0,Data!L964,"")</f>
        <v/>
      </c>
      <c r="M964" s="1">
        <f>IF(Data!M964&gt;0,Data!M964,"")</f>
        <v/>
      </c>
      <c r="N964" s="1">
        <f>IF(Data!N964&gt;0,Data!N964,"")</f>
        <v/>
      </c>
      <c r="O964" s="1">
        <f>IF(Data!O964&gt;0,Data!O964,"")</f>
        <v/>
      </c>
      <c r="P964" s="1">
        <f>IF(Data!P964&gt;0,Data!P964,"")</f>
        <v/>
      </c>
      <c r="Q964" s="1">
        <f>IF(Data!Q964&gt;0,Data!Q964,"")</f>
        <v/>
      </c>
      <c r="R964" s="1">
        <f>IF(Data!R964&gt;0,Data!R964,"")</f>
        <v/>
      </c>
      <c r="S964" s="1">
        <f>IF(Data!S964&gt;0,Data!S964,"")</f>
        <v/>
      </c>
      <c r="V964" s="3">
        <f>IF(COUNT(D964,J964,K964,L964,M964,O964)&gt;0,AVERAGE(D964,J964,K964,L964,M964,O964),"")</f>
        <v/>
      </c>
      <c r="W964" s="3">
        <f>IF(COUNT(C964,F964,G964,N964,Q964)&gt;0,AVERAGE(C964,F964,G964,N964,Q964),"")</f>
        <v/>
      </c>
      <c r="X964" s="3">
        <f>IF(COUNT(B964,E964,H964,I964,P964,R964,S964)&gt;0,AVERAGE(B964,E964,H964,I964,P964,R964,S964),"")</f>
        <v/>
      </c>
      <c r="Y964" s="3" t="n"/>
      <c r="AJ964">
        <f>IFERROR(AVERAGEIF($A$4:$A$1004,AI964,$V$4:$V$1004),"")</f>
        <v/>
      </c>
      <c r="AK964">
        <f>IFERROR(AVERAGEIF($A$4:$A$1004,AI964,$W$4:$W$1004),"")</f>
        <v/>
      </c>
      <c r="AL964">
        <f>IFERROR(AVERAGEIF($A$4:$A$1004,AI964,$X$4:$X$1004),"")</f>
        <v/>
      </c>
    </row>
    <row r="965">
      <c r="A965" s="1">
        <f>IF(Data!A965&gt;0,Data!A965,"")</f>
        <v/>
      </c>
      <c r="B965" s="1">
        <f>IF(Data!B965&gt;0,Data!B965,"")</f>
        <v/>
      </c>
      <c r="C965" s="1">
        <f>IF(Data!C965&gt;0,Data!C965,"")</f>
        <v/>
      </c>
      <c r="D965" s="1">
        <f>IF(Data!D965&gt;0,Data!D965,"")</f>
        <v/>
      </c>
      <c r="E965" s="1">
        <f>IF(Data!E965&gt;0,Data!E965,"")</f>
        <v/>
      </c>
      <c r="F965" s="1">
        <f>IF(Data!F965&gt;0,Data!F965,"")</f>
        <v/>
      </c>
      <c r="G965" s="1">
        <f>IF(Data!G965&gt;0,Data!G965,"")</f>
        <v/>
      </c>
      <c r="H965" s="1">
        <f>IF(Data!H965&gt;0,Data!H965,"")</f>
        <v/>
      </c>
      <c r="I965" s="1">
        <f>IF(Data!I965&gt;0,Data!I965,"")</f>
        <v/>
      </c>
      <c r="J965" s="1">
        <f>IF(Data!J965&gt;0,Data!J965,"")</f>
        <v/>
      </c>
      <c r="K965" s="1">
        <f>IF(Data!K965&gt;0,Data!K965,"")</f>
        <v/>
      </c>
      <c r="L965" s="1">
        <f>IF(Data!L965&gt;0,Data!L965,"")</f>
        <v/>
      </c>
      <c r="M965" s="1">
        <f>IF(Data!M965&gt;0,Data!M965,"")</f>
        <v/>
      </c>
      <c r="N965" s="1">
        <f>IF(Data!N965&gt;0,Data!N965,"")</f>
        <v/>
      </c>
      <c r="O965" s="1">
        <f>IF(Data!O965&gt;0,Data!O965,"")</f>
        <v/>
      </c>
      <c r="P965" s="1">
        <f>IF(Data!P965&gt;0,Data!P965,"")</f>
        <v/>
      </c>
      <c r="Q965" s="1">
        <f>IF(Data!Q965&gt;0,Data!Q965,"")</f>
        <v/>
      </c>
      <c r="R965" s="1">
        <f>IF(Data!R965&gt;0,Data!R965,"")</f>
        <v/>
      </c>
      <c r="S965" s="1">
        <f>IF(Data!S965&gt;0,Data!S965,"")</f>
        <v/>
      </c>
      <c r="V965" s="3">
        <f>IF(COUNT(D965,J965,K965,L965,M965,O965)&gt;0,AVERAGE(D965,J965,K965,L965,M965,O965),"")</f>
        <v/>
      </c>
      <c r="W965" s="3">
        <f>IF(COUNT(C965,F965,G965,N965,Q965)&gt;0,AVERAGE(C965,F965,G965,N965,Q965),"")</f>
        <v/>
      </c>
      <c r="X965" s="3">
        <f>IF(COUNT(B965,E965,H965,I965,P965,R965,S965)&gt;0,AVERAGE(B965,E965,H965,I965,P965,R965,S965),"")</f>
        <v/>
      </c>
      <c r="Y965" s="3" t="n"/>
      <c r="AJ965">
        <f>IFERROR(AVERAGEIF($A$4:$A$1004,AI965,$V$4:$V$1004),"")</f>
        <v/>
      </c>
      <c r="AK965">
        <f>IFERROR(AVERAGEIF($A$4:$A$1004,AI965,$W$4:$W$1004),"")</f>
        <v/>
      </c>
      <c r="AL965">
        <f>IFERROR(AVERAGEIF($A$4:$A$1004,AI965,$X$4:$X$1004),"")</f>
        <v/>
      </c>
    </row>
    <row r="966">
      <c r="A966" s="1">
        <f>IF(Data!A966&gt;0,Data!A966,"")</f>
        <v/>
      </c>
      <c r="B966" s="1">
        <f>IF(Data!B966&gt;0,Data!B966,"")</f>
        <v/>
      </c>
      <c r="C966" s="1">
        <f>IF(Data!C966&gt;0,Data!C966,"")</f>
        <v/>
      </c>
      <c r="D966" s="1">
        <f>IF(Data!D966&gt;0,Data!D966,"")</f>
        <v/>
      </c>
      <c r="E966" s="1">
        <f>IF(Data!E966&gt;0,Data!E966,"")</f>
        <v/>
      </c>
      <c r="F966" s="1">
        <f>IF(Data!F966&gt;0,Data!F966,"")</f>
        <v/>
      </c>
      <c r="G966" s="1">
        <f>IF(Data!G966&gt;0,Data!G966,"")</f>
        <v/>
      </c>
      <c r="H966" s="1">
        <f>IF(Data!H966&gt;0,Data!H966,"")</f>
        <v/>
      </c>
      <c r="I966" s="1">
        <f>IF(Data!I966&gt;0,Data!I966,"")</f>
        <v/>
      </c>
      <c r="J966" s="1">
        <f>IF(Data!J966&gt;0,Data!J966,"")</f>
        <v/>
      </c>
      <c r="K966" s="1">
        <f>IF(Data!K966&gt;0,Data!K966,"")</f>
        <v/>
      </c>
      <c r="L966" s="1">
        <f>IF(Data!L966&gt;0,Data!L966,"")</f>
        <v/>
      </c>
      <c r="M966" s="1">
        <f>IF(Data!M966&gt;0,Data!M966,"")</f>
        <v/>
      </c>
      <c r="N966" s="1">
        <f>IF(Data!N966&gt;0,Data!N966,"")</f>
        <v/>
      </c>
      <c r="O966" s="1">
        <f>IF(Data!O966&gt;0,Data!O966,"")</f>
        <v/>
      </c>
      <c r="P966" s="1">
        <f>IF(Data!P966&gt;0,Data!P966,"")</f>
        <v/>
      </c>
      <c r="Q966" s="1">
        <f>IF(Data!Q966&gt;0,Data!Q966,"")</f>
        <v/>
      </c>
      <c r="R966" s="1">
        <f>IF(Data!R966&gt;0,Data!R966,"")</f>
        <v/>
      </c>
      <c r="S966" s="1">
        <f>IF(Data!S966&gt;0,Data!S966,"")</f>
        <v/>
      </c>
      <c r="V966" s="3">
        <f>IF(COUNT(D966,J966,K966,L966,M966,O966)&gt;0,AVERAGE(D966,J966,K966,L966,M966,O966),"")</f>
        <v/>
      </c>
      <c r="W966" s="3">
        <f>IF(COUNT(C966,F966,G966,N966,Q966)&gt;0,AVERAGE(C966,F966,G966,N966,Q966),"")</f>
        <v/>
      </c>
      <c r="X966" s="3">
        <f>IF(COUNT(B966,E966,H966,I966,P966,R966,S966)&gt;0,AVERAGE(B966,E966,H966,I966,P966,R966,S966),"")</f>
        <v/>
      </c>
      <c r="Y966" s="3" t="n"/>
      <c r="AJ966">
        <f>IFERROR(AVERAGEIF($A$4:$A$1004,AI966,$V$4:$V$1004),"")</f>
        <v/>
      </c>
      <c r="AK966">
        <f>IFERROR(AVERAGEIF($A$4:$A$1004,AI966,$W$4:$W$1004),"")</f>
        <v/>
      </c>
      <c r="AL966">
        <f>IFERROR(AVERAGEIF($A$4:$A$1004,AI966,$X$4:$X$1004),"")</f>
        <v/>
      </c>
    </row>
    <row r="967">
      <c r="A967" s="1">
        <f>IF(Data!A967&gt;0,Data!A967,"")</f>
        <v/>
      </c>
      <c r="B967" s="1">
        <f>IF(Data!B967&gt;0,Data!B967,"")</f>
        <v/>
      </c>
      <c r="C967" s="1">
        <f>IF(Data!C967&gt;0,Data!C967,"")</f>
        <v/>
      </c>
      <c r="D967" s="1">
        <f>IF(Data!D967&gt;0,Data!D967,"")</f>
        <v/>
      </c>
      <c r="E967" s="1">
        <f>IF(Data!E967&gt;0,Data!E967,"")</f>
        <v/>
      </c>
      <c r="F967" s="1">
        <f>IF(Data!F967&gt;0,Data!F967,"")</f>
        <v/>
      </c>
      <c r="G967" s="1">
        <f>IF(Data!G967&gt;0,Data!G967,"")</f>
        <v/>
      </c>
      <c r="H967" s="1">
        <f>IF(Data!H967&gt;0,Data!H967,"")</f>
        <v/>
      </c>
      <c r="I967" s="1">
        <f>IF(Data!I967&gt;0,Data!I967,"")</f>
        <v/>
      </c>
      <c r="J967" s="1">
        <f>IF(Data!J967&gt;0,Data!J967,"")</f>
        <v/>
      </c>
      <c r="K967" s="1">
        <f>IF(Data!K967&gt;0,Data!K967,"")</f>
        <v/>
      </c>
      <c r="L967" s="1">
        <f>IF(Data!L967&gt;0,Data!L967,"")</f>
        <v/>
      </c>
      <c r="M967" s="1">
        <f>IF(Data!M967&gt;0,Data!M967,"")</f>
        <v/>
      </c>
      <c r="N967" s="1">
        <f>IF(Data!N967&gt;0,Data!N967,"")</f>
        <v/>
      </c>
      <c r="O967" s="1">
        <f>IF(Data!O967&gt;0,Data!O967,"")</f>
        <v/>
      </c>
      <c r="P967" s="1">
        <f>IF(Data!P967&gt;0,Data!P967,"")</f>
        <v/>
      </c>
      <c r="Q967" s="1">
        <f>IF(Data!Q967&gt;0,Data!Q967,"")</f>
        <v/>
      </c>
      <c r="R967" s="1">
        <f>IF(Data!R967&gt;0,Data!R967,"")</f>
        <v/>
      </c>
      <c r="S967" s="1">
        <f>IF(Data!S967&gt;0,Data!S967,"")</f>
        <v/>
      </c>
      <c r="V967" s="3">
        <f>IF(COUNT(D967,J967,K967,L967,M967,O967)&gt;0,AVERAGE(D967,J967,K967,L967,M967,O967),"")</f>
        <v/>
      </c>
      <c r="W967" s="3">
        <f>IF(COUNT(C967,F967,G967,N967,Q967)&gt;0,AVERAGE(C967,F967,G967,N967,Q967),"")</f>
        <v/>
      </c>
      <c r="X967" s="3">
        <f>IF(COUNT(B967,E967,H967,I967,P967,R967,S967)&gt;0,AVERAGE(B967,E967,H967,I967,P967,R967,S967),"")</f>
        <v/>
      </c>
      <c r="Y967" s="3" t="n"/>
      <c r="AJ967">
        <f>IFERROR(AVERAGEIF($A$4:$A$1004,AI967,$V$4:$V$1004),"")</f>
        <v/>
      </c>
      <c r="AK967">
        <f>IFERROR(AVERAGEIF($A$4:$A$1004,AI967,$W$4:$W$1004),"")</f>
        <v/>
      </c>
      <c r="AL967">
        <f>IFERROR(AVERAGEIF($A$4:$A$1004,AI967,$X$4:$X$1004),"")</f>
        <v/>
      </c>
    </row>
    <row r="968">
      <c r="A968" s="1">
        <f>IF(Data!A968&gt;0,Data!A968,"")</f>
        <v/>
      </c>
      <c r="B968" s="1">
        <f>IF(Data!B968&gt;0,Data!B968,"")</f>
        <v/>
      </c>
      <c r="C968" s="1">
        <f>IF(Data!C968&gt;0,Data!C968,"")</f>
        <v/>
      </c>
      <c r="D968" s="1">
        <f>IF(Data!D968&gt;0,Data!D968,"")</f>
        <v/>
      </c>
      <c r="E968" s="1">
        <f>IF(Data!E968&gt;0,Data!E968,"")</f>
        <v/>
      </c>
      <c r="F968" s="1">
        <f>IF(Data!F968&gt;0,Data!F968,"")</f>
        <v/>
      </c>
      <c r="G968" s="1">
        <f>IF(Data!G968&gt;0,Data!G968,"")</f>
        <v/>
      </c>
      <c r="H968" s="1">
        <f>IF(Data!H968&gt;0,Data!H968,"")</f>
        <v/>
      </c>
      <c r="I968" s="1">
        <f>IF(Data!I968&gt;0,Data!I968,"")</f>
        <v/>
      </c>
      <c r="J968" s="1">
        <f>IF(Data!J968&gt;0,Data!J968,"")</f>
        <v/>
      </c>
      <c r="K968" s="1">
        <f>IF(Data!K968&gt;0,Data!K968,"")</f>
        <v/>
      </c>
      <c r="L968" s="1">
        <f>IF(Data!L968&gt;0,Data!L968,"")</f>
        <v/>
      </c>
      <c r="M968" s="1">
        <f>IF(Data!M968&gt;0,Data!M968,"")</f>
        <v/>
      </c>
      <c r="N968" s="1">
        <f>IF(Data!N968&gt;0,Data!N968,"")</f>
        <v/>
      </c>
      <c r="O968" s="1">
        <f>IF(Data!O968&gt;0,Data!O968,"")</f>
        <v/>
      </c>
      <c r="P968" s="1">
        <f>IF(Data!P968&gt;0,Data!P968,"")</f>
        <v/>
      </c>
      <c r="Q968" s="1">
        <f>IF(Data!Q968&gt;0,Data!Q968,"")</f>
        <v/>
      </c>
      <c r="R968" s="1">
        <f>IF(Data!R968&gt;0,Data!R968,"")</f>
        <v/>
      </c>
      <c r="S968" s="1">
        <f>IF(Data!S968&gt;0,Data!S968,"")</f>
        <v/>
      </c>
      <c r="V968" s="3">
        <f>IF(COUNT(D968,J968,K968,L968,M968,O968)&gt;0,AVERAGE(D968,J968,K968,L968,M968,O968),"")</f>
        <v/>
      </c>
      <c r="W968" s="3">
        <f>IF(COUNT(C968,F968,G968,N968,Q968)&gt;0,AVERAGE(C968,F968,G968,N968,Q968),"")</f>
        <v/>
      </c>
      <c r="X968" s="3">
        <f>IF(COUNT(B968,E968,H968,I968,P968,R968,S968)&gt;0,AVERAGE(B968,E968,H968,I968,P968,R968,S968),"")</f>
        <v/>
      </c>
      <c r="Y968" s="3" t="n"/>
      <c r="AJ968">
        <f>IFERROR(AVERAGEIF($A$4:$A$1004,AI968,$V$4:$V$1004),"")</f>
        <v/>
      </c>
      <c r="AK968">
        <f>IFERROR(AVERAGEIF($A$4:$A$1004,AI968,$W$4:$W$1004),"")</f>
        <v/>
      </c>
      <c r="AL968">
        <f>IFERROR(AVERAGEIF($A$4:$A$1004,AI968,$X$4:$X$1004),"")</f>
        <v/>
      </c>
    </row>
    <row r="969">
      <c r="A969" s="1">
        <f>IF(Data!A969&gt;0,Data!A969,"")</f>
        <v/>
      </c>
      <c r="B969" s="1">
        <f>IF(Data!B969&gt;0,Data!B969,"")</f>
        <v/>
      </c>
      <c r="C969" s="1">
        <f>IF(Data!C969&gt;0,Data!C969,"")</f>
        <v/>
      </c>
      <c r="D969" s="1">
        <f>IF(Data!D969&gt;0,Data!D969,"")</f>
        <v/>
      </c>
      <c r="E969" s="1">
        <f>IF(Data!E969&gt;0,Data!E969,"")</f>
        <v/>
      </c>
      <c r="F969" s="1">
        <f>IF(Data!F969&gt;0,Data!F969,"")</f>
        <v/>
      </c>
      <c r="G969" s="1">
        <f>IF(Data!G969&gt;0,Data!G969,"")</f>
        <v/>
      </c>
      <c r="H969" s="1">
        <f>IF(Data!H969&gt;0,Data!H969,"")</f>
        <v/>
      </c>
      <c r="I969" s="1">
        <f>IF(Data!I969&gt;0,Data!I969,"")</f>
        <v/>
      </c>
      <c r="J969" s="1">
        <f>IF(Data!J969&gt;0,Data!J969,"")</f>
        <v/>
      </c>
      <c r="K969" s="1">
        <f>IF(Data!K969&gt;0,Data!K969,"")</f>
        <v/>
      </c>
      <c r="L969" s="1">
        <f>IF(Data!L969&gt;0,Data!L969,"")</f>
        <v/>
      </c>
      <c r="M969" s="1">
        <f>IF(Data!M969&gt;0,Data!M969,"")</f>
        <v/>
      </c>
      <c r="N969" s="1">
        <f>IF(Data!N969&gt;0,Data!N969,"")</f>
        <v/>
      </c>
      <c r="O969" s="1">
        <f>IF(Data!O969&gt;0,Data!O969,"")</f>
        <v/>
      </c>
      <c r="P969" s="1">
        <f>IF(Data!P969&gt;0,Data!P969,"")</f>
        <v/>
      </c>
      <c r="Q969" s="1">
        <f>IF(Data!Q969&gt;0,Data!Q969,"")</f>
        <v/>
      </c>
      <c r="R969" s="1">
        <f>IF(Data!R969&gt;0,Data!R969,"")</f>
        <v/>
      </c>
      <c r="S969" s="1">
        <f>IF(Data!S969&gt;0,Data!S969,"")</f>
        <v/>
      </c>
      <c r="V969" s="3">
        <f>IF(COUNT(D969,J969,K969,L969,M969,O969)&gt;0,AVERAGE(D969,J969,K969,L969,M969,O969),"")</f>
        <v/>
      </c>
      <c r="W969" s="3">
        <f>IF(COUNT(C969,F969,G969,N969,Q969)&gt;0,AVERAGE(C969,F969,G969,N969,Q969),"")</f>
        <v/>
      </c>
      <c r="X969" s="3">
        <f>IF(COUNT(B969,E969,H969,I969,P969,R969,S969)&gt;0,AVERAGE(B969,E969,H969,I969,P969,R969,S969),"")</f>
        <v/>
      </c>
      <c r="Y969" s="3" t="n"/>
      <c r="AJ969">
        <f>IFERROR(AVERAGEIF($A$4:$A$1004,AI969,$V$4:$V$1004),"")</f>
        <v/>
      </c>
      <c r="AK969">
        <f>IFERROR(AVERAGEIF($A$4:$A$1004,AI969,$W$4:$W$1004),"")</f>
        <v/>
      </c>
      <c r="AL969">
        <f>IFERROR(AVERAGEIF($A$4:$A$1004,AI969,$X$4:$X$1004),"")</f>
        <v/>
      </c>
    </row>
    <row r="970">
      <c r="A970" s="1">
        <f>IF(Data!A970&gt;0,Data!A970,"")</f>
        <v/>
      </c>
      <c r="B970" s="1">
        <f>IF(Data!B970&gt;0,Data!B970,"")</f>
        <v/>
      </c>
      <c r="C970" s="1">
        <f>IF(Data!C970&gt;0,Data!C970,"")</f>
        <v/>
      </c>
      <c r="D970" s="1">
        <f>IF(Data!D970&gt;0,Data!D970,"")</f>
        <v/>
      </c>
      <c r="E970" s="1">
        <f>IF(Data!E970&gt;0,Data!E970,"")</f>
        <v/>
      </c>
      <c r="F970" s="1">
        <f>IF(Data!F970&gt;0,Data!F970,"")</f>
        <v/>
      </c>
      <c r="G970" s="1">
        <f>IF(Data!G970&gt;0,Data!G970,"")</f>
        <v/>
      </c>
      <c r="H970" s="1">
        <f>IF(Data!H970&gt;0,Data!H970,"")</f>
        <v/>
      </c>
      <c r="I970" s="1">
        <f>IF(Data!I970&gt;0,Data!I970,"")</f>
        <v/>
      </c>
      <c r="J970" s="1">
        <f>IF(Data!J970&gt;0,Data!J970,"")</f>
        <v/>
      </c>
      <c r="K970" s="1">
        <f>IF(Data!K970&gt;0,Data!K970,"")</f>
        <v/>
      </c>
      <c r="L970" s="1">
        <f>IF(Data!L970&gt;0,Data!L970,"")</f>
        <v/>
      </c>
      <c r="M970" s="1">
        <f>IF(Data!M970&gt;0,Data!M970,"")</f>
        <v/>
      </c>
      <c r="N970" s="1">
        <f>IF(Data!N970&gt;0,Data!N970,"")</f>
        <v/>
      </c>
      <c r="O970" s="1">
        <f>IF(Data!O970&gt;0,Data!O970,"")</f>
        <v/>
      </c>
      <c r="P970" s="1">
        <f>IF(Data!P970&gt;0,Data!P970,"")</f>
        <v/>
      </c>
      <c r="Q970" s="1">
        <f>IF(Data!Q970&gt;0,Data!Q970,"")</f>
        <v/>
      </c>
      <c r="R970" s="1">
        <f>IF(Data!R970&gt;0,Data!R970,"")</f>
        <v/>
      </c>
      <c r="S970" s="1">
        <f>IF(Data!S970&gt;0,Data!S970,"")</f>
        <v/>
      </c>
      <c r="V970" s="3">
        <f>IF(COUNT(D970,J970,K970,L970,M970,O970)&gt;0,AVERAGE(D970,J970,K970,L970,M970,O970),"")</f>
        <v/>
      </c>
      <c r="W970" s="3">
        <f>IF(COUNT(C970,F970,G970,N970,Q970)&gt;0,AVERAGE(C970,F970,G970,N970,Q970),"")</f>
        <v/>
      </c>
      <c r="X970" s="3">
        <f>IF(COUNT(B970,E970,H970,I970,P970,R970,S970)&gt;0,AVERAGE(B970,E970,H970,I970,P970,R970,S970),"")</f>
        <v/>
      </c>
      <c r="Y970" s="3" t="n"/>
      <c r="AJ970">
        <f>IFERROR(AVERAGEIF($A$4:$A$1004,AI970,$V$4:$V$1004),"")</f>
        <v/>
      </c>
      <c r="AK970">
        <f>IFERROR(AVERAGEIF($A$4:$A$1004,AI970,$W$4:$W$1004),"")</f>
        <v/>
      </c>
      <c r="AL970">
        <f>IFERROR(AVERAGEIF($A$4:$A$1004,AI970,$X$4:$X$1004),"")</f>
        <v/>
      </c>
    </row>
    <row r="971">
      <c r="A971" s="1">
        <f>IF(Data!A971&gt;0,Data!A971,"")</f>
        <v/>
      </c>
      <c r="B971" s="1">
        <f>IF(Data!B971&gt;0,Data!B971,"")</f>
        <v/>
      </c>
      <c r="C971" s="1">
        <f>IF(Data!C971&gt;0,Data!C971,"")</f>
        <v/>
      </c>
      <c r="D971" s="1">
        <f>IF(Data!D971&gt;0,Data!D971,"")</f>
        <v/>
      </c>
      <c r="E971" s="1">
        <f>IF(Data!E971&gt;0,Data!E971,"")</f>
        <v/>
      </c>
      <c r="F971" s="1">
        <f>IF(Data!F971&gt;0,Data!F971,"")</f>
        <v/>
      </c>
      <c r="G971" s="1">
        <f>IF(Data!G971&gt;0,Data!G971,"")</f>
        <v/>
      </c>
      <c r="H971" s="1">
        <f>IF(Data!H971&gt;0,Data!H971,"")</f>
        <v/>
      </c>
      <c r="I971" s="1">
        <f>IF(Data!I971&gt;0,Data!I971,"")</f>
        <v/>
      </c>
      <c r="J971" s="1">
        <f>IF(Data!J971&gt;0,Data!J971,"")</f>
        <v/>
      </c>
      <c r="K971" s="1">
        <f>IF(Data!K971&gt;0,Data!K971,"")</f>
        <v/>
      </c>
      <c r="L971" s="1">
        <f>IF(Data!L971&gt;0,Data!L971,"")</f>
        <v/>
      </c>
      <c r="M971" s="1">
        <f>IF(Data!M971&gt;0,Data!M971,"")</f>
        <v/>
      </c>
      <c r="N971" s="1">
        <f>IF(Data!N971&gt;0,Data!N971,"")</f>
        <v/>
      </c>
      <c r="O971" s="1">
        <f>IF(Data!O971&gt;0,Data!O971,"")</f>
        <v/>
      </c>
      <c r="P971" s="1">
        <f>IF(Data!P971&gt;0,Data!P971,"")</f>
        <v/>
      </c>
      <c r="Q971" s="1">
        <f>IF(Data!Q971&gt;0,Data!Q971,"")</f>
        <v/>
      </c>
      <c r="R971" s="1">
        <f>IF(Data!R971&gt;0,Data!R971,"")</f>
        <v/>
      </c>
      <c r="S971" s="1">
        <f>IF(Data!S971&gt;0,Data!S971,"")</f>
        <v/>
      </c>
      <c r="V971" s="3">
        <f>IF(COUNT(D971,J971,K971,L971,M971,O971)&gt;0,AVERAGE(D971,J971,K971,L971,M971,O971),"")</f>
        <v/>
      </c>
      <c r="W971" s="3">
        <f>IF(COUNT(C971,F971,G971,N971,Q971)&gt;0,AVERAGE(C971,F971,G971,N971,Q971),"")</f>
        <v/>
      </c>
      <c r="X971" s="3">
        <f>IF(COUNT(B971,E971,H971,I971,P971,R971,S971)&gt;0,AVERAGE(B971,E971,H971,I971,P971,R971,S971),"")</f>
        <v/>
      </c>
      <c r="Y971" s="3" t="n"/>
      <c r="AJ971">
        <f>IFERROR(AVERAGEIF($A$4:$A$1004,AI971,$V$4:$V$1004),"")</f>
        <v/>
      </c>
      <c r="AK971">
        <f>IFERROR(AVERAGEIF($A$4:$A$1004,AI971,$W$4:$W$1004),"")</f>
        <v/>
      </c>
      <c r="AL971">
        <f>IFERROR(AVERAGEIF($A$4:$A$1004,AI971,$X$4:$X$1004),"")</f>
        <v/>
      </c>
    </row>
    <row r="972">
      <c r="A972" s="1">
        <f>IF(Data!A972&gt;0,Data!A972,"")</f>
        <v/>
      </c>
      <c r="B972" s="1">
        <f>IF(Data!B972&gt;0,Data!B972,"")</f>
        <v/>
      </c>
      <c r="C972" s="1">
        <f>IF(Data!C972&gt;0,Data!C972,"")</f>
        <v/>
      </c>
      <c r="D972" s="1">
        <f>IF(Data!D972&gt;0,Data!D972,"")</f>
        <v/>
      </c>
      <c r="E972" s="1">
        <f>IF(Data!E972&gt;0,Data!E972,"")</f>
        <v/>
      </c>
      <c r="F972" s="1">
        <f>IF(Data!F972&gt;0,Data!F972,"")</f>
        <v/>
      </c>
      <c r="G972" s="1">
        <f>IF(Data!G972&gt;0,Data!G972,"")</f>
        <v/>
      </c>
      <c r="H972" s="1">
        <f>IF(Data!H972&gt;0,Data!H972,"")</f>
        <v/>
      </c>
      <c r="I972" s="1">
        <f>IF(Data!I972&gt;0,Data!I972,"")</f>
        <v/>
      </c>
      <c r="J972" s="1">
        <f>IF(Data!J972&gt;0,Data!J972,"")</f>
        <v/>
      </c>
      <c r="K972" s="1">
        <f>IF(Data!K972&gt;0,Data!K972,"")</f>
        <v/>
      </c>
      <c r="L972" s="1">
        <f>IF(Data!L972&gt;0,Data!L972,"")</f>
        <v/>
      </c>
      <c r="M972" s="1">
        <f>IF(Data!M972&gt;0,Data!M972,"")</f>
        <v/>
      </c>
      <c r="N972" s="1">
        <f>IF(Data!N972&gt;0,Data!N972,"")</f>
        <v/>
      </c>
      <c r="O972" s="1">
        <f>IF(Data!O972&gt;0,Data!O972,"")</f>
        <v/>
      </c>
      <c r="P972" s="1">
        <f>IF(Data!P972&gt;0,Data!P972,"")</f>
        <v/>
      </c>
      <c r="Q972" s="1">
        <f>IF(Data!Q972&gt;0,Data!Q972,"")</f>
        <v/>
      </c>
      <c r="R972" s="1">
        <f>IF(Data!R972&gt;0,Data!R972,"")</f>
        <v/>
      </c>
      <c r="S972" s="1">
        <f>IF(Data!S972&gt;0,Data!S972,"")</f>
        <v/>
      </c>
      <c r="V972" s="3">
        <f>IF(COUNT(D972,J972,K972,L972,M972,O972)&gt;0,AVERAGE(D972,J972,K972,L972,M972,O972),"")</f>
        <v/>
      </c>
      <c r="W972" s="3">
        <f>IF(COUNT(C972,F972,G972,N972,Q972)&gt;0,AVERAGE(C972,F972,G972,N972,Q972),"")</f>
        <v/>
      </c>
      <c r="X972" s="3">
        <f>IF(COUNT(B972,E972,H972,I972,P972,R972,S972)&gt;0,AVERAGE(B972,E972,H972,I972,P972,R972,S972),"")</f>
        <v/>
      </c>
      <c r="Y972" s="3" t="n"/>
      <c r="AJ972">
        <f>IFERROR(AVERAGEIF($A$4:$A$1004,AI972,$V$4:$V$1004),"")</f>
        <v/>
      </c>
      <c r="AK972">
        <f>IFERROR(AVERAGEIF($A$4:$A$1004,AI972,$W$4:$W$1004),"")</f>
        <v/>
      </c>
      <c r="AL972">
        <f>IFERROR(AVERAGEIF($A$4:$A$1004,AI972,$X$4:$X$1004),"")</f>
        <v/>
      </c>
    </row>
    <row r="973">
      <c r="A973" s="1">
        <f>IF(Data!A973&gt;0,Data!A973,"")</f>
        <v/>
      </c>
      <c r="B973" s="1">
        <f>IF(Data!B973&gt;0,Data!B973,"")</f>
        <v/>
      </c>
      <c r="C973" s="1">
        <f>IF(Data!C973&gt;0,Data!C973,"")</f>
        <v/>
      </c>
      <c r="D973" s="1">
        <f>IF(Data!D973&gt;0,Data!D973,"")</f>
        <v/>
      </c>
      <c r="E973" s="1">
        <f>IF(Data!E973&gt;0,Data!E973,"")</f>
        <v/>
      </c>
      <c r="F973" s="1">
        <f>IF(Data!F973&gt;0,Data!F973,"")</f>
        <v/>
      </c>
      <c r="G973" s="1">
        <f>IF(Data!G973&gt;0,Data!G973,"")</f>
        <v/>
      </c>
      <c r="H973" s="1">
        <f>IF(Data!H973&gt;0,Data!H973,"")</f>
        <v/>
      </c>
      <c r="I973" s="1">
        <f>IF(Data!I973&gt;0,Data!I973,"")</f>
        <v/>
      </c>
      <c r="J973" s="1">
        <f>IF(Data!J973&gt;0,Data!J973,"")</f>
        <v/>
      </c>
      <c r="K973" s="1">
        <f>IF(Data!K973&gt;0,Data!K973,"")</f>
        <v/>
      </c>
      <c r="L973" s="1">
        <f>IF(Data!L973&gt;0,Data!L973,"")</f>
        <v/>
      </c>
      <c r="M973" s="1">
        <f>IF(Data!M973&gt;0,Data!M973,"")</f>
        <v/>
      </c>
      <c r="N973" s="1">
        <f>IF(Data!N973&gt;0,Data!N973,"")</f>
        <v/>
      </c>
      <c r="O973" s="1">
        <f>IF(Data!O973&gt;0,Data!O973,"")</f>
        <v/>
      </c>
      <c r="P973" s="1">
        <f>IF(Data!P973&gt;0,Data!P973,"")</f>
        <v/>
      </c>
      <c r="Q973" s="1">
        <f>IF(Data!Q973&gt;0,Data!Q973,"")</f>
        <v/>
      </c>
      <c r="R973" s="1">
        <f>IF(Data!R973&gt;0,Data!R973,"")</f>
        <v/>
      </c>
      <c r="S973" s="1">
        <f>IF(Data!S973&gt;0,Data!S973,"")</f>
        <v/>
      </c>
      <c r="V973" s="3">
        <f>IF(COUNT(D973,J973,K973,L973,M973,O973)&gt;0,AVERAGE(D973,J973,K973,L973,M973,O973),"")</f>
        <v/>
      </c>
      <c r="W973" s="3">
        <f>IF(COUNT(C973,F973,G973,N973,Q973)&gt;0,AVERAGE(C973,F973,G973,N973,Q973),"")</f>
        <v/>
      </c>
      <c r="X973" s="3">
        <f>IF(COUNT(B973,E973,H973,I973,P973,R973,S973)&gt;0,AVERAGE(B973,E973,H973,I973,P973,R973,S973),"")</f>
        <v/>
      </c>
      <c r="Y973" s="3" t="n"/>
      <c r="AJ973">
        <f>IFERROR(AVERAGEIF($A$4:$A$1004,AI973,$V$4:$V$1004),"")</f>
        <v/>
      </c>
      <c r="AK973">
        <f>IFERROR(AVERAGEIF($A$4:$A$1004,AI973,$W$4:$W$1004),"")</f>
        <v/>
      </c>
      <c r="AL973">
        <f>IFERROR(AVERAGEIF($A$4:$A$1004,AI973,$X$4:$X$1004),"")</f>
        <v/>
      </c>
    </row>
    <row r="974">
      <c r="A974" s="1">
        <f>IF(Data!A974&gt;0,Data!A974,"")</f>
        <v/>
      </c>
      <c r="B974" s="1">
        <f>IF(Data!B974&gt;0,Data!B974,"")</f>
        <v/>
      </c>
      <c r="C974" s="1">
        <f>IF(Data!C974&gt;0,Data!C974,"")</f>
        <v/>
      </c>
      <c r="D974" s="1">
        <f>IF(Data!D974&gt;0,Data!D974,"")</f>
        <v/>
      </c>
      <c r="E974" s="1">
        <f>IF(Data!E974&gt;0,Data!E974,"")</f>
        <v/>
      </c>
      <c r="F974" s="1">
        <f>IF(Data!F974&gt;0,Data!F974,"")</f>
        <v/>
      </c>
      <c r="G974" s="1">
        <f>IF(Data!G974&gt;0,Data!G974,"")</f>
        <v/>
      </c>
      <c r="H974" s="1">
        <f>IF(Data!H974&gt;0,Data!H974,"")</f>
        <v/>
      </c>
      <c r="I974" s="1">
        <f>IF(Data!I974&gt;0,Data!I974,"")</f>
        <v/>
      </c>
      <c r="J974" s="1">
        <f>IF(Data!J974&gt;0,Data!J974,"")</f>
        <v/>
      </c>
      <c r="K974" s="1">
        <f>IF(Data!K974&gt;0,Data!K974,"")</f>
        <v/>
      </c>
      <c r="L974" s="1">
        <f>IF(Data!L974&gt;0,Data!L974,"")</f>
        <v/>
      </c>
      <c r="M974" s="1">
        <f>IF(Data!M974&gt;0,Data!M974,"")</f>
        <v/>
      </c>
      <c r="N974" s="1">
        <f>IF(Data!N974&gt;0,Data!N974,"")</f>
        <v/>
      </c>
      <c r="O974" s="1">
        <f>IF(Data!O974&gt;0,Data!O974,"")</f>
        <v/>
      </c>
      <c r="P974" s="1">
        <f>IF(Data!P974&gt;0,Data!P974,"")</f>
        <v/>
      </c>
      <c r="Q974" s="1">
        <f>IF(Data!Q974&gt;0,Data!Q974,"")</f>
        <v/>
      </c>
      <c r="R974" s="1">
        <f>IF(Data!R974&gt;0,Data!R974,"")</f>
        <v/>
      </c>
      <c r="S974" s="1">
        <f>IF(Data!S974&gt;0,Data!S974,"")</f>
        <v/>
      </c>
      <c r="V974" s="3">
        <f>IF(COUNT(D974,J974,K974,L974,M974,O974)&gt;0,AVERAGE(D974,J974,K974,L974,M974,O974),"")</f>
        <v/>
      </c>
      <c r="W974" s="3">
        <f>IF(COUNT(C974,F974,G974,N974,Q974)&gt;0,AVERAGE(C974,F974,G974,N974,Q974),"")</f>
        <v/>
      </c>
      <c r="X974" s="3">
        <f>IF(COUNT(B974,E974,H974,I974,P974,R974,S974)&gt;0,AVERAGE(B974,E974,H974,I974,P974,R974,S974),"")</f>
        <v/>
      </c>
      <c r="Y974" s="3" t="n"/>
      <c r="AJ974">
        <f>IFERROR(AVERAGEIF($A$4:$A$1004,AI974,$V$4:$V$1004),"")</f>
        <v/>
      </c>
      <c r="AK974">
        <f>IFERROR(AVERAGEIF($A$4:$A$1004,AI974,$W$4:$W$1004),"")</f>
        <v/>
      </c>
      <c r="AL974">
        <f>IFERROR(AVERAGEIF($A$4:$A$1004,AI974,$X$4:$X$1004),"")</f>
        <v/>
      </c>
    </row>
    <row r="975">
      <c r="A975" s="1">
        <f>IF(Data!A975&gt;0,Data!A975,"")</f>
        <v/>
      </c>
      <c r="B975" s="1">
        <f>IF(Data!B975&gt;0,Data!B975,"")</f>
        <v/>
      </c>
      <c r="C975" s="1">
        <f>IF(Data!C975&gt;0,Data!C975,"")</f>
        <v/>
      </c>
      <c r="D975" s="1">
        <f>IF(Data!D975&gt;0,Data!D975,"")</f>
        <v/>
      </c>
      <c r="E975" s="1">
        <f>IF(Data!E975&gt;0,Data!E975,"")</f>
        <v/>
      </c>
      <c r="F975" s="1">
        <f>IF(Data!F975&gt;0,Data!F975,"")</f>
        <v/>
      </c>
      <c r="G975" s="1">
        <f>IF(Data!G975&gt;0,Data!G975,"")</f>
        <v/>
      </c>
      <c r="H975" s="1">
        <f>IF(Data!H975&gt;0,Data!H975,"")</f>
        <v/>
      </c>
      <c r="I975" s="1">
        <f>IF(Data!I975&gt;0,Data!I975,"")</f>
        <v/>
      </c>
      <c r="J975" s="1">
        <f>IF(Data!J975&gt;0,Data!J975,"")</f>
        <v/>
      </c>
      <c r="K975" s="1">
        <f>IF(Data!K975&gt;0,Data!K975,"")</f>
        <v/>
      </c>
      <c r="L975" s="1">
        <f>IF(Data!L975&gt;0,Data!L975,"")</f>
        <v/>
      </c>
      <c r="M975" s="1">
        <f>IF(Data!M975&gt;0,Data!M975,"")</f>
        <v/>
      </c>
      <c r="N975" s="1">
        <f>IF(Data!N975&gt;0,Data!N975,"")</f>
        <v/>
      </c>
      <c r="O975" s="1">
        <f>IF(Data!O975&gt;0,Data!O975,"")</f>
        <v/>
      </c>
      <c r="P975" s="1">
        <f>IF(Data!P975&gt;0,Data!P975,"")</f>
        <v/>
      </c>
      <c r="Q975" s="1">
        <f>IF(Data!Q975&gt;0,Data!Q975,"")</f>
        <v/>
      </c>
      <c r="R975" s="1">
        <f>IF(Data!R975&gt;0,Data!R975,"")</f>
        <v/>
      </c>
      <c r="S975" s="1">
        <f>IF(Data!S975&gt;0,Data!S975,"")</f>
        <v/>
      </c>
      <c r="V975" s="3">
        <f>IF(COUNT(D975,J975,K975,L975,M975,O975)&gt;0,AVERAGE(D975,J975,K975,L975,M975,O975),"")</f>
        <v/>
      </c>
      <c r="W975" s="3">
        <f>IF(COUNT(C975,F975,G975,N975,Q975)&gt;0,AVERAGE(C975,F975,G975,N975,Q975),"")</f>
        <v/>
      </c>
      <c r="X975" s="3">
        <f>IF(COUNT(B975,E975,H975,I975,P975,R975,S975)&gt;0,AVERAGE(B975,E975,H975,I975,P975,R975,S975),"")</f>
        <v/>
      </c>
      <c r="Y975" s="3" t="n"/>
      <c r="AJ975">
        <f>IFERROR(AVERAGEIF($A$4:$A$1004,AI975,$V$4:$V$1004),"")</f>
        <v/>
      </c>
      <c r="AK975">
        <f>IFERROR(AVERAGEIF($A$4:$A$1004,AI975,$W$4:$W$1004),"")</f>
        <v/>
      </c>
      <c r="AL975">
        <f>IFERROR(AVERAGEIF($A$4:$A$1004,AI975,$X$4:$X$1004),"")</f>
        <v/>
      </c>
    </row>
    <row r="976">
      <c r="A976" s="1">
        <f>IF(Data!A976&gt;0,Data!A976,"")</f>
        <v/>
      </c>
      <c r="B976" s="1">
        <f>IF(Data!B976&gt;0,Data!B976,"")</f>
        <v/>
      </c>
      <c r="C976" s="1">
        <f>IF(Data!C976&gt;0,Data!C976,"")</f>
        <v/>
      </c>
      <c r="D976" s="1">
        <f>IF(Data!D976&gt;0,Data!D976,"")</f>
        <v/>
      </c>
      <c r="E976" s="1">
        <f>IF(Data!E976&gt;0,Data!E976,"")</f>
        <v/>
      </c>
      <c r="F976" s="1">
        <f>IF(Data!F976&gt;0,Data!F976,"")</f>
        <v/>
      </c>
      <c r="G976" s="1">
        <f>IF(Data!G976&gt;0,Data!G976,"")</f>
        <v/>
      </c>
      <c r="H976" s="1">
        <f>IF(Data!H976&gt;0,Data!H976,"")</f>
        <v/>
      </c>
      <c r="I976" s="1">
        <f>IF(Data!I976&gt;0,Data!I976,"")</f>
        <v/>
      </c>
      <c r="J976" s="1">
        <f>IF(Data!J976&gt;0,Data!J976,"")</f>
        <v/>
      </c>
      <c r="K976" s="1">
        <f>IF(Data!K976&gt;0,Data!K976,"")</f>
        <v/>
      </c>
      <c r="L976" s="1">
        <f>IF(Data!L976&gt;0,Data!L976,"")</f>
        <v/>
      </c>
      <c r="M976" s="1">
        <f>IF(Data!M976&gt;0,Data!M976,"")</f>
        <v/>
      </c>
      <c r="N976" s="1">
        <f>IF(Data!N976&gt;0,Data!N976,"")</f>
        <v/>
      </c>
      <c r="O976" s="1">
        <f>IF(Data!O976&gt;0,Data!O976,"")</f>
        <v/>
      </c>
      <c r="P976" s="1">
        <f>IF(Data!P976&gt;0,Data!P976,"")</f>
        <v/>
      </c>
      <c r="Q976" s="1">
        <f>IF(Data!Q976&gt;0,Data!Q976,"")</f>
        <v/>
      </c>
      <c r="R976" s="1">
        <f>IF(Data!R976&gt;0,Data!R976,"")</f>
        <v/>
      </c>
      <c r="S976" s="1">
        <f>IF(Data!S976&gt;0,Data!S976,"")</f>
        <v/>
      </c>
      <c r="V976" s="3">
        <f>IF(COUNT(D976,J976,K976,L976,M976,O976)&gt;0,AVERAGE(D976,J976,K976,L976,M976,O976),"")</f>
        <v/>
      </c>
      <c r="W976" s="3">
        <f>IF(COUNT(C976,F976,G976,N976,Q976)&gt;0,AVERAGE(C976,F976,G976,N976,Q976),"")</f>
        <v/>
      </c>
      <c r="X976" s="3">
        <f>IF(COUNT(B976,E976,H976,I976,P976,R976,S976)&gt;0,AVERAGE(B976,E976,H976,I976,P976,R976,S976),"")</f>
        <v/>
      </c>
      <c r="Y976" s="3" t="n"/>
      <c r="AJ976">
        <f>IFERROR(AVERAGEIF($A$4:$A$1004,AI976,$V$4:$V$1004),"")</f>
        <v/>
      </c>
      <c r="AK976">
        <f>IFERROR(AVERAGEIF($A$4:$A$1004,AI976,$W$4:$W$1004),"")</f>
        <v/>
      </c>
      <c r="AL976">
        <f>IFERROR(AVERAGEIF($A$4:$A$1004,AI976,$X$4:$X$1004),"")</f>
        <v/>
      </c>
    </row>
    <row r="977">
      <c r="A977" s="1">
        <f>IF(Data!A977&gt;0,Data!A977,"")</f>
        <v/>
      </c>
      <c r="B977" s="1">
        <f>IF(Data!B977&gt;0,Data!B977,"")</f>
        <v/>
      </c>
      <c r="C977" s="1">
        <f>IF(Data!C977&gt;0,Data!C977,"")</f>
        <v/>
      </c>
      <c r="D977" s="1">
        <f>IF(Data!D977&gt;0,Data!D977,"")</f>
        <v/>
      </c>
      <c r="E977" s="1">
        <f>IF(Data!E977&gt;0,Data!E977,"")</f>
        <v/>
      </c>
      <c r="F977" s="1">
        <f>IF(Data!F977&gt;0,Data!F977,"")</f>
        <v/>
      </c>
      <c r="G977" s="1">
        <f>IF(Data!G977&gt;0,Data!G977,"")</f>
        <v/>
      </c>
      <c r="H977" s="1">
        <f>IF(Data!H977&gt;0,Data!H977,"")</f>
        <v/>
      </c>
      <c r="I977" s="1">
        <f>IF(Data!I977&gt;0,Data!I977,"")</f>
        <v/>
      </c>
      <c r="J977" s="1">
        <f>IF(Data!J977&gt;0,Data!J977,"")</f>
        <v/>
      </c>
      <c r="K977" s="1">
        <f>IF(Data!K977&gt;0,Data!K977,"")</f>
        <v/>
      </c>
      <c r="L977" s="1">
        <f>IF(Data!L977&gt;0,Data!L977,"")</f>
        <v/>
      </c>
      <c r="M977" s="1">
        <f>IF(Data!M977&gt;0,Data!M977,"")</f>
        <v/>
      </c>
      <c r="N977" s="1">
        <f>IF(Data!N977&gt;0,Data!N977,"")</f>
        <v/>
      </c>
      <c r="O977" s="1">
        <f>IF(Data!O977&gt;0,Data!O977,"")</f>
        <v/>
      </c>
      <c r="P977" s="1">
        <f>IF(Data!P977&gt;0,Data!P977,"")</f>
        <v/>
      </c>
      <c r="Q977" s="1">
        <f>IF(Data!Q977&gt;0,Data!Q977,"")</f>
        <v/>
      </c>
      <c r="R977" s="1">
        <f>IF(Data!R977&gt;0,Data!R977,"")</f>
        <v/>
      </c>
      <c r="S977" s="1">
        <f>IF(Data!S977&gt;0,Data!S977,"")</f>
        <v/>
      </c>
      <c r="V977" s="3">
        <f>IF(COUNT(D977,J977,K977,L977,M977,O977)&gt;0,AVERAGE(D977,J977,K977,L977,M977,O977),"")</f>
        <v/>
      </c>
      <c r="W977" s="3">
        <f>IF(COUNT(C977,F977,G977,N977,Q977)&gt;0,AVERAGE(C977,F977,G977,N977,Q977),"")</f>
        <v/>
      </c>
      <c r="X977" s="3">
        <f>IF(COUNT(B977,E977,H977,I977,P977,R977,S977)&gt;0,AVERAGE(B977,E977,H977,I977,P977,R977,S977),"")</f>
        <v/>
      </c>
      <c r="Y977" s="3" t="n"/>
      <c r="AJ977">
        <f>IFERROR(AVERAGEIF($A$4:$A$1004,AI977,$V$4:$V$1004),"")</f>
        <v/>
      </c>
      <c r="AK977">
        <f>IFERROR(AVERAGEIF($A$4:$A$1004,AI977,$W$4:$W$1004),"")</f>
        <v/>
      </c>
      <c r="AL977">
        <f>IFERROR(AVERAGEIF($A$4:$A$1004,AI977,$X$4:$X$1004),"")</f>
        <v/>
      </c>
    </row>
    <row r="978">
      <c r="A978" s="1">
        <f>IF(Data!A978&gt;0,Data!A978,"")</f>
        <v/>
      </c>
      <c r="B978" s="1">
        <f>IF(Data!B978&gt;0,Data!B978,"")</f>
        <v/>
      </c>
      <c r="C978" s="1">
        <f>IF(Data!C978&gt;0,Data!C978,"")</f>
        <v/>
      </c>
      <c r="D978" s="1">
        <f>IF(Data!D978&gt;0,Data!D978,"")</f>
        <v/>
      </c>
      <c r="E978" s="1">
        <f>IF(Data!E978&gt;0,Data!E978,"")</f>
        <v/>
      </c>
      <c r="F978" s="1">
        <f>IF(Data!F978&gt;0,Data!F978,"")</f>
        <v/>
      </c>
      <c r="G978" s="1">
        <f>IF(Data!G978&gt;0,Data!G978,"")</f>
        <v/>
      </c>
      <c r="H978" s="1">
        <f>IF(Data!H978&gt;0,Data!H978,"")</f>
        <v/>
      </c>
      <c r="I978" s="1">
        <f>IF(Data!I978&gt;0,Data!I978,"")</f>
        <v/>
      </c>
      <c r="J978" s="1">
        <f>IF(Data!J978&gt;0,Data!J978,"")</f>
        <v/>
      </c>
      <c r="K978" s="1">
        <f>IF(Data!K978&gt;0,Data!K978,"")</f>
        <v/>
      </c>
      <c r="L978" s="1">
        <f>IF(Data!L978&gt;0,Data!L978,"")</f>
        <v/>
      </c>
      <c r="M978" s="1">
        <f>IF(Data!M978&gt;0,Data!M978,"")</f>
        <v/>
      </c>
      <c r="N978" s="1">
        <f>IF(Data!N978&gt;0,Data!N978,"")</f>
        <v/>
      </c>
      <c r="O978" s="1">
        <f>IF(Data!O978&gt;0,Data!O978,"")</f>
        <v/>
      </c>
      <c r="P978" s="1">
        <f>IF(Data!P978&gt;0,Data!P978,"")</f>
        <v/>
      </c>
      <c r="Q978" s="1">
        <f>IF(Data!Q978&gt;0,Data!Q978,"")</f>
        <v/>
      </c>
      <c r="R978" s="1">
        <f>IF(Data!R978&gt;0,Data!R978,"")</f>
        <v/>
      </c>
      <c r="S978" s="1">
        <f>IF(Data!S978&gt;0,Data!S978,"")</f>
        <v/>
      </c>
      <c r="V978" s="3">
        <f>IF(COUNT(D978,J978,K978,L978,M978,O978)&gt;0,AVERAGE(D978,J978,K978,L978,M978,O978),"")</f>
        <v/>
      </c>
      <c r="W978" s="3">
        <f>IF(COUNT(C978,F978,G978,N978,Q978)&gt;0,AVERAGE(C978,F978,G978,N978,Q978),"")</f>
        <v/>
      </c>
      <c r="X978" s="3">
        <f>IF(COUNT(B978,E978,H978,I978,P978,R978,S978)&gt;0,AVERAGE(B978,E978,H978,I978,P978,R978,S978),"")</f>
        <v/>
      </c>
      <c r="Y978" s="3" t="n"/>
      <c r="AJ978">
        <f>IFERROR(AVERAGEIF($A$4:$A$1004,AI978,$V$4:$V$1004),"")</f>
        <v/>
      </c>
      <c r="AK978">
        <f>IFERROR(AVERAGEIF($A$4:$A$1004,AI978,$W$4:$W$1004),"")</f>
        <v/>
      </c>
      <c r="AL978">
        <f>IFERROR(AVERAGEIF($A$4:$A$1004,AI978,$X$4:$X$1004),"")</f>
        <v/>
      </c>
    </row>
    <row r="979">
      <c r="A979" s="1">
        <f>IF(Data!A979&gt;0,Data!A979,"")</f>
        <v/>
      </c>
      <c r="B979" s="1">
        <f>IF(Data!B979&gt;0,Data!B979,"")</f>
        <v/>
      </c>
      <c r="C979" s="1">
        <f>IF(Data!C979&gt;0,Data!C979,"")</f>
        <v/>
      </c>
      <c r="D979" s="1">
        <f>IF(Data!D979&gt;0,Data!D979,"")</f>
        <v/>
      </c>
      <c r="E979" s="1">
        <f>IF(Data!E979&gt;0,Data!E979,"")</f>
        <v/>
      </c>
      <c r="F979" s="1">
        <f>IF(Data!F979&gt;0,Data!F979,"")</f>
        <v/>
      </c>
      <c r="G979" s="1">
        <f>IF(Data!G979&gt;0,Data!G979,"")</f>
        <v/>
      </c>
      <c r="H979" s="1">
        <f>IF(Data!H979&gt;0,Data!H979,"")</f>
        <v/>
      </c>
      <c r="I979" s="1">
        <f>IF(Data!I979&gt;0,Data!I979,"")</f>
        <v/>
      </c>
      <c r="J979" s="1">
        <f>IF(Data!J979&gt;0,Data!J979,"")</f>
        <v/>
      </c>
      <c r="K979" s="1">
        <f>IF(Data!K979&gt;0,Data!K979,"")</f>
        <v/>
      </c>
      <c r="L979" s="1">
        <f>IF(Data!L979&gt;0,Data!L979,"")</f>
        <v/>
      </c>
      <c r="M979" s="1">
        <f>IF(Data!M979&gt;0,Data!M979,"")</f>
        <v/>
      </c>
      <c r="N979" s="1">
        <f>IF(Data!N979&gt;0,Data!N979,"")</f>
        <v/>
      </c>
      <c r="O979" s="1">
        <f>IF(Data!O979&gt;0,Data!O979,"")</f>
        <v/>
      </c>
      <c r="P979" s="1">
        <f>IF(Data!P979&gt;0,Data!P979,"")</f>
        <v/>
      </c>
      <c r="Q979" s="1">
        <f>IF(Data!Q979&gt;0,Data!Q979,"")</f>
        <v/>
      </c>
      <c r="R979" s="1">
        <f>IF(Data!R979&gt;0,Data!R979,"")</f>
        <v/>
      </c>
      <c r="S979" s="1">
        <f>IF(Data!S979&gt;0,Data!S979,"")</f>
        <v/>
      </c>
      <c r="V979" s="3">
        <f>IF(COUNT(D979,J979,K979,L979,M979,O979)&gt;0,AVERAGE(D979,J979,K979,L979,M979,O979),"")</f>
        <v/>
      </c>
      <c r="W979" s="3">
        <f>IF(COUNT(C979,F979,G979,N979,Q979)&gt;0,AVERAGE(C979,F979,G979,N979,Q979),"")</f>
        <v/>
      </c>
      <c r="X979" s="3">
        <f>IF(COUNT(B979,E979,H979,I979,P979,R979,S979)&gt;0,AVERAGE(B979,E979,H979,I979,P979,R979,S979),"")</f>
        <v/>
      </c>
      <c r="Y979" s="3" t="n"/>
      <c r="AJ979">
        <f>IFERROR(AVERAGEIF($A$4:$A$1004,AI979,$V$4:$V$1004),"")</f>
        <v/>
      </c>
      <c r="AK979">
        <f>IFERROR(AVERAGEIF($A$4:$A$1004,AI979,$W$4:$W$1004),"")</f>
        <v/>
      </c>
      <c r="AL979">
        <f>IFERROR(AVERAGEIF($A$4:$A$1004,AI979,$X$4:$X$1004),"")</f>
        <v/>
      </c>
    </row>
    <row r="980">
      <c r="A980" s="1">
        <f>IF(Data!A980&gt;0,Data!A980,"")</f>
        <v/>
      </c>
      <c r="B980" s="1">
        <f>IF(Data!B980&gt;0,Data!B980,"")</f>
        <v/>
      </c>
      <c r="C980" s="1">
        <f>IF(Data!C980&gt;0,Data!C980,"")</f>
        <v/>
      </c>
      <c r="D980" s="1">
        <f>IF(Data!D980&gt;0,Data!D980,"")</f>
        <v/>
      </c>
      <c r="E980" s="1">
        <f>IF(Data!E980&gt;0,Data!E980,"")</f>
        <v/>
      </c>
      <c r="F980" s="1">
        <f>IF(Data!F980&gt;0,Data!F980,"")</f>
        <v/>
      </c>
      <c r="G980" s="1">
        <f>IF(Data!G980&gt;0,Data!G980,"")</f>
        <v/>
      </c>
      <c r="H980" s="1">
        <f>IF(Data!H980&gt;0,Data!H980,"")</f>
        <v/>
      </c>
      <c r="I980" s="1">
        <f>IF(Data!I980&gt;0,Data!I980,"")</f>
        <v/>
      </c>
      <c r="J980" s="1">
        <f>IF(Data!J980&gt;0,Data!J980,"")</f>
        <v/>
      </c>
      <c r="K980" s="1">
        <f>IF(Data!K980&gt;0,Data!K980,"")</f>
        <v/>
      </c>
      <c r="L980" s="1">
        <f>IF(Data!L980&gt;0,Data!L980,"")</f>
        <v/>
      </c>
      <c r="M980" s="1">
        <f>IF(Data!M980&gt;0,Data!M980,"")</f>
        <v/>
      </c>
      <c r="N980" s="1">
        <f>IF(Data!N980&gt;0,Data!N980,"")</f>
        <v/>
      </c>
      <c r="O980" s="1">
        <f>IF(Data!O980&gt;0,Data!O980,"")</f>
        <v/>
      </c>
      <c r="P980" s="1">
        <f>IF(Data!P980&gt;0,Data!P980,"")</f>
        <v/>
      </c>
      <c r="Q980" s="1">
        <f>IF(Data!Q980&gt;0,Data!Q980,"")</f>
        <v/>
      </c>
      <c r="R980" s="1">
        <f>IF(Data!R980&gt;0,Data!R980,"")</f>
        <v/>
      </c>
      <c r="S980" s="1">
        <f>IF(Data!S980&gt;0,Data!S980,"")</f>
        <v/>
      </c>
      <c r="V980" s="3">
        <f>IF(COUNT(D980,J980,K980,L980,M980,O980)&gt;0,AVERAGE(D980,J980,K980,L980,M980,O980),"")</f>
        <v/>
      </c>
      <c r="W980" s="3">
        <f>IF(COUNT(C980,F980,G980,N980,Q980)&gt;0,AVERAGE(C980,F980,G980,N980,Q980),"")</f>
        <v/>
      </c>
      <c r="X980" s="3">
        <f>IF(COUNT(B980,E980,H980,I980,P980,R980,S980)&gt;0,AVERAGE(B980,E980,H980,I980,P980,R980,S980),"")</f>
        <v/>
      </c>
      <c r="Y980" s="3" t="n"/>
      <c r="AJ980">
        <f>IFERROR(AVERAGEIF($A$4:$A$1004,AI980,$V$4:$V$1004),"")</f>
        <v/>
      </c>
      <c r="AK980">
        <f>IFERROR(AVERAGEIF($A$4:$A$1004,AI980,$W$4:$W$1004),"")</f>
        <v/>
      </c>
      <c r="AL980">
        <f>IFERROR(AVERAGEIF($A$4:$A$1004,AI980,$X$4:$X$1004),"")</f>
        <v/>
      </c>
    </row>
    <row r="981">
      <c r="A981" s="1">
        <f>IF(Data!A981&gt;0,Data!A981,"")</f>
        <v/>
      </c>
      <c r="B981" s="1">
        <f>IF(Data!B981&gt;0,Data!B981,"")</f>
        <v/>
      </c>
      <c r="C981" s="1">
        <f>IF(Data!C981&gt;0,Data!C981,"")</f>
        <v/>
      </c>
      <c r="D981" s="1">
        <f>IF(Data!D981&gt;0,Data!D981,"")</f>
        <v/>
      </c>
      <c r="E981" s="1">
        <f>IF(Data!E981&gt;0,Data!E981,"")</f>
        <v/>
      </c>
      <c r="F981" s="1">
        <f>IF(Data!F981&gt;0,Data!F981,"")</f>
        <v/>
      </c>
      <c r="G981" s="1">
        <f>IF(Data!G981&gt;0,Data!G981,"")</f>
        <v/>
      </c>
      <c r="H981" s="1">
        <f>IF(Data!H981&gt;0,Data!H981,"")</f>
        <v/>
      </c>
      <c r="I981" s="1">
        <f>IF(Data!I981&gt;0,Data!I981,"")</f>
        <v/>
      </c>
      <c r="J981" s="1">
        <f>IF(Data!J981&gt;0,Data!J981,"")</f>
        <v/>
      </c>
      <c r="K981" s="1">
        <f>IF(Data!K981&gt;0,Data!K981,"")</f>
        <v/>
      </c>
      <c r="L981" s="1">
        <f>IF(Data!L981&gt;0,Data!L981,"")</f>
        <v/>
      </c>
      <c r="M981" s="1">
        <f>IF(Data!M981&gt;0,Data!M981,"")</f>
        <v/>
      </c>
      <c r="N981" s="1">
        <f>IF(Data!N981&gt;0,Data!N981,"")</f>
        <v/>
      </c>
      <c r="O981" s="1">
        <f>IF(Data!O981&gt;0,Data!O981,"")</f>
        <v/>
      </c>
      <c r="P981" s="1">
        <f>IF(Data!P981&gt;0,Data!P981,"")</f>
        <v/>
      </c>
      <c r="Q981" s="1">
        <f>IF(Data!Q981&gt;0,Data!Q981,"")</f>
        <v/>
      </c>
      <c r="R981" s="1">
        <f>IF(Data!R981&gt;0,Data!R981,"")</f>
        <v/>
      </c>
      <c r="S981" s="1">
        <f>IF(Data!S981&gt;0,Data!S981,"")</f>
        <v/>
      </c>
      <c r="V981" s="3">
        <f>IF(COUNT(D981,J981,K981,L981,M981,O981)&gt;0,AVERAGE(D981,J981,K981,L981,M981,O981),"")</f>
        <v/>
      </c>
      <c r="W981" s="3">
        <f>IF(COUNT(C981,F981,G981,N981,Q981)&gt;0,AVERAGE(C981,F981,G981,N981,Q981),"")</f>
        <v/>
      </c>
      <c r="X981" s="3">
        <f>IF(COUNT(B981,E981,H981,I981,P981,R981,S981)&gt;0,AVERAGE(B981,E981,H981,I981,P981,R981,S981),"")</f>
        <v/>
      </c>
      <c r="Y981" s="3" t="n"/>
      <c r="AJ981">
        <f>IFERROR(AVERAGEIF($A$4:$A$1004,AI981,$V$4:$V$1004),"")</f>
        <v/>
      </c>
      <c r="AK981">
        <f>IFERROR(AVERAGEIF($A$4:$A$1004,AI981,$W$4:$W$1004),"")</f>
        <v/>
      </c>
      <c r="AL981">
        <f>IFERROR(AVERAGEIF($A$4:$A$1004,AI981,$X$4:$X$1004),"")</f>
        <v/>
      </c>
    </row>
    <row r="982">
      <c r="A982" s="1">
        <f>IF(Data!A982&gt;0,Data!A982,"")</f>
        <v/>
      </c>
      <c r="B982" s="1">
        <f>IF(Data!B982&gt;0,Data!B982,"")</f>
        <v/>
      </c>
      <c r="C982" s="1">
        <f>IF(Data!C982&gt;0,Data!C982,"")</f>
        <v/>
      </c>
      <c r="D982" s="1">
        <f>IF(Data!D982&gt;0,Data!D982,"")</f>
        <v/>
      </c>
      <c r="E982" s="1">
        <f>IF(Data!E982&gt;0,Data!E982,"")</f>
        <v/>
      </c>
      <c r="F982" s="1">
        <f>IF(Data!F982&gt;0,Data!F982,"")</f>
        <v/>
      </c>
      <c r="G982" s="1">
        <f>IF(Data!G982&gt;0,Data!G982,"")</f>
        <v/>
      </c>
      <c r="H982" s="1">
        <f>IF(Data!H982&gt;0,Data!H982,"")</f>
        <v/>
      </c>
      <c r="I982" s="1">
        <f>IF(Data!I982&gt;0,Data!I982,"")</f>
        <v/>
      </c>
      <c r="J982" s="1">
        <f>IF(Data!J982&gt;0,Data!J982,"")</f>
        <v/>
      </c>
      <c r="K982" s="1">
        <f>IF(Data!K982&gt;0,Data!K982,"")</f>
        <v/>
      </c>
      <c r="L982" s="1">
        <f>IF(Data!L982&gt;0,Data!L982,"")</f>
        <v/>
      </c>
      <c r="M982" s="1">
        <f>IF(Data!M982&gt;0,Data!M982,"")</f>
        <v/>
      </c>
      <c r="N982" s="1">
        <f>IF(Data!N982&gt;0,Data!N982,"")</f>
        <v/>
      </c>
      <c r="O982" s="1">
        <f>IF(Data!O982&gt;0,Data!O982,"")</f>
        <v/>
      </c>
      <c r="P982" s="1">
        <f>IF(Data!P982&gt;0,Data!P982,"")</f>
        <v/>
      </c>
      <c r="Q982" s="1">
        <f>IF(Data!Q982&gt;0,Data!Q982,"")</f>
        <v/>
      </c>
      <c r="R982" s="1">
        <f>IF(Data!R982&gt;0,Data!R982,"")</f>
        <v/>
      </c>
      <c r="S982" s="1">
        <f>IF(Data!S982&gt;0,Data!S982,"")</f>
        <v/>
      </c>
      <c r="V982" s="3">
        <f>IF(COUNT(D982,J982,K982,L982,M982,O982)&gt;0,AVERAGE(D982,J982,K982,L982,M982,O982),"")</f>
        <v/>
      </c>
      <c r="W982" s="3">
        <f>IF(COUNT(C982,F982,G982,N982,Q982)&gt;0,AVERAGE(C982,F982,G982,N982,Q982),"")</f>
        <v/>
      </c>
      <c r="X982" s="3">
        <f>IF(COUNT(B982,E982,H982,I982,P982,R982,S982)&gt;0,AVERAGE(B982,E982,H982,I982,P982,R982,S982),"")</f>
        <v/>
      </c>
      <c r="Y982" s="3" t="n"/>
      <c r="AJ982">
        <f>IFERROR(AVERAGEIF($A$4:$A$1004,AI982,$V$4:$V$1004),"")</f>
        <v/>
      </c>
      <c r="AK982">
        <f>IFERROR(AVERAGEIF($A$4:$A$1004,AI982,$W$4:$W$1004),"")</f>
        <v/>
      </c>
      <c r="AL982">
        <f>IFERROR(AVERAGEIF($A$4:$A$1004,AI982,$X$4:$X$1004),"")</f>
        <v/>
      </c>
    </row>
    <row r="983">
      <c r="A983" s="1">
        <f>IF(Data!A983&gt;0,Data!A983,"")</f>
        <v/>
      </c>
      <c r="B983" s="1">
        <f>IF(Data!B983&gt;0,Data!B983,"")</f>
        <v/>
      </c>
      <c r="C983" s="1">
        <f>IF(Data!C983&gt;0,Data!C983,"")</f>
        <v/>
      </c>
      <c r="D983" s="1">
        <f>IF(Data!D983&gt;0,Data!D983,"")</f>
        <v/>
      </c>
      <c r="E983" s="1">
        <f>IF(Data!E983&gt;0,Data!E983,"")</f>
        <v/>
      </c>
      <c r="F983" s="1">
        <f>IF(Data!F983&gt;0,Data!F983,"")</f>
        <v/>
      </c>
      <c r="G983" s="1">
        <f>IF(Data!G983&gt;0,Data!G983,"")</f>
        <v/>
      </c>
      <c r="H983" s="1">
        <f>IF(Data!H983&gt;0,Data!H983,"")</f>
        <v/>
      </c>
      <c r="I983" s="1">
        <f>IF(Data!I983&gt;0,Data!I983,"")</f>
        <v/>
      </c>
      <c r="J983" s="1">
        <f>IF(Data!J983&gt;0,Data!J983,"")</f>
        <v/>
      </c>
      <c r="K983" s="1">
        <f>IF(Data!K983&gt;0,Data!K983,"")</f>
        <v/>
      </c>
      <c r="L983" s="1">
        <f>IF(Data!L983&gt;0,Data!L983,"")</f>
        <v/>
      </c>
      <c r="M983" s="1">
        <f>IF(Data!M983&gt;0,Data!M983,"")</f>
        <v/>
      </c>
      <c r="N983" s="1">
        <f>IF(Data!N983&gt;0,Data!N983,"")</f>
        <v/>
      </c>
      <c r="O983" s="1">
        <f>IF(Data!O983&gt;0,Data!O983,"")</f>
        <v/>
      </c>
      <c r="P983" s="1">
        <f>IF(Data!P983&gt;0,Data!P983,"")</f>
        <v/>
      </c>
      <c r="Q983" s="1">
        <f>IF(Data!Q983&gt;0,Data!Q983,"")</f>
        <v/>
      </c>
      <c r="R983" s="1">
        <f>IF(Data!R983&gt;0,Data!R983,"")</f>
        <v/>
      </c>
      <c r="S983" s="1">
        <f>IF(Data!S983&gt;0,Data!S983,"")</f>
        <v/>
      </c>
      <c r="V983" s="3">
        <f>IF(COUNT(D983,J983,K983,L983,M983,O983)&gt;0,AVERAGE(D983,J983,K983,L983,M983,O983),"")</f>
        <v/>
      </c>
      <c r="W983" s="3">
        <f>IF(COUNT(C983,F983,G983,N983,Q983)&gt;0,AVERAGE(C983,F983,G983,N983,Q983),"")</f>
        <v/>
      </c>
      <c r="X983" s="3">
        <f>IF(COUNT(B983,E983,H983,I983,P983,R983,S983)&gt;0,AVERAGE(B983,E983,H983,I983,P983,R983,S983),"")</f>
        <v/>
      </c>
      <c r="Y983" s="3" t="n"/>
      <c r="AJ983">
        <f>IFERROR(AVERAGEIF($A$4:$A$1004,AI983,$V$4:$V$1004),"")</f>
        <v/>
      </c>
      <c r="AK983">
        <f>IFERROR(AVERAGEIF($A$4:$A$1004,AI983,$W$4:$W$1004),"")</f>
        <v/>
      </c>
      <c r="AL983">
        <f>IFERROR(AVERAGEIF($A$4:$A$1004,AI983,$X$4:$X$1004),"")</f>
        <v/>
      </c>
    </row>
    <row r="984">
      <c r="A984" s="1">
        <f>IF(Data!A984&gt;0,Data!A984,"")</f>
        <v/>
      </c>
      <c r="B984" s="1">
        <f>IF(Data!B984&gt;0,Data!B984,"")</f>
        <v/>
      </c>
      <c r="C984" s="1">
        <f>IF(Data!C984&gt;0,Data!C984,"")</f>
        <v/>
      </c>
      <c r="D984" s="1">
        <f>IF(Data!D984&gt;0,Data!D984,"")</f>
        <v/>
      </c>
      <c r="E984" s="1">
        <f>IF(Data!E984&gt;0,Data!E984,"")</f>
        <v/>
      </c>
      <c r="F984" s="1">
        <f>IF(Data!F984&gt;0,Data!F984,"")</f>
        <v/>
      </c>
      <c r="G984" s="1">
        <f>IF(Data!G984&gt;0,Data!G984,"")</f>
        <v/>
      </c>
      <c r="H984" s="1">
        <f>IF(Data!H984&gt;0,Data!H984,"")</f>
        <v/>
      </c>
      <c r="I984" s="1">
        <f>IF(Data!I984&gt;0,Data!I984,"")</f>
        <v/>
      </c>
      <c r="J984" s="1">
        <f>IF(Data!J984&gt;0,Data!J984,"")</f>
        <v/>
      </c>
      <c r="K984" s="1">
        <f>IF(Data!K984&gt;0,Data!K984,"")</f>
        <v/>
      </c>
      <c r="L984" s="1">
        <f>IF(Data!L984&gt;0,Data!L984,"")</f>
        <v/>
      </c>
      <c r="M984" s="1">
        <f>IF(Data!M984&gt;0,Data!M984,"")</f>
        <v/>
      </c>
      <c r="N984" s="1">
        <f>IF(Data!N984&gt;0,Data!N984,"")</f>
        <v/>
      </c>
      <c r="O984" s="1">
        <f>IF(Data!O984&gt;0,Data!O984,"")</f>
        <v/>
      </c>
      <c r="P984" s="1">
        <f>IF(Data!P984&gt;0,Data!P984,"")</f>
        <v/>
      </c>
      <c r="Q984" s="1">
        <f>IF(Data!Q984&gt;0,Data!Q984,"")</f>
        <v/>
      </c>
      <c r="R984" s="1">
        <f>IF(Data!R984&gt;0,Data!R984,"")</f>
        <v/>
      </c>
      <c r="S984" s="1">
        <f>IF(Data!S984&gt;0,Data!S984,"")</f>
        <v/>
      </c>
      <c r="V984" s="3">
        <f>IF(COUNT(D984,J984,K984,L984,M984,O984)&gt;0,AVERAGE(D984,J984,K984,L984,M984,O984),"")</f>
        <v/>
      </c>
      <c r="W984" s="3">
        <f>IF(COUNT(C984,F984,G984,N984,Q984)&gt;0,AVERAGE(C984,F984,G984,N984,Q984),"")</f>
        <v/>
      </c>
      <c r="X984" s="3">
        <f>IF(COUNT(B984,E984,H984,I984,P984,R984,S984)&gt;0,AVERAGE(B984,E984,H984,I984,P984,R984,S984),"")</f>
        <v/>
      </c>
      <c r="Y984" s="3" t="n"/>
      <c r="AJ984">
        <f>IFERROR(AVERAGEIF($A$4:$A$1004,AI984,$V$4:$V$1004),"")</f>
        <v/>
      </c>
      <c r="AK984">
        <f>IFERROR(AVERAGEIF($A$4:$A$1004,AI984,$W$4:$W$1004),"")</f>
        <v/>
      </c>
      <c r="AL984">
        <f>IFERROR(AVERAGEIF($A$4:$A$1004,AI984,$X$4:$X$1004),"")</f>
        <v/>
      </c>
    </row>
    <row r="985">
      <c r="A985" s="1">
        <f>IF(Data!A985&gt;0,Data!A985,"")</f>
        <v/>
      </c>
      <c r="B985" s="1">
        <f>IF(Data!B985&gt;0,Data!B985,"")</f>
        <v/>
      </c>
      <c r="C985" s="1">
        <f>IF(Data!C985&gt;0,Data!C985,"")</f>
        <v/>
      </c>
      <c r="D985" s="1">
        <f>IF(Data!D985&gt;0,Data!D985,"")</f>
        <v/>
      </c>
      <c r="E985" s="1">
        <f>IF(Data!E985&gt;0,Data!E985,"")</f>
        <v/>
      </c>
      <c r="F985" s="1">
        <f>IF(Data!F985&gt;0,Data!F985,"")</f>
        <v/>
      </c>
      <c r="G985" s="1">
        <f>IF(Data!G985&gt;0,Data!G985,"")</f>
        <v/>
      </c>
      <c r="H985" s="1">
        <f>IF(Data!H985&gt;0,Data!H985,"")</f>
        <v/>
      </c>
      <c r="I985" s="1">
        <f>IF(Data!I985&gt;0,Data!I985,"")</f>
        <v/>
      </c>
      <c r="J985" s="1">
        <f>IF(Data!J985&gt;0,Data!J985,"")</f>
        <v/>
      </c>
      <c r="K985" s="1">
        <f>IF(Data!K985&gt;0,Data!K985,"")</f>
        <v/>
      </c>
      <c r="L985" s="1">
        <f>IF(Data!L985&gt;0,Data!L985,"")</f>
        <v/>
      </c>
      <c r="M985" s="1">
        <f>IF(Data!M985&gt;0,Data!M985,"")</f>
        <v/>
      </c>
      <c r="N985" s="1">
        <f>IF(Data!N985&gt;0,Data!N985,"")</f>
        <v/>
      </c>
      <c r="O985" s="1">
        <f>IF(Data!O985&gt;0,Data!O985,"")</f>
        <v/>
      </c>
      <c r="P985" s="1">
        <f>IF(Data!P985&gt;0,Data!P985,"")</f>
        <v/>
      </c>
      <c r="Q985" s="1">
        <f>IF(Data!Q985&gt;0,Data!Q985,"")</f>
        <v/>
      </c>
      <c r="R985" s="1">
        <f>IF(Data!R985&gt;0,Data!R985,"")</f>
        <v/>
      </c>
      <c r="S985" s="1">
        <f>IF(Data!S985&gt;0,Data!S985,"")</f>
        <v/>
      </c>
      <c r="V985" s="3">
        <f>IF(COUNT(D985,J985,K985,L985,M985,O985)&gt;0,AVERAGE(D985,J985,K985,L985,M985,O985),"")</f>
        <v/>
      </c>
      <c r="W985" s="3">
        <f>IF(COUNT(C985,F985,G985,N985,Q985)&gt;0,AVERAGE(C985,F985,G985,N985,Q985),"")</f>
        <v/>
      </c>
      <c r="X985" s="3">
        <f>IF(COUNT(B985,E985,H985,I985,P985,R985,S985)&gt;0,AVERAGE(B985,E985,H985,I985,P985,R985,S985),"")</f>
        <v/>
      </c>
      <c r="Y985" s="3" t="n"/>
      <c r="AJ985">
        <f>IFERROR(AVERAGEIF($A$4:$A$1004,AI985,$V$4:$V$1004),"")</f>
        <v/>
      </c>
      <c r="AK985">
        <f>IFERROR(AVERAGEIF($A$4:$A$1004,AI985,$W$4:$W$1004),"")</f>
        <v/>
      </c>
      <c r="AL985">
        <f>IFERROR(AVERAGEIF($A$4:$A$1004,AI985,$X$4:$X$1004),"")</f>
        <v/>
      </c>
    </row>
    <row r="986">
      <c r="A986" s="1">
        <f>IF(Data!A986&gt;0,Data!A986,"")</f>
        <v/>
      </c>
      <c r="B986" s="1">
        <f>IF(Data!B986&gt;0,Data!B986,"")</f>
        <v/>
      </c>
      <c r="C986" s="1">
        <f>IF(Data!C986&gt;0,Data!C986,"")</f>
        <v/>
      </c>
      <c r="D986" s="1">
        <f>IF(Data!D986&gt;0,Data!D986,"")</f>
        <v/>
      </c>
      <c r="E986" s="1">
        <f>IF(Data!E986&gt;0,Data!E986,"")</f>
        <v/>
      </c>
      <c r="F986" s="1">
        <f>IF(Data!F986&gt;0,Data!F986,"")</f>
        <v/>
      </c>
      <c r="G986" s="1">
        <f>IF(Data!G986&gt;0,Data!G986,"")</f>
        <v/>
      </c>
      <c r="H986" s="1">
        <f>IF(Data!H986&gt;0,Data!H986,"")</f>
        <v/>
      </c>
      <c r="I986" s="1">
        <f>IF(Data!I986&gt;0,Data!I986,"")</f>
        <v/>
      </c>
      <c r="J986" s="1">
        <f>IF(Data!J986&gt;0,Data!J986,"")</f>
        <v/>
      </c>
      <c r="K986" s="1">
        <f>IF(Data!K986&gt;0,Data!K986,"")</f>
        <v/>
      </c>
      <c r="L986" s="1">
        <f>IF(Data!L986&gt;0,Data!L986,"")</f>
        <v/>
      </c>
      <c r="M986" s="1">
        <f>IF(Data!M986&gt;0,Data!M986,"")</f>
        <v/>
      </c>
      <c r="N986" s="1">
        <f>IF(Data!N986&gt;0,Data!N986,"")</f>
        <v/>
      </c>
      <c r="O986" s="1">
        <f>IF(Data!O986&gt;0,Data!O986,"")</f>
        <v/>
      </c>
      <c r="P986" s="1">
        <f>IF(Data!P986&gt;0,Data!P986,"")</f>
        <v/>
      </c>
      <c r="Q986" s="1">
        <f>IF(Data!Q986&gt;0,Data!Q986,"")</f>
        <v/>
      </c>
      <c r="R986" s="1">
        <f>IF(Data!R986&gt;0,Data!R986,"")</f>
        <v/>
      </c>
      <c r="S986" s="1">
        <f>IF(Data!S986&gt;0,Data!S986,"")</f>
        <v/>
      </c>
      <c r="V986" s="3">
        <f>IF(COUNT(D986,J986,K986,L986,M986,O986)&gt;0,AVERAGE(D986,J986,K986,L986,M986,O986),"")</f>
        <v/>
      </c>
      <c r="W986" s="3">
        <f>IF(COUNT(C986,F986,G986,N986,Q986)&gt;0,AVERAGE(C986,F986,G986,N986,Q986),"")</f>
        <v/>
      </c>
      <c r="X986" s="3">
        <f>IF(COUNT(B986,E986,H986,I986,P986,R986,S986)&gt;0,AVERAGE(B986,E986,H986,I986,P986,R986,S986),"")</f>
        <v/>
      </c>
      <c r="Y986" s="3" t="n"/>
      <c r="AJ986">
        <f>IFERROR(AVERAGEIF($A$4:$A$1004,AI986,$V$4:$V$1004),"")</f>
        <v/>
      </c>
      <c r="AK986">
        <f>IFERROR(AVERAGEIF($A$4:$A$1004,AI986,$W$4:$W$1004),"")</f>
        <v/>
      </c>
      <c r="AL986">
        <f>IFERROR(AVERAGEIF($A$4:$A$1004,AI986,$X$4:$X$1004),"")</f>
        <v/>
      </c>
    </row>
    <row r="987">
      <c r="A987" s="1">
        <f>IF(Data!A987&gt;0,Data!A987,"")</f>
        <v/>
      </c>
      <c r="B987" s="1">
        <f>IF(Data!B987&gt;0,Data!B987,"")</f>
        <v/>
      </c>
      <c r="C987" s="1">
        <f>IF(Data!C987&gt;0,Data!C987,"")</f>
        <v/>
      </c>
      <c r="D987" s="1">
        <f>IF(Data!D987&gt;0,Data!D987,"")</f>
        <v/>
      </c>
      <c r="E987" s="1">
        <f>IF(Data!E987&gt;0,Data!E987,"")</f>
        <v/>
      </c>
      <c r="F987" s="1">
        <f>IF(Data!F987&gt;0,Data!F987,"")</f>
        <v/>
      </c>
      <c r="G987" s="1">
        <f>IF(Data!G987&gt;0,Data!G987,"")</f>
        <v/>
      </c>
      <c r="H987" s="1">
        <f>IF(Data!H987&gt;0,Data!H987,"")</f>
        <v/>
      </c>
      <c r="I987" s="1">
        <f>IF(Data!I987&gt;0,Data!I987,"")</f>
        <v/>
      </c>
      <c r="J987" s="1">
        <f>IF(Data!J987&gt;0,Data!J987,"")</f>
        <v/>
      </c>
      <c r="K987" s="1">
        <f>IF(Data!K987&gt;0,Data!K987,"")</f>
        <v/>
      </c>
      <c r="L987" s="1">
        <f>IF(Data!L987&gt;0,Data!L987,"")</f>
        <v/>
      </c>
      <c r="M987" s="1">
        <f>IF(Data!M987&gt;0,Data!M987,"")</f>
        <v/>
      </c>
      <c r="N987" s="1">
        <f>IF(Data!N987&gt;0,Data!N987,"")</f>
        <v/>
      </c>
      <c r="O987" s="1">
        <f>IF(Data!O987&gt;0,Data!O987,"")</f>
        <v/>
      </c>
      <c r="P987" s="1">
        <f>IF(Data!P987&gt;0,Data!P987,"")</f>
        <v/>
      </c>
      <c r="Q987" s="1">
        <f>IF(Data!Q987&gt;0,Data!Q987,"")</f>
        <v/>
      </c>
      <c r="R987" s="1">
        <f>IF(Data!R987&gt;0,Data!R987,"")</f>
        <v/>
      </c>
      <c r="S987" s="1">
        <f>IF(Data!S987&gt;0,Data!S987,"")</f>
        <v/>
      </c>
      <c r="V987" s="3">
        <f>IF(COUNT(D987,J987,K987,L987,M987,O987)&gt;0,AVERAGE(D987,J987,K987,L987,M987,O987),"")</f>
        <v/>
      </c>
      <c r="W987" s="3">
        <f>IF(COUNT(C987,F987,G987,N987,Q987)&gt;0,AVERAGE(C987,F987,G987,N987,Q987),"")</f>
        <v/>
      </c>
      <c r="X987" s="3">
        <f>IF(COUNT(B987,E987,H987,I987,P987,R987,S987)&gt;0,AVERAGE(B987,E987,H987,I987,P987,R987,S987),"")</f>
        <v/>
      </c>
      <c r="Y987" s="3" t="n"/>
      <c r="AJ987">
        <f>IFERROR(AVERAGEIF($A$4:$A$1004,AI987,$V$4:$V$1004),"")</f>
        <v/>
      </c>
      <c r="AK987">
        <f>IFERROR(AVERAGEIF($A$4:$A$1004,AI987,$W$4:$W$1004),"")</f>
        <v/>
      </c>
      <c r="AL987">
        <f>IFERROR(AVERAGEIF($A$4:$A$1004,AI987,$X$4:$X$1004),"")</f>
        <v/>
      </c>
    </row>
    <row r="988">
      <c r="A988" s="1">
        <f>IF(Data!A988&gt;0,Data!A988,"")</f>
        <v/>
      </c>
      <c r="B988" s="1">
        <f>IF(Data!B988&gt;0,Data!B988,"")</f>
        <v/>
      </c>
      <c r="C988" s="1">
        <f>IF(Data!C988&gt;0,Data!C988,"")</f>
        <v/>
      </c>
      <c r="D988" s="1">
        <f>IF(Data!D988&gt;0,Data!D988,"")</f>
        <v/>
      </c>
      <c r="E988" s="1">
        <f>IF(Data!E988&gt;0,Data!E988,"")</f>
        <v/>
      </c>
      <c r="F988" s="1">
        <f>IF(Data!F988&gt;0,Data!F988,"")</f>
        <v/>
      </c>
      <c r="G988" s="1">
        <f>IF(Data!G988&gt;0,Data!G988,"")</f>
        <v/>
      </c>
      <c r="H988" s="1">
        <f>IF(Data!H988&gt;0,Data!H988,"")</f>
        <v/>
      </c>
      <c r="I988" s="1">
        <f>IF(Data!I988&gt;0,Data!I988,"")</f>
        <v/>
      </c>
      <c r="J988" s="1">
        <f>IF(Data!J988&gt;0,Data!J988,"")</f>
        <v/>
      </c>
      <c r="K988" s="1">
        <f>IF(Data!K988&gt;0,Data!K988,"")</f>
        <v/>
      </c>
      <c r="L988" s="1">
        <f>IF(Data!L988&gt;0,Data!L988,"")</f>
        <v/>
      </c>
      <c r="M988" s="1">
        <f>IF(Data!M988&gt;0,Data!M988,"")</f>
        <v/>
      </c>
      <c r="N988" s="1">
        <f>IF(Data!N988&gt;0,Data!N988,"")</f>
        <v/>
      </c>
      <c r="O988" s="1">
        <f>IF(Data!O988&gt;0,Data!O988,"")</f>
        <v/>
      </c>
      <c r="P988" s="1">
        <f>IF(Data!P988&gt;0,Data!P988,"")</f>
        <v/>
      </c>
      <c r="Q988" s="1">
        <f>IF(Data!Q988&gt;0,Data!Q988,"")</f>
        <v/>
      </c>
      <c r="R988" s="1">
        <f>IF(Data!R988&gt;0,Data!R988,"")</f>
        <v/>
      </c>
      <c r="S988" s="1">
        <f>IF(Data!S988&gt;0,Data!S988,"")</f>
        <v/>
      </c>
      <c r="V988" s="3">
        <f>IF(COUNT(D988,J988,K988,L988,M988,O988)&gt;0,AVERAGE(D988,J988,K988,L988,M988,O988),"")</f>
        <v/>
      </c>
      <c r="W988" s="3">
        <f>IF(COUNT(C988,F988,G988,N988,Q988)&gt;0,AVERAGE(C988,F988,G988,N988,Q988),"")</f>
        <v/>
      </c>
      <c r="X988" s="3">
        <f>IF(COUNT(B988,E988,H988,I988,P988,R988,S988)&gt;0,AVERAGE(B988,E988,H988,I988,P988,R988,S988),"")</f>
        <v/>
      </c>
      <c r="Y988" s="3" t="n"/>
      <c r="AJ988">
        <f>IFERROR(AVERAGEIF($A$4:$A$1004,AI988,$V$4:$V$1004),"")</f>
        <v/>
      </c>
      <c r="AK988">
        <f>IFERROR(AVERAGEIF($A$4:$A$1004,AI988,$W$4:$W$1004),"")</f>
        <v/>
      </c>
      <c r="AL988">
        <f>IFERROR(AVERAGEIF($A$4:$A$1004,AI988,$X$4:$X$1004),"")</f>
        <v/>
      </c>
    </row>
    <row r="989">
      <c r="A989" s="1">
        <f>IF(Data!A989&gt;0,Data!A989,"")</f>
        <v/>
      </c>
      <c r="B989" s="1">
        <f>IF(Data!B989&gt;0,Data!B989,"")</f>
        <v/>
      </c>
      <c r="C989" s="1">
        <f>IF(Data!C989&gt;0,Data!C989,"")</f>
        <v/>
      </c>
      <c r="D989" s="1">
        <f>IF(Data!D989&gt;0,Data!D989,"")</f>
        <v/>
      </c>
      <c r="E989" s="1">
        <f>IF(Data!E989&gt;0,Data!E989,"")</f>
        <v/>
      </c>
      <c r="F989" s="1">
        <f>IF(Data!F989&gt;0,Data!F989,"")</f>
        <v/>
      </c>
      <c r="G989" s="1">
        <f>IF(Data!G989&gt;0,Data!G989,"")</f>
        <v/>
      </c>
      <c r="H989" s="1">
        <f>IF(Data!H989&gt;0,Data!H989,"")</f>
        <v/>
      </c>
      <c r="I989" s="1">
        <f>IF(Data!I989&gt;0,Data!I989,"")</f>
        <v/>
      </c>
      <c r="J989" s="1">
        <f>IF(Data!J989&gt;0,Data!J989,"")</f>
        <v/>
      </c>
      <c r="K989" s="1">
        <f>IF(Data!K989&gt;0,Data!K989,"")</f>
        <v/>
      </c>
      <c r="L989" s="1">
        <f>IF(Data!L989&gt;0,Data!L989,"")</f>
        <v/>
      </c>
      <c r="M989" s="1">
        <f>IF(Data!M989&gt;0,Data!M989,"")</f>
        <v/>
      </c>
      <c r="N989" s="1">
        <f>IF(Data!N989&gt;0,Data!N989,"")</f>
        <v/>
      </c>
      <c r="O989" s="1">
        <f>IF(Data!O989&gt;0,Data!O989,"")</f>
        <v/>
      </c>
      <c r="P989" s="1">
        <f>IF(Data!P989&gt;0,Data!P989,"")</f>
        <v/>
      </c>
      <c r="Q989" s="1">
        <f>IF(Data!Q989&gt;0,Data!Q989,"")</f>
        <v/>
      </c>
      <c r="R989" s="1">
        <f>IF(Data!R989&gt;0,Data!R989,"")</f>
        <v/>
      </c>
      <c r="S989" s="1">
        <f>IF(Data!S989&gt;0,Data!S989,"")</f>
        <v/>
      </c>
      <c r="V989" s="3">
        <f>IF(COUNT(D989,J989,K989,L989,M989,O989)&gt;0,AVERAGE(D989,J989,K989,L989,M989,O989),"")</f>
        <v/>
      </c>
      <c r="W989" s="3">
        <f>IF(COUNT(C989,F989,G989,N989,Q989)&gt;0,AVERAGE(C989,F989,G989,N989,Q989),"")</f>
        <v/>
      </c>
      <c r="X989" s="3">
        <f>IF(COUNT(B989,E989,H989,I989,P989,R989,S989)&gt;0,AVERAGE(B989,E989,H989,I989,P989,R989,S989),"")</f>
        <v/>
      </c>
      <c r="Y989" s="3" t="n"/>
      <c r="AJ989">
        <f>IFERROR(AVERAGEIF($A$4:$A$1004,AI989,$V$4:$V$1004),"")</f>
        <v/>
      </c>
      <c r="AK989">
        <f>IFERROR(AVERAGEIF($A$4:$A$1004,AI989,$W$4:$W$1004),"")</f>
        <v/>
      </c>
      <c r="AL989">
        <f>IFERROR(AVERAGEIF($A$4:$A$1004,AI989,$X$4:$X$1004),"")</f>
        <v/>
      </c>
    </row>
    <row r="990">
      <c r="A990" s="1">
        <f>IF(Data!A990&gt;0,Data!A990,"")</f>
        <v/>
      </c>
      <c r="B990" s="1">
        <f>IF(Data!B990&gt;0,Data!B990,"")</f>
        <v/>
      </c>
      <c r="C990" s="1">
        <f>IF(Data!C990&gt;0,Data!C990,"")</f>
        <v/>
      </c>
      <c r="D990" s="1">
        <f>IF(Data!D990&gt;0,Data!D990,"")</f>
        <v/>
      </c>
      <c r="E990" s="1">
        <f>IF(Data!E990&gt;0,Data!E990,"")</f>
        <v/>
      </c>
      <c r="F990" s="1">
        <f>IF(Data!F990&gt;0,Data!F990,"")</f>
        <v/>
      </c>
      <c r="G990" s="1">
        <f>IF(Data!G990&gt;0,Data!G990,"")</f>
        <v/>
      </c>
      <c r="H990" s="1">
        <f>IF(Data!H990&gt;0,Data!H990,"")</f>
        <v/>
      </c>
      <c r="I990" s="1">
        <f>IF(Data!I990&gt;0,Data!I990,"")</f>
        <v/>
      </c>
      <c r="J990" s="1">
        <f>IF(Data!J990&gt;0,Data!J990,"")</f>
        <v/>
      </c>
      <c r="K990" s="1">
        <f>IF(Data!K990&gt;0,Data!K990,"")</f>
        <v/>
      </c>
      <c r="L990" s="1">
        <f>IF(Data!L990&gt;0,Data!L990,"")</f>
        <v/>
      </c>
      <c r="M990" s="1">
        <f>IF(Data!M990&gt;0,Data!M990,"")</f>
        <v/>
      </c>
      <c r="N990" s="1">
        <f>IF(Data!N990&gt;0,Data!N990,"")</f>
        <v/>
      </c>
      <c r="O990" s="1">
        <f>IF(Data!O990&gt;0,Data!O990,"")</f>
        <v/>
      </c>
      <c r="P990" s="1">
        <f>IF(Data!P990&gt;0,Data!P990,"")</f>
        <v/>
      </c>
      <c r="Q990" s="1">
        <f>IF(Data!Q990&gt;0,Data!Q990,"")</f>
        <v/>
      </c>
      <c r="R990" s="1">
        <f>IF(Data!R990&gt;0,Data!R990,"")</f>
        <v/>
      </c>
      <c r="S990" s="1">
        <f>IF(Data!S990&gt;0,Data!S990,"")</f>
        <v/>
      </c>
      <c r="V990" s="3">
        <f>IF(COUNT(D990,J990,K990,L990,M990,O990)&gt;0,AVERAGE(D990,J990,K990,L990,M990,O990),"")</f>
        <v/>
      </c>
      <c r="W990" s="3">
        <f>IF(COUNT(C990,F990,G990,N990,Q990)&gt;0,AVERAGE(C990,F990,G990,N990,Q990),"")</f>
        <v/>
      </c>
      <c r="X990" s="3">
        <f>IF(COUNT(B990,E990,H990,I990,P990,R990,S990)&gt;0,AVERAGE(B990,E990,H990,I990,P990,R990,S990),"")</f>
        <v/>
      </c>
      <c r="Y990" s="3" t="n"/>
      <c r="AJ990">
        <f>IFERROR(AVERAGEIF($A$4:$A$1004,AI990,$V$4:$V$1004),"")</f>
        <v/>
      </c>
      <c r="AK990">
        <f>IFERROR(AVERAGEIF($A$4:$A$1004,AI990,$W$4:$W$1004),"")</f>
        <v/>
      </c>
      <c r="AL990">
        <f>IFERROR(AVERAGEIF($A$4:$A$1004,AI990,$X$4:$X$1004),"")</f>
        <v/>
      </c>
    </row>
    <row r="991">
      <c r="A991" s="1">
        <f>IF(Data!A991&gt;0,Data!A991,"")</f>
        <v/>
      </c>
      <c r="B991" s="1">
        <f>IF(Data!B991&gt;0,Data!B991,"")</f>
        <v/>
      </c>
      <c r="C991" s="1">
        <f>IF(Data!C991&gt;0,Data!C991,"")</f>
        <v/>
      </c>
      <c r="D991" s="1">
        <f>IF(Data!D991&gt;0,Data!D991,"")</f>
        <v/>
      </c>
      <c r="E991" s="1">
        <f>IF(Data!E991&gt;0,Data!E991,"")</f>
        <v/>
      </c>
      <c r="F991" s="1">
        <f>IF(Data!F991&gt;0,Data!F991,"")</f>
        <v/>
      </c>
      <c r="G991" s="1">
        <f>IF(Data!G991&gt;0,Data!G991,"")</f>
        <v/>
      </c>
      <c r="H991" s="1">
        <f>IF(Data!H991&gt;0,Data!H991,"")</f>
        <v/>
      </c>
      <c r="I991" s="1">
        <f>IF(Data!I991&gt;0,Data!I991,"")</f>
        <v/>
      </c>
      <c r="J991" s="1">
        <f>IF(Data!J991&gt;0,Data!J991,"")</f>
        <v/>
      </c>
      <c r="K991" s="1">
        <f>IF(Data!K991&gt;0,Data!K991,"")</f>
        <v/>
      </c>
      <c r="L991" s="1">
        <f>IF(Data!L991&gt;0,Data!L991,"")</f>
        <v/>
      </c>
      <c r="M991" s="1">
        <f>IF(Data!M991&gt;0,Data!M991,"")</f>
        <v/>
      </c>
      <c r="N991" s="1">
        <f>IF(Data!N991&gt;0,Data!N991,"")</f>
        <v/>
      </c>
      <c r="O991" s="1">
        <f>IF(Data!O991&gt;0,Data!O991,"")</f>
        <v/>
      </c>
      <c r="P991" s="1">
        <f>IF(Data!P991&gt;0,Data!P991,"")</f>
        <v/>
      </c>
      <c r="Q991" s="1">
        <f>IF(Data!Q991&gt;0,Data!Q991,"")</f>
        <v/>
      </c>
      <c r="R991" s="1">
        <f>IF(Data!R991&gt;0,Data!R991,"")</f>
        <v/>
      </c>
      <c r="S991" s="1">
        <f>IF(Data!S991&gt;0,Data!S991,"")</f>
        <v/>
      </c>
      <c r="V991" s="3">
        <f>IF(COUNT(D991,J991,K991,L991,M991,O991)&gt;0,AVERAGE(D991,J991,K991,L991,M991,O991),"")</f>
        <v/>
      </c>
      <c r="W991" s="3">
        <f>IF(COUNT(C991,F991,G991,N991,Q991)&gt;0,AVERAGE(C991,F991,G991,N991,Q991),"")</f>
        <v/>
      </c>
      <c r="X991" s="3">
        <f>IF(COUNT(B991,E991,H991,I991,P991,R991,S991)&gt;0,AVERAGE(B991,E991,H991,I991,P991,R991,S991),"")</f>
        <v/>
      </c>
      <c r="Y991" s="3" t="n"/>
      <c r="AJ991">
        <f>IFERROR(AVERAGEIF($A$4:$A$1004,AI991,$V$4:$V$1004),"")</f>
        <v/>
      </c>
      <c r="AK991">
        <f>IFERROR(AVERAGEIF($A$4:$A$1004,AI991,$W$4:$W$1004),"")</f>
        <v/>
      </c>
      <c r="AL991">
        <f>IFERROR(AVERAGEIF($A$4:$A$1004,AI991,$X$4:$X$1004),"")</f>
        <v/>
      </c>
    </row>
    <row r="992">
      <c r="A992" s="1">
        <f>IF(Data!A992&gt;0,Data!A992,"")</f>
        <v/>
      </c>
      <c r="B992" s="1">
        <f>IF(Data!B992&gt;0,Data!B992,"")</f>
        <v/>
      </c>
      <c r="C992" s="1">
        <f>IF(Data!C992&gt;0,Data!C992,"")</f>
        <v/>
      </c>
      <c r="D992" s="1">
        <f>IF(Data!D992&gt;0,Data!D992,"")</f>
        <v/>
      </c>
      <c r="E992" s="1">
        <f>IF(Data!E992&gt;0,Data!E992,"")</f>
        <v/>
      </c>
      <c r="F992" s="1">
        <f>IF(Data!F992&gt;0,Data!F992,"")</f>
        <v/>
      </c>
      <c r="G992" s="1">
        <f>IF(Data!G992&gt;0,Data!G992,"")</f>
        <v/>
      </c>
      <c r="H992" s="1">
        <f>IF(Data!H992&gt;0,Data!H992,"")</f>
        <v/>
      </c>
      <c r="I992" s="1">
        <f>IF(Data!I992&gt;0,Data!I992,"")</f>
        <v/>
      </c>
      <c r="J992" s="1">
        <f>IF(Data!J992&gt;0,Data!J992,"")</f>
        <v/>
      </c>
      <c r="K992" s="1">
        <f>IF(Data!K992&gt;0,Data!K992,"")</f>
        <v/>
      </c>
      <c r="L992" s="1">
        <f>IF(Data!L992&gt;0,Data!L992,"")</f>
        <v/>
      </c>
      <c r="M992" s="1">
        <f>IF(Data!M992&gt;0,Data!M992,"")</f>
        <v/>
      </c>
      <c r="N992" s="1">
        <f>IF(Data!N992&gt;0,Data!N992,"")</f>
        <v/>
      </c>
      <c r="O992" s="1">
        <f>IF(Data!O992&gt;0,Data!O992,"")</f>
        <v/>
      </c>
      <c r="P992" s="1">
        <f>IF(Data!P992&gt;0,Data!P992,"")</f>
        <v/>
      </c>
      <c r="Q992" s="1">
        <f>IF(Data!Q992&gt;0,Data!Q992,"")</f>
        <v/>
      </c>
      <c r="R992" s="1">
        <f>IF(Data!R992&gt;0,Data!R992,"")</f>
        <v/>
      </c>
      <c r="S992" s="1">
        <f>IF(Data!S992&gt;0,Data!S992,"")</f>
        <v/>
      </c>
      <c r="V992" s="3">
        <f>IF(COUNT(D992,J992,K992,L992,M992,O992)&gt;0,AVERAGE(D992,J992,K992,L992,M992,O992),"")</f>
        <v/>
      </c>
      <c r="W992" s="3">
        <f>IF(COUNT(C992,F992,G992,N992,Q992)&gt;0,AVERAGE(C992,F992,G992,N992,Q992),"")</f>
        <v/>
      </c>
      <c r="X992" s="3">
        <f>IF(COUNT(B992,E992,H992,I992,P992,R992,S992)&gt;0,AVERAGE(B992,E992,H992,I992,P992,R992,S992),"")</f>
        <v/>
      </c>
      <c r="Y992" s="3" t="n"/>
      <c r="AJ992">
        <f>IFERROR(AVERAGEIF($A$4:$A$1004,AI992,$V$4:$V$1004),"")</f>
        <v/>
      </c>
      <c r="AK992">
        <f>IFERROR(AVERAGEIF($A$4:$A$1004,AI992,$W$4:$W$1004),"")</f>
        <v/>
      </c>
      <c r="AL992">
        <f>IFERROR(AVERAGEIF($A$4:$A$1004,AI992,$X$4:$X$1004),"")</f>
        <v/>
      </c>
    </row>
    <row r="993">
      <c r="A993" s="1">
        <f>IF(Data!A993&gt;0,Data!A993,"")</f>
        <v/>
      </c>
      <c r="B993" s="1">
        <f>IF(Data!B993&gt;0,Data!B993,"")</f>
        <v/>
      </c>
      <c r="C993" s="1">
        <f>IF(Data!C993&gt;0,Data!C993,"")</f>
        <v/>
      </c>
      <c r="D993" s="1">
        <f>IF(Data!D993&gt;0,Data!D993,"")</f>
        <v/>
      </c>
      <c r="E993" s="1">
        <f>IF(Data!E993&gt;0,Data!E993,"")</f>
        <v/>
      </c>
      <c r="F993" s="1">
        <f>IF(Data!F993&gt;0,Data!F993,"")</f>
        <v/>
      </c>
      <c r="G993" s="1">
        <f>IF(Data!G993&gt;0,Data!G993,"")</f>
        <v/>
      </c>
      <c r="H993" s="1">
        <f>IF(Data!H993&gt;0,Data!H993,"")</f>
        <v/>
      </c>
      <c r="I993" s="1">
        <f>IF(Data!I993&gt;0,Data!I993,"")</f>
        <v/>
      </c>
      <c r="J993" s="1">
        <f>IF(Data!J993&gt;0,Data!J993,"")</f>
        <v/>
      </c>
      <c r="K993" s="1">
        <f>IF(Data!K993&gt;0,Data!K993,"")</f>
        <v/>
      </c>
      <c r="L993" s="1">
        <f>IF(Data!L993&gt;0,Data!L993,"")</f>
        <v/>
      </c>
      <c r="M993" s="1">
        <f>IF(Data!M993&gt;0,Data!M993,"")</f>
        <v/>
      </c>
      <c r="N993" s="1">
        <f>IF(Data!N993&gt;0,Data!N993,"")</f>
        <v/>
      </c>
      <c r="O993" s="1">
        <f>IF(Data!O993&gt;0,Data!O993,"")</f>
        <v/>
      </c>
      <c r="P993" s="1">
        <f>IF(Data!P993&gt;0,Data!P993,"")</f>
        <v/>
      </c>
      <c r="Q993" s="1">
        <f>IF(Data!Q993&gt;0,Data!Q993,"")</f>
        <v/>
      </c>
      <c r="R993" s="1">
        <f>IF(Data!R993&gt;0,Data!R993,"")</f>
        <v/>
      </c>
      <c r="S993" s="1">
        <f>IF(Data!S993&gt;0,Data!S993,"")</f>
        <v/>
      </c>
      <c r="V993" s="3">
        <f>IF(COUNT(D993,J993,K993,L993,M993,O993)&gt;0,AVERAGE(D993,J993,K993,L993,M993,O993),"")</f>
        <v/>
      </c>
      <c r="W993" s="3">
        <f>IF(COUNT(C993,F993,G993,N993,Q993)&gt;0,AVERAGE(C993,F993,G993,N993,Q993),"")</f>
        <v/>
      </c>
      <c r="X993" s="3">
        <f>IF(COUNT(B993,E993,H993,I993,P993,R993,S993)&gt;0,AVERAGE(B993,E993,H993,I993,P993,R993,S993),"")</f>
        <v/>
      </c>
      <c r="Y993" s="3" t="n"/>
      <c r="AJ993">
        <f>IFERROR(AVERAGEIF($A$4:$A$1004,AI993,$V$4:$V$1004),"")</f>
        <v/>
      </c>
      <c r="AK993">
        <f>IFERROR(AVERAGEIF($A$4:$A$1004,AI993,$W$4:$W$1004),"")</f>
        <v/>
      </c>
      <c r="AL993">
        <f>IFERROR(AVERAGEIF($A$4:$A$1004,AI993,$X$4:$X$1004),"")</f>
        <v/>
      </c>
    </row>
    <row r="994">
      <c r="A994" s="1">
        <f>IF(Data!A994&gt;0,Data!A994,"")</f>
        <v/>
      </c>
      <c r="B994" s="1">
        <f>IF(Data!B994&gt;0,Data!B994,"")</f>
        <v/>
      </c>
      <c r="C994" s="1">
        <f>IF(Data!C994&gt;0,Data!C994,"")</f>
        <v/>
      </c>
      <c r="D994" s="1">
        <f>IF(Data!D994&gt;0,Data!D994,"")</f>
        <v/>
      </c>
      <c r="E994" s="1">
        <f>IF(Data!E994&gt;0,Data!E994,"")</f>
        <v/>
      </c>
      <c r="F994" s="1">
        <f>IF(Data!F994&gt;0,Data!F994,"")</f>
        <v/>
      </c>
      <c r="G994" s="1">
        <f>IF(Data!G994&gt;0,Data!G994,"")</f>
        <v/>
      </c>
      <c r="H994" s="1">
        <f>IF(Data!H994&gt;0,Data!H994,"")</f>
        <v/>
      </c>
      <c r="I994" s="1">
        <f>IF(Data!I994&gt;0,Data!I994,"")</f>
        <v/>
      </c>
      <c r="J994" s="1">
        <f>IF(Data!J994&gt;0,Data!J994,"")</f>
        <v/>
      </c>
      <c r="K994" s="1">
        <f>IF(Data!K994&gt;0,Data!K994,"")</f>
        <v/>
      </c>
      <c r="L994" s="1">
        <f>IF(Data!L994&gt;0,Data!L994,"")</f>
        <v/>
      </c>
      <c r="M994" s="1">
        <f>IF(Data!M994&gt;0,Data!M994,"")</f>
        <v/>
      </c>
      <c r="N994" s="1">
        <f>IF(Data!N994&gt;0,Data!N994,"")</f>
        <v/>
      </c>
      <c r="O994" s="1">
        <f>IF(Data!O994&gt;0,Data!O994,"")</f>
        <v/>
      </c>
      <c r="P994" s="1">
        <f>IF(Data!P994&gt;0,Data!P994,"")</f>
        <v/>
      </c>
      <c r="Q994" s="1">
        <f>IF(Data!Q994&gt;0,Data!Q994,"")</f>
        <v/>
      </c>
      <c r="R994" s="1">
        <f>IF(Data!R994&gt;0,Data!R994,"")</f>
        <v/>
      </c>
      <c r="S994" s="1">
        <f>IF(Data!S994&gt;0,Data!S994,"")</f>
        <v/>
      </c>
      <c r="V994" s="3">
        <f>IF(COUNT(D994,J994,K994,L994,M994,O994)&gt;0,AVERAGE(D994,J994,K994,L994,M994,O994),"")</f>
        <v/>
      </c>
      <c r="W994" s="3">
        <f>IF(COUNT(C994,F994,G994,N994,Q994)&gt;0,AVERAGE(C994,F994,G994,N994,Q994),"")</f>
        <v/>
      </c>
      <c r="X994" s="3">
        <f>IF(COUNT(B994,E994,H994,I994,P994,R994,S994)&gt;0,AVERAGE(B994,E994,H994,I994,P994,R994,S994),"")</f>
        <v/>
      </c>
      <c r="Y994" s="3" t="n"/>
      <c r="AJ994">
        <f>IFERROR(AVERAGEIF($A$4:$A$1004,AI994,$V$4:$V$1004),"")</f>
        <v/>
      </c>
      <c r="AK994">
        <f>IFERROR(AVERAGEIF($A$4:$A$1004,AI994,$W$4:$W$1004),"")</f>
        <v/>
      </c>
      <c r="AL994">
        <f>IFERROR(AVERAGEIF($A$4:$A$1004,AI994,$X$4:$X$1004),"")</f>
        <v/>
      </c>
    </row>
    <row r="995">
      <c r="A995" s="1">
        <f>IF(Data!A995&gt;0,Data!A995,"")</f>
        <v/>
      </c>
      <c r="B995" s="1">
        <f>IF(Data!B995&gt;0,Data!B995,"")</f>
        <v/>
      </c>
      <c r="C995" s="1">
        <f>IF(Data!C995&gt;0,Data!C995,"")</f>
        <v/>
      </c>
      <c r="D995" s="1">
        <f>IF(Data!D995&gt;0,Data!D995,"")</f>
        <v/>
      </c>
      <c r="E995" s="1">
        <f>IF(Data!E995&gt;0,Data!E995,"")</f>
        <v/>
      </c>
      <c r="F995" s="1">
        <f>IF(Data!F995&gt;0,Data!F995,"")</f>
        <v/>
      </c>
      <c r="G995" s="1">
        <f>IF(Data!G995&gt;0,Data!G995,"")</f>
        <v/>
      </c>
      <c r="H995" s="1">
        <f>IF(Data!H995&gt;0,Data!H995,"")</f>
        <v/>
      </c>
      <c r="I995" s="1">
        <f>IF(Data!I995&gt;0,Data!I995,"")</f>
        <v/>
      </c>
      <c r="J995" s="1">
        <f>IF(Data!J995&gt;0,Data!J995,"")</f>
        <v/>
      </c>
      <c r="K995" s="1">
        <f>IF(Data!K995&gt;0,Data!K995,"")</f>
        <v/>
      </c>
      <c r="L995" s="1">
        <f>IF(Data!L995&gt;0,Data!L995,"")</f>
        <v/>
      </c>
      <c r="M995" s="1">
        <f>IF(Data!M995&gt;0,Data!M995,"")</f>
        <v/>
      </c>
      <c r="N995" s="1">
        <f>IF(Data!N995&gt;0,Data!N995,"")</f>
        <v/>
      </c>
      <c r="O995" s="1">
        <f>IF(Data!O995&gt;0,Data!O995,"")</f>
        <v/>
      </c>
      <c r="P995" s="1">
        <f>IF(Data!P995&gt;0,Data!P995,"")</f>
        <v/>
      </c>
      <c r="Q995" s="1">
        <f>IF(Data!Q995&gt;0,Data!Q995,"")</f>
        <v/>
      </c>
      <c r="R995" s="1">
        <f>IF(Data!R995&gt;0,Data!R995,"")</f>
        <v/>
      </c>
      <c r="S995" s="1">
        <f>IF(Data!S995&gt;0,Data!S995,"")</f>
        <v/>
      </c>
      <c r="V995" s="3">
        <f>IF(COUNT(D995,J995,K995,L995,M995,O995)&gt;0,AVERAGE(D995,J995,K995,L995,M995,O995),"")</f>
        <v/>
      </c>
      <c r="W995" s="3">
        <f>IF(COUNT(C995,F995,G995,N995,Q995)&gt;0,AVERAGE(C995,F995,G995,N995,Q995),"")</f>
        <v/>
      </c>
      <c r="X995" s="3">
        <f>IF(COUNT(B995,E995,H995,I995,P995,R995,S995)&gt;0,AVERAGE(B995,E995,H995,I995,P995,R995,S995),"")</f>
        <v/>
      </c>
      <c r="Y995" s="3" t="n"/>
      <c r="AJ995">
        <f>IFERROR(AVERAGEIF($A$4:$A$1004,AI995,$V$4:$V$1004),"")</f>
        <v/>
      </c>
      <c r="AK995">
        <f>IFERROR(AVERAGEIF($A$4:$A$1004,AI995,$W$4:$W$1004),"")</f>
        <v/>
      </c>
      <c r="AL995">
        <f>IFERROR(AVERAGEIF($A$4:$A$1004,AI995,$X$4:$X$1004),"")</f>
        <v/>
      </c>
    </row>
    <row r="996">
      <c r="A996" s="1">
        <f>IF(Data!A996&gt;0,Data!A996,"")</f>
        <v/>
      </c>
      <c r="B996" s="1">
        <f>IF(Data!B996&gt;0,Data!B996,"")</f>
        <v/>
      </c>
      <c r="C996" s="1">
        <f>IF(Data!C996&gt;0,Data!C996,"")</f>
        <v/>
      </c>
      <c r="D996" s="1">
        <f>IF(Data!D996&gt;0,Data!D996,"")</f>
        <v/>
      </c>
      <c r="E996" s="1">
        <f>IF(Data!E996&gt;0,Data!E996,"")</f>
        <v/>
      </c>
      <c r="F996" s="1">
        <f>IF(Data!F996&gt;0,Data!F996,"")</f>
        <v/>
      </c>
      <c r="G996" s="1">
        <f>IF(Data!G996&gt;0,Data!G996,"")</f>
        <v/>
      </c>
      <c r="H996" s="1">
        <f>IF(Data!H996&gt;0,Data!H996,"")</f>
        <v/>
      </c>
      <c r="I996" s="1">
        <f>IF(Data!I996&gt;0,Data!I996,"")</f>
        <v/>
      </c>
      <c r="J996" s="1">
        <f>IF(Data!J996&gt;0,Data!J996,"")</f>
        <v/>
      </c>
      <c r="K996" s="1">
        <f>IF(Data!K996&gt;0,Data!K996,"")</f>
        <v/>
      </c>
      <c r="L996" s="1">
        <f>IF(Data!L996&gt;0,Data!L996,"")</f>
        <v/>
      </c>
      <c r="M996" s="1">
        <f>IF(Data!M996&gt;0,Data!M996,"")</f>
        <v/>
      </c>
      <c r="N996" s="1">
        <f>IF(Data!N996&gt;0,Data!N996,"")</f>
        <v/>
      </c>
      <c r="O996" s="1">
        <f>IF(Data!O996&gt;0,Data!O996,"")</f>
        <v/>
      </c>
      <c r="P996" s="1">
        <f>IF(Data!P996&gt;0,Data!P996,"")</f>
        <v/>
      </c>
      <c r="Q996" s="1">
        <f>IF(Data!Q996&gt;0,Data!Q996,"")</f>
        <v/>
      </c>
      <c r="R996" s="1">
        <f>IF(Data!R996&gt;0,Data!R996,"")</f>
        <v/>
      </c>
      <c r="S996" s="1">
        <f>IF(Data!S996&gt;0,Data!S996,"")</f>
        <v/>
      </c>
      <c r="V996" s="3">
        <f>IF(COUNT(D996,J996,K996,L996,M996,O996)&gt;0,AVERAGE(D996,J996,K996,L996,M996,O996),"")</f>
        <v/>
      </c>
      <c r="W996" s="3">
        <f>IF(COUNT(C996,F996,G996,N996,Q996)&gt;0,AVERAGE(C996,F996,G996,N996,Q996),"")</f>
        <v/>
      </c>
      <c r="X996" s="3">
        <f>IF(COUNT(B996,E996,H996,I996,P996,R996,S996)&gt;0,AVERAGE(B996,E996,H996,I996,P996,R996,S996),"")</f>
        <v/>
      </c>
      <c r="Y996" s="3" t="n"/>
      <c r="AJ996">
        <f>IFERROR(AVERAGEIF($A$4:$A$1004,AI996,$V$4:$V$1004),"")</f>
        <v/>
      </c>
      <c r="AK996">
        <f>IFERROR(AVERAGEIF($A$4:$A$1004,AI996,$W$4:$W$1004),"")</f>
        <v/>
      </c>
      <c r="AL996">
        <f>IFERROR(AVERAGEIF($A$4:$A$1004,AI996,$X$4:$X$1004),"")</f>
        <v/>
      </c>
    </row>
    <row r="997">
      <c r="A997" s="1">
        <f>IF(Data!A997&gt;0,Data!A997,"")</f>
        <v/>
      </c>
      <c r="B997" s="1">
        <f>IF(Data!B997&gt;0,Data!B997,"")</f>
        <v/>
      </c>
      <c r="C997" s="1">
        <f>IF(Data!C997&gt;0,Data!C997,"")</f>
        <v/>
      </c>
      <c r="D997" s="1">
        <f>IF(Data!D997&gt;0,Data!D997,"")</f>
        <v/>
      </c>
      <c r="E997" s="1">
        <f>IF(Data!E997&gt;0,Data!E997,"")</f>
        <v/>
      </c>
      <c r="F997" s="1">
        <f>IF(Data!F997&gt;0,Data!F997,"")</f>
        <v/>
      </c>
      <c r="G997" s="1">
        <f>IF(Data!G997&gt;0,Data!G997,"")</f>
        <v/>
      </c>
      <c r="H997" s="1">
        <f>IF(Data!H997&gt;0,Data!H997,"")</f>
        <v/>
      </c>
      <c r="I997" s="1">
        <f>IF(Data!I997&gt;0,Data!I997,"")</f>
        <v/>
      </c>
      <c r="J997" s="1">
        <f>IF(Data!J997&gt;0,Data!J997,"")</f>
        <v/>
      </c>
      <c r="K997" s="1">
        <f>IF(Data!K997&gt;0,Data!K997,"")</f>
        <v/>
      </c>
      <c r="L997" s="1">
        <f>IF(Data!L997&gt;0,Data!L997,"")</f>
        <v/>
      </c>
      <c r="M997" s="1">
        <f>IF(Data!M997&gt;0,Data!M997,"")</f>
        <v/>
      </c>
      <c r="N997" s="1">
        <f>IF(Data!N997&gt;0,Data!N997,"")</f>
        <v/>
      </c>
      <c r="O997" s="1">
        <f>IF(Data!O997&gt;0,Data!O997,"")</f>
        <v/>
      </c>
      <c r="P997" s="1">
        <f>IF(Data!P997&gt;0,Data!P997,"")</f>
        <v/>
      </c>
      <c r="Q997" s="1">
        <f>IF(Data!Q997&gt;0,Data!Q997,"")</f>
        <v/>
      </c>
      <c r="R997" s="1">
        <f>IF(Data!R997&gt;0,Data!R997,"")</f>
        <v/>
      </c>
      <c r="S997" s="1">
        <f>IF(Data!S997&gt;0,Data!S997,"")</f>
        <v/>
      </c>
      <c r="V997" s="3">
        <f>IF(COUNT(D997,J997,K997,L997,M997,O997)&gt;0,AVERAGE(D997,J997,K997,L997,M997,O997),"")</f>
        <v/>
      </c>
      <c r="W997" s="3">
        <f>IF(COUNT(C997,F997,G997,N997,Q997)&gt;0,AVERAGE(C997,F997,G997,N997,Q997),"")</f>
        <v/>
      </c>
      <c r="X997" s="3">
        <f>IF(COUNT(B997,E997,H997,I997,P997,R997,S997)&gt;0,AVERAGE(B997,E997,H997,I997,P997,R997,S997),"")</f>
        <v/>
      </c>
      <c r="Y997" s="3" t="n"/>
      <c r="AJ997">
        <f>IFERROR(AVERAGEIF($A$4:$A$1004,AI997,$V$4:$V$1004),"")</f>
        <v/>
      </c>
      <c r="AK997">
        <f>IFERROR(AVERAGEIF($A$4:$A$1004,AI997,$W$4:$W$1004),"")</f>
        <v/>
      </c>
      <c r="AL997">
        <f>IFERROR(AVERAGEIF($A$4:$A$1004,AI997,$X$4:$X$1004),"")</f>
        <v/>
      </c>
    </row>
    <row r="998">
      <c r="A998" s="1">
        <f>IF(Data!A998&gt;0,Data!A998,"")</f>
        <v/>
      </c>
      <c r="B998" s="1">
        <f>IF(Data!B998&gt;0,Data!B998,"")</f>
        <v/>
      </c>
      <c r="C998" s="1">
        <f>IF(Data!C998&gt;0,Data!C998,"")</f>
        <v/>
      </c>
      <c r="D998" s="1">
        <f>IF(Data!D998&gt;0,Data!D998,"")</f>
        <v/>
      </c>
      <c r="E998" s="1">
        <f>IF(Data!E998&gt;0,Data!E998,"")</f>
        <v/>
      </c>
      <c r="F998" s="1">
        <f>IF(Data!F998&gt;0,Data!F998,"")</f>
        <v/>
      </c>
      <c r="G998" s="1">
        <f>IF(Data!G998&gt;0,Data!G998,"")</f>
        <v/>
      </c>
      <c r="H998" s="1">
        <f>IF(Data!H998&gt;0,Data!H998,"")</f>
        <v/>
      </c>
      <c r="I998" s="1">
        <f>IF(Data!I998&gt;0,Data!I998,"")</f>
        <v/>
      </c>
      <c r="J998" s="1">
        <f>IF(Data!J998&gt;0,Data!J998,"")</f>
        <v/>
      </c>
      <c r="K998" s="1">
        <f>IF(Data!K998&gt;0,Data!K998,"")</f>
        <v/>
      </c>
      <c r="L998" s="1">
        <f>IF(Data!L998&gt;0,Data!L998,"")</f>
        <v/>
      </c>
      <c r="M998" s="1">
        <f>IF(Data!M998&gt;0,Data!M998,"")</f>
        <v/>
      </c>
      <c r="N998" s="1">
        <f>IF(Data!N998&gt;0,Data!N998,"")</f>
        <v/>
      </c>
      <c r="O998" s="1">
        <f>IF(Data!O998&gt;0,Data!O998,"")</f>
        <v/>
      </c>
      <c r="P998" s="1">
        <f>IF(Data!P998&gt;0,Data!P998,"")</f>
        <v/>
      </c>
      <c r="Q998" s="1">
        <f>IF(Data!Q998&gt;0,Data!Q998,"")</f>
        <v/>
      </c>
      <c r="R998" s="1">
        <f>IF(Data!R998&gt;0,Data!R998,"")</f>
        <v/>
      </c>
      <c r="S998" s="1">
        <f>IF(Data!S998&gt;0,Data!S998,"")</f>
        <v/>
      </c>
      <c r="V998" s="3">
        <f>IF(COUNT(D998,J998,K998,L998,M998,O998)&gt;0,AVERAGE(D998,J998,K998,L998,M998,O998),"")</f>
        <v/>
      </c>
      <c r="W998" s="3">
        <f>IF(COUNT(C998,F998,G998,N998,Q998)&gt;0,AVERAGE(C998,F998,G998,N998,Q998),"")</f>
        <v/>
      </c>
      <c r="X998" s="3">
        <f>IF(COUNT(B998,E998,H998,I998,P998,R998,S998)&gt;0,AVERAGE(B998,E998,H998,I998,P998,R998,S998),"")</f>
        <v/>
      </c>
      <c r="Y998" s="3" t="n"/>
      <c r="AJ998">
        <f>IFERROR(AVERAGEIF($A$4:$A$1004,AI998,$V$4:$V$1004),"")</f>
        <v/>
      </c>
      <c r="AK998">
        <f>IFERROR(AVERAGEIF($A$4:$A$1004,AI998,$W$4:$W$1004),"")</f>
        <v/>
      </c>
      <c r="AL998">
        <f>IFERROR(AVERAGEIF($A$4:$A$1004,AI998,$X$4:$X$1004),"")</f>
        <v/>
      </c>
    </row>
    <row r="999">
      <c r="A999" s="1">
        <f>IF(Data!A999&gt;0,Data!A999,"")</f>
        <v/>
      </c>
      <c r="B999" s="1">
        <f>IF(Data!B999&gt;0,Data!B999,"")</f>
        <v/>
      </c>
      <c r="C999" s="1">
        <f>IF(Data!C999&gt;0,Data!C999,"")</f>
        <v/>
      </c>
      <c r="D999" s="1">
        <f>IF(Data!D999&gt;0,Data!D999,"")</f>
        <v/>
      </c>
      <c r="E999" s="1">
        <f>IF(Data!E999&gt;0,Data!E999,"")</f>
        <v/>
      </c>
      <c r="F999" s="1">
        <f>IF(Data!F999&gt;0,Data!F999,"")</f>
        <v/>
      </c>
      <c r="G999" s="1">
        <f>IF(Data!G999&gt;0,Data!G999,"")</f>
        <v/>
      </c>
      <c r="H999" s="1">
        <f>IF(Data!H999&gt;0,Data!H999,"")</f>
        <v/>
      </c>
      <c r="I999" s="1">
        <f>IF(Data!I999&gt;0,Data!I999,"")</f>
        <v/>
      </c>
      <c r="J999" s="1">
        <f>IF(Data!J999&gt;0,Data!J999,"")</f>
        <v/>
      </c>
      <c r="K999" s="1">
        <f>IF(Data!K999&gt;0,Data!K999,"")</f>
        <v/>
      </c>
      <c r="L999" s="1">
        <f>IF(Data!L999&gt;0,Data!L999,"")</f>
        <v/>
      </c>
      <c r="M999" s="1">
        <f>IF(Data!M999&gt;0,Data!M999,"")</f>
        <v/>
      </c>
      <c r="N999" s="1">
        <f>IF(Data!N999&gt;0,Data!N999,"")</f>
        <v/>
      </c>
      <c r="O999" s="1">
        <f>IF(Data!O999&gt;0,Data!O999,"")</f>
        <v/>
      </c>
      <c r="P999" s="1">
        <f>IF(Data!P999&gt;0,Data!P999,"")</f>
        <v/>
      </c>
      <c r="Q999" s="1">
        <f>IF(Data!Q999&gt;0,Data!Q999,"")</f>
        <v/>
      </c>
      <c r="R999" s="1">
        <f>IF(Data!R999&gt;0,Data!R999,"")</f>
        <v/>
      </c>
      <c r="S999" s="1">
        <f>IF(Data!S999&gt;0,Data!S999,"")</f>
        <v/>
      </c>
      <c r="V999" s="3">
        <f>IF(COUNT(D999,J999,K999,L999,M999,O999)&gt;0,AVERAGE(D999,J999,K999,L999,M999,O999),"")</f>
        <v/>
      </c>
      <c r="W999" s="3">
        <f>IF(COUNT(C999,F999,G999,N999,Q999)&gt;0,AVERAGE(C999,F999,G999,N999,Q999),"")</f>
        <v/>
      </c>
      <c r="X999" s="3">
        <f>IF(COUNT(B999,E999,H999,I999,P999,R999,S999)&gt;0,AVERAGE(B999,E999,H999,I999,P999,R999,S999),"")</f>
        <v/>
      </c>
      <c r="Y999" s="3" t="n"/>
      <c r="AJ999">
        <f>IFERROR(AVERAGEIF($A$4:$A$1004,AI999,$V$4:$V$1004),"")</f>
        <v/>
      </c>
      <c r="AK999">
        <f>IFERROR(AVERAGEIF($A$4:$A$1004,AI999,$W$4:$W$1004),"")</f>
        <v/>
      </c>
      <c r="AL999">
        <f>IFERROR(AVERAGEIF($A$4:$A$1004,AI999,$X$4:$X$1004),"")</f>
        <v/>
      </c>
    </row>
    <row r="1000">
      <c r="A1000" s="1">
        <f>IF(Data!A1000&gt;0,Data!A1000,"")</f>
        <v/>
      </c>
      <c r="B1000" s="1">
        <f>IF(Data!B1000&gt;0,Data!B1000,"")</f>
        <v/>
      </c>
      <c r="C1000" s="1">
        <f>IF(Data!C1000&gt;0,Data!C1000,"")</f>
        <v/>
      </c>
      <c r="D1000" s="1">
        <f>IF(Data!D1000&gt;0,Data!D1000,"")</f>
        <v/>
      </c>
      <c r="E1000" s="1">
        <f>IF(Data!E1000&gt;0,Data!E1000,"")</f>
        <v/>
      </c>
      <c r="F1000" s="1">
        <f>IF(Data!F1000&gt;0,Data!F1000,"")</f>
        <v/>
      </c>
      <c r="G1000" s="1">
        <f>IF(Data!G1000&gt;0,Data!G1000,"")</f>
        <v/>
      </c>
      <c r="H1000" s="1">
        <f>IF(Data!H1000&gt;0,Data!H1000,"")</f>
        <v/>
      </c>
      <c r="I1000" s="1">
        <f>IF(Data!I1000&gt;0,Data!I1000,"")</f>
        <v/>
      </c>
      <c r="J1000" s="1">
        <f>IF(Data!J1000&gt;0,Data!J1000,"")</f>
        <v/>
      </c>
      <c r="K1000" s="1">
        <f>IF(Data!K1000&gt;0,Data!K1000,"")</f>
        <v/>
      </c>
      <c r="L1000" s="1">
        <f>IF(Data!L1000&gt;0,Data!L1000,"")</f>
        <v/>
      </c>
      <c r="M1000" s="1">
        <f>IF(Data!M1000&gt;0,Data!M1000,"")</f>
        <v/>
      </c>
      <c r="N1000" s="1">
        <f>IF(Data!N1000&gt;0,Data!N1000,"")</f>
        <v/>
      </c>
      <c r="O1000" s="1">
        <f>IF(Data!O1000&gt;0,Data!O1000,"")</f>
        <v/>
      </c>
      <c r="P1000" s="1">
        <f>IF(Data!P1000&gt;0,Data!P1000,"")</f>
        <v/>
      </c>
      <c r="Q1000" s="1">
        <f>IF(Data!Q1000&gt;0,Data!Q1000,"")</f>
        <v/>
      </c>
      <c r="R1000" s="1">
        <f>IF(Data!R1000&gt;0,Data!R1000,"")</f>
        <v/>
      </c>
      <c r="S1000" s="1">
        <f>IF(Data!S1000&gt;0,Data!S1000,"")</f>
        <v/>
      </c>
      <c r="V1000" s="3">
        <f>IF(COUNT(D1000,J1000,K1000,L1000,M1000,O1000)&gt;0,AVERAGE(D1000,J1000,K1000,L1000,M1000,O1000),"")</f>
        <v/>
      </c>
      <c r="W1000" s="3">
        <f>IF(COUNT(C1000,F1000,G1000,N1000,Q1000)&gt;0,AVERAGE(C1000,F1000,G1000,N1000,Q1000),"")</f>
        <v/>
      </c>
      <c r="X1000" s="3">
        <f>IF(COUNT(B1000,E1000,H1000,I1000,P1000,R1000,S1000)&gt;0,AVERAGE(B1000,E1000,H1000,I1000,P1000,R1000,S1000),"")</f>
        <v/>
      </c>
      <c r="Y1000" s="3" t="n"/>
      <c r="AJ1000">
        <f>IFERROR(AVERAGEIF($A$4:$A$1004,AI1000,$V$4:$V$1004),"")</f>
        <v/>
      </c>
      <c r="AK1000">
        <f>IFERROR(AVERAGEIF($A$4:$A$1004,AI1000,$W$4:$W$1004),"")</f>
        <v/>
      </c>
      <c r="AL1000">
        <f>IFERROR(AVERAGEIF($A$4:$A$1004,AI1000,$X$4:$X$1004),"")</f>
        <v/>
      </c>
    </row>
    <row r="1001">
      <c r="A1001" s="1">
        <f>IF(Data!A1001&gt;0,Data!A1001,"")</f>
        <v/>
      </c>
      <c r="B1001" s="1">
        <f>IF(Data!B1001&gt;0,Data!B1001,"")</f>
        <v/>
      </c>
      <c r="C1001" s="1">
        <f>IF(Data!C1001&gt;0,Data!C1001,"")</f>
        <v/>
      </c>
      <c r="D1001" s="1">
        <f>IF(Data!D1001&gt;0,Data!D1001,"")</f>
        <v/>
      </c>
      <c r="E1001" s="1">
        <f>IF(Data!E1001&gt;0,Data!E1001,"")</f>
        <v/>
      </c>
      <c r="F1001" s="1">
        <f>IF(Data!F1001&gt;0,Data!F1001,"")</f>
        <v/>
      </c>
      <c r="G1001" s="1">
        <f>IF(Data!G1001&gt;0,Data!G1001,"")</f>
        <v/>
      </c>
      <c r="H1001" s="1">
        <f>IF(Data!H1001&gt;0,Data!H1001,"")</f>
        <v/>
      </c>
      <c r="I1001" s="1">
        <f>IF(Data!I1001&gt;0,Data!I1001,"")</f>
        <v/>
      </c>
      <c r="J1001" s="1">
        <f>IF(Data!J1001&gt;0,Data!J1001,"")</f>
        <v/>
      </c>
      <c r="K1001" s="1">
        <f>IF(Data!K1001&gt;0,Data!K1001,"")</f>
        <v/>
      </c>
      <c r="L1001" s="1">
        <f>IF(Data!L1001&gt;0,Data!L1001,"")</f>
        <v/>
      </c>
      <c r="M1001" s="1">
        <f>IF(Data!M1001&gt;0,Data!M1001,"")</f>
        <v/>
      </c>
      <c r="N1001" s="1">
        <f>IF(Data!N1001&gt;0,Data!N1001,"")</f>
        <v/>
      </c>
      <c r="O1001" s="1">
        <f>IF(Data!O1001&gt;0,Data!O1001,"")</f>
        <v/>
      </c>
      <c r="P1001" s="1">
        <f>IF(Data!P1001&gt;0,Data!P1001,"")</f>
        <v/>
      </c>
      <c r="Q1001" s="1">
        <f>IF(Data!Q1001&gt;0,Data!Q1001,"")</f>
        <v/>
      </c>
      <c r="R1001" s="1">
        <f>IF(Data!R1001&gt;0,Data!R1001,"")</f>
        <v/>
      </c>
      <c r="S1001" s="1">
        <f>IF(Data!S1001&gt;0,Data!S1001,"")</f>
        <v/>
      </c>
      <c r="V1001" s="3">
        <f>IF(COUNT(D1001,J1001,K1001,L1001,M1001,O1001)&gt;0,AVERAGE(D1001,J1001,K1001,L1001,M1001,O1001),"")</f>
        <v/>
      </c>
      <c r="W1001" s="3">
        <f>IF(COUNT(C1001,F1001,G1001,N1001,Q1001)&gt;0,AVERAGE(C1001,F1001,G1001,N1001,Q1001),"")</f>
        <v/>
      </c>
      <c r="X1001" s="3">
        <f>IF(COUNT(B1001,E1001,H1001,I1001,P1001,R1001,S1001)&gt;0,AVERAGE(B1001,E1001,H1001,I1001,P1001,R1001,S1001),"")</f>
        <v/>
      </c>
      <c r="Y1001" s="3" t="n"/>
      <c r="AJ1001">
        <f>IFERROR(AVERAGEIF($A$4:$A$1004,AI1001,$V$4:$V$1004),"")</f>
        <v/>
      </c>
      <c r="AK1001">
        <f>IFERROR(AVERAGEIF($A$4:$A$1004,AI1001,$W$4:$W$1004),"")</f>
        <v/>
      </c>
      <c r="AL1001">
        <f>IFERROR(AVERAGEIF($A$4:$A$1004,AI1001,$X$4:$X$1004),"")</f>
        <v/>
      </c>
    </row>
    <row r="1002">
      <c r="A1002" s="1">
        <f>IF(Data!A1002&gt;0,Data!A1002,"")</f>
        <v/>
      </c>
      <c r="B1002" s="1">
        <f>IF(Data!B1002&gt;0,Data!B1002,"")</f>
        <v/>
      </c>
      <c r="C1002" s="1">
        <f>IF(Data!C1002&gt;0,Data!C1002,"")</f>
        <v/>
      </c>
      <c r="D1002" s="1">
        <f>IF(Data!D1002&gt;0,Data!D1002,"")</f>
        <v/>
      </c>
      <c r="E1002" s="1">
        <f>IF(Data!E1002&gt;0,Data!E1002,"")</f>
        <v/>
      </c>
      <c r="F1002" s="1">
        <f>IF(Data!F1002&gt;0,Data!F1002,"")</f>
        <v/>
      </c>
      <c r="G1002" s="1">
        <f>IF(Data!G1002&gt;0,Data!G1002,"")</f>
        <v/>
      </c>
      <c r="H1002" s="1">
        <f>IF(Data!H1002&gt;0,Data!H1002,"")</f>
        <v/>
      </c>
      <c r="I1002" s="1">
        <f>IF(Data!I1002&gt;0,Data!I1002,"")</f>
        <v/>
      </c>
      <c r="J1002" s="1">
        <f>IF(Data!J1002&gt;0,Data!J1002,"")</f>
        <v/>
      </c>
      <c r="K1002" s="1">
        <f>IF(Data!K1002&gt;0,Data!K1002,"")</f>
        <v/>
      </c>
      <c r="L1002" s="1">
        <f>IF(Data!L1002&gt;0,Data!L1002,"")</f>
        <v/>
      </c>
      <c r="M1002" s="1">
        <f>IF(Data!M1002&gt;0,Data!M1002,"")</f>
        <v/>
      </c>
      <c r="N1002" s="1">
        <f>IF(Data!N1002&gt;0,Data!N1002,"")</f>
        <v/>
      </c>
      <c r="O1002" s="1">
        <f>IF(Data!O1002&gt;0,Data!O1002,"")</f>
        <v/>
      </c>
      <c r="P1002" s="1">
        <f>IF(Data!P1002&gt;0,Data!P1002,"")</f>
        <v/>
      </c>
      <c r="Q1002" s="1">
        <f>IF(Data!Q1002&gt;0,Data!Q1002,"")</f>
        <v/>
      </c>
      <c r="R1002" s="1">
        <f>IF(Data!R1002&gt;0,Data!R1002,"")</f>
        <v/>
      </c>
      <c r="S1002" s="1">
        <f>IF(Data!S1002&gt;0,Data!S1002,"")</f>
        <v/>
      </c>
      <c r="V1002" s="3">
        <f>IF(COUNT(D1002,J1002,K1002,L1002,M1002,O1002)&gt;0,AVERAGE(D1002,J1002,K1002,L1002,M1002,O1002),"")</f>
        <v/>
      </c>
      <c r="W1002" s="3">
        <f>IF(COUNT(C1002,F1002,G1002,N1002,Q1002)&gt;0,AVERAGE(C1002,F1002,G1002,N1002,Q1002),"")</f>
        <v/>
      </c>
      <c r="X1002" s="3">
        <f>IF(COUNT(B1002,E1002,H1002,I1002,P1002,R1002,S1002)&gt;0,AVERAGE(B1002,E1002,H1002,I1002,P1002,R1002,S1002),"")</f>
        <v/>
      </c>
      <c r="Y1002" s="3" t="n"/>
      <c r="AJ1002">
        <f>IFERROR(AVERAGEIF($A$4:$A$1004,AI1002,$V$4:$V$1004),"")</f>
        <v/>
      </c>
      <c r="AK1002">
        <f>IFERROR(AVERAGEIF($A$4:$A$1004,AI1002,$W$4:$W$1004),"")</f>
        <v/>
      </c>
      <c r="AL1002">
        <f>IFERROR(AVERAGEIF($A$4:$A$1004,AI1002,$X$4:$X$1004),"")</f>
        <v/>
      </c>
    </row>
    <row r="1003">
      <c r="A1003" s="1">
        <f>IF(Data!A1003&gt;0,Data!A1003,"")</f>
        <v/>
      </c>
      <c r="B1003" s="1">
        <f>IF(Data!B1003&gt;0,Data!B1003,"")</f>
        <v/>
      </c>
      <c r="C1003" s="1">
        <f>IF(Data!C1003&gt;0,Data!C1003,"")</f>
        <v/>
      </c>
      <c r="D1003" s="1">
        <f>IF(Data!D1003&gt;0,Data!D1003,"")</f>
        <v/>
      </c>
      <c r="E1003" s="1">
        <f>IF(Data!E1003&gt;0,Data!E1003,"")</f>
        <v/>
      </c>
      <c r="F1003" s="1">
        <f>IF(Data!F1003&gt;0,Data!F1003,"")</f>
        <v/>
      </c>
      <c r="G1003" s="1">
        <f>IF(Data!G1003&gt;0,Data!G1003,"")</f>
        <v/>
      </c>
      <c r="H1003" s="1">
        <f>IF(Data!H1003&gt;0,Data!H1003,"")</f>
        <v/>
      </c>
      <c r="I1003" s="1">
        <f>IF(Data!I1003&gt;0,Data!I1003,"")</f>
        <v/>
      </c>
      <c r="J1003" s="1">
        <f>IF(Data!J1003&gt;0,Data!J1003,"")</f>
        <v/>
      </c>
      <c r="K1003" s="1">
        <f>IF(Data!K1003&gt;0,Data!K1003,"")</f>
        <v/>
      </c>
      <c r="L1003" s="1">
        <f>IF(Data!L1003&gt;0,Data!L1003,"")</f>
        <v/>
      </c>
      <c r="M1003" s="1">
        <f>IF(Data!M1003&gt;0,Data!M1003,"")</f>
        <v/>
      </c>
      <c r="N1003" s="1">
        <f>IF(Data!N1003&gt;0,Data!N1003,"")</f>
        <v/>
      </c>
      <c r="O1003" s="1">
        <f>IF(Data!O1003&gt;0,Data!O1003,"")</f>
        <v/>
      </c>
      <c r="P1003" s="1">
        <f>IF(Data!P1003&gt;0,Data!P1003,"")</f>
        <v/>
      </c>
      <c r="Q1003" s="1">
        <f>IF(Data!Q1003&gt;0,Data!Q1003,"")</f>
        <v/>
      </c>
      <c r="R1003" s="1">
        <f>IF(Data!R1003&gt;0,Data!R1003,"")</f>
        <v/>
      </c>
      <c r="S1003" s="1">
        <f>IF(Data!S1003&gt;0,Data!S1003,"")</f>
        <v/>
      </c>
      <c r="V1003" s="3">
        <f>IF(COUNT(D1003,J1003,K1003,L1003,M1003,O1003)&gt;0,AVERAGE(D1003,J1003,K1003,L1003,M1003,O1003),"")</f>
        <v/>
      </c>
      <c r="W1003" s="3">
        <f>IF(COUNT(C1003,F1003,G1003,N1003,Q1003)&gt;0,AVERAGE(C1003,F1003,G1003,N1003,Q1003),"")</f>
        <v/>
      </c>
      <c r="X1003" s="3">
        <f>IF(COUNT(B1003,E1003,H1003,I1003,P1003,R1003,S1003)&gt;0,AVERAGE(B1003,E1003,H1003,I1003,P1003,R1003,S1003),"")</f>
        <v/>
      </c>
      <c r="Y1003" s="3" t="n"/>
      <c r="AJ1003">
        <f>IFERROR(AVERAGEIF($A$4:$A$1004,AI1003,$V$4:$V$1004),"")</f>
        <v/>
      </c>
      <c r="AK1003">
        <f>IFERROR(AVERAGEIF($A$4:$A$1004,AI1003,$W$4:$W$1004),"")</f>
        <v/>
      </c>
      <c r="AL1003">
        <f>IFERROR(AVERAGEIF($A$4:$A$1004,AI1003,$X$4:$X$1004),"")</f>
        <v/>
      </c>
    </row>
    <row r="1004">
      <c r="A1004" s="1">
        <f>IF(Data!A1004&gt;0,Data!A1004,"")</f>
        <v/>
      </c>
      <c r="B1004" s="1">
        <f>IF(Data!B1004&gt;0,Data!B1004,"")</f>
        <v/>
      </c>
      <c r="C1004" s="1">
        <f>IF(Data!C1004&gt;0,Data!C1004,"")</f>
        <v/>
      </c>
      <c r="D1004" s="1">
        <f>IF(Data!D1004&gt;0,Data!D1004,"")</f>
        <v/>
      </c>
      <c r="E1004" s="1">
        <f>IF(Data!E1004&gt;0,Data!E1004,"")</f>
        <v/>
      </c>
      <c r="F1004" s="1">
        <f>IF(Data!F1004&gt;0,Data!F1004,"")</f>
        <v/>
      </c>
      <c r="G1004" s="1">
        <f>IF(Data!G1004&gt;0,Data!G1004,"")</f>
        <v/>
      </c>
      <c r="H1004" s="1">
        <f>IF(Data!H1004&gt;0,Data!H1004,"")</f>
        <v/>
      </c>
      <c r="I1004" s="1">
        <f>IF(Data!I1004&gt;0,Data!I1004,"")</f>
        <v/>
      </c>
      <c r="J1004" s="1">
        <f>IF(Data!J1004&gt;0,Data!J1004,"")</f>
        <v/>
      </c>
      <c r="K1004" s="1">
        <f>IF(Data!K1004&gt;0,Data!K1004,"")</f>
        <v/>
      </c>
      <c r="L1004" s="1">
        <f>IF(Data!L1004&gt;0,Data!L1004,"")</f>
        <v/>
      </c>
      <c r="M1004" s="1">
        <f>IF(Data!M1004&gt;0,Data!M1004,"")</f>
        <v/>
      </c>
      <c r="N1004" s="1">
        <f>IF(Data!N1004&gt;0,Data!N1004,"")</f>
        <v/>
      </c>
      <c r="O1004" s="1">
        <f>IF(Data!O1004&gt;0,Data!O1004,"")</f>
        <v/>
      </c>
      <c r="P1004" s="1">
        <f>IF(Data!P1004&gt;0,Data!P1004,"")</f>
        <v/>
      </c>
      <c r="Q1004" s="1">
        <f>IF(Data!Q1004&gt;0,Data!Q1004,"")</f>
        <v/>
      </c>
      <c r="R1004" s="1">
        <f>IF(Data!R1004&gt;0,Data!R1004,"")</f>
        <v/>
      </c>
      <c r="S1004" s="1">
        <f>IF(Data!S1004&gt;0,Data!S1004,"")</f>
        <v/>
      </c>
      <c r="V1004" s="3">
        <f>IF(COUNT(D1004,J1004,K1004,L1004,M1004,O1004)&gt;0,AVERAGE(D1004,J1004,K1004,L1004,M1004,O1004),"")</f>
        <v/>
      </c>
      <c r="W1004" s="3">
        <f>IF(COUNT(C1004,F1004,G1004,N1004,Q1004)&gt;0,AVERAGE(C1004,F1004,G1004,N1004,Q1004),"")</f>
        <v/>
      </c>
      <c r="X1004" s="3">
        <f>IF(COUNT(B1004,E1004,H1004,I1004,P1004,R1004,S1004)&gt;0,AVERAGE(B1004,E1004,H1004,I1004,P1004,R1004,S1004),"")</f>
        <v/>
      </c>
      <c r="Y1004" s="3" t="n"/>
      <c r="AJ1004">
        <f>IFERROR(AVERAGEIF($A$4:$A$1004,AI1004,$V$4:$V$1004),"")</f>
        <v/>
      </c>
      <c r="AK1004">
        <f>IFERROR(AVERAGEIF($A$4:$A$1004,AI1004,$W$4:$W$1004),"")</f>
        <v/>
      </c>
      <c r="AL1004">
        <f>IFERROR(AVERAGEIF($A$4:$A$1004,AI1004,$X$4:$X$1004),"")</f>
        <v/>
      </c>
    </row>
  </sheetData>
  <mergeCells count="8">
    <mergeCell ref="U1:X1"/>
    <mergeCell ref="B2:S2"/>
    <mergeCell ref="A1:S1"/>
    <mergeCell ref="AB2:AF2"/>
    <mergeCell ref="V2:Y2"/>
    <mergeCell ref="A2:A3"/>
    <mergeCell ref="AI2:AI3"/>
    <mergeCell ref="AJ2:AM2"/>
  </mergeCells>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T54"/>
  <sheetViews>
    <sheetView topLeftCell="J1" zoomScaleNormal="150" workbookViewId="0">
      <selection activeCell="Q8" sqref="Q8"/>
    </sheetView>
  </sheetViews>
  <sheetFormatPr baseColWidth="10" defaultColWidth="8.83203125" defaultRowHeight="15"/>
  <cols>
    <col width="10.33203125" bestFit="1" customWidth="1" min="6" max="6"/>
    <col width="3" customWidth="1" min="7" max="7"/>
    <col width="10.33203125" bestFit="1" customWidth="1" min="10" max="10"/>
    <col width="11.1640625" customWidth="1" min="12" max="12"/>
    <col width="21.5" bestFit="1" customWidth="1" min="16" max="16"/>
    <col width="12.33203125" bestFit="1" customWidth="1" min="17" max="17"/>
    <col width="10.5" bestFit="1" customWidth="1" min="18" max="18"/>
    <col width="13.5" bestFit="1" customWidth="1" min="19" max="19"/>
    <col width="14.83203125" bestFit="1" customWidth="1" min="20" max="20"/>
    <col width="13.83203125" bestFit="1" customWidth="1" min="21" max="21"/>
    <col width="10.83203125" bestFit="1" customWidth="1" min="22" max="22"/>
    <col width="15.5" bestFit="1" customWidth="1" min="23" max="23"/>
    <col width="12.5" bestFit="1" customWidth="1" min="24" max="24"/>
  </cols>
  <sheetData>
    <row r="1" ht="244" customHeight="1" thickBot="1" thickTop="1">
      <c r="A1" s="96" t="inlineStr">
        <is>
          <t xml:space="preserve">Results
This sheet shows a breakdown of XEQ scores in three views:
(1) By Statement – Average score for each statement with error bars
(2) By Factor – Mean scores across the three XEQ factors
(3) By Stakeholder – Factor scores grouped by stakeholder type
Each table has a matching chart with confidence intervals. Data updates automatically — no manual input needed.
</t>
        </is>
      </c>
      <c r="B1" s="72" t="n"/>
      <c r="C1" s="72" t="n"/>
      <c r="D1" s="72" t="n"/>
      <c r="E1" s="72" t="n"/>
      <c r="F1" s="72" t="n"/>
      <c r="G1" s="72" t="n"/>
      <c r="H1" s="72" t="n"/>
      <c r="I1" s="72" t="n"/>
      <c r="J1" s="72" t="n"/>
      <c r="K1" s="72" t="n"/>
      <c r="L1" s="72" t="n"/>
      <c r="M1" s="72" t="n"/>
      <c r="N1" s="72" t="n"/>
      <c r="O1" s="73" t="n"/>
    </row>
    <row r="2" ht="16" customHeight="1" thickTop="1">
      <c r="J2" s="97" t="inlineStr">
        <is>
          <t>XEQ Factors (Mean and Variance)</t>
        </is>
      </c>
      <c r="K2" s="83" t="n"/>
      <c r="L2" s="83" t="n"/>
      <c r="M2" s="90" t="n"/>
      <c r="P2" s="98" t="inlineStr">
        <is>
          <t>XEQ Stakeholder Scores</t>
        </is>
      </c>
      <c r="Q2" s="93" t="n"/>
      <c r="R2" s="93" t="n"/>
      <c r="S2" s="93" t="n"/>
      <c r="T2" s="94" t="n"/>
    </row>
    <row r="3">
      <c r="A3" s="2" t="inlineStr">
        <is>
          <t>Item</t>
        </is>
      </c>
      <c r="B3" s="8" t="inlineStr">
        <is>
          <t>Mean</t>
        </is>
      </c>
      <c r="C3" s="8" t="inlineStr">
        <is>
          <t>Variance</t>
        </is>
      </c>
      <c r="D3" s="8" t="inlineStr">
        <is>
          <t>Std. Dev.</t>
        </is>
      </c>
      <c r="E3" s="2" t="inlineStr">
        <is>
          <t>No.</t>
        </is>
      </c>
      <c r="F3" s="2" t="inlineStr">
        <is>
          <t>Factor</t>
        </is>
      </c>
      <c r="G3" s="2" t="n"/>
      <c r="J3" s="7" t="inlineStr">
        <is>
          <t>Factor</t>
        </is>
      </c>
      <c r="K3" s="7" t="inlineStr">
        <is>
          <t>Mean</t>
        </is>
      </c>
      <c r="L3" s="7" t="inlineStr">
        <is>
          <t>Variance</t>
        </is>
      </c>
      <c r="M3" s="2" t="inlineStr">
        <is>
          <t>Std.Dev</t>
        </is>
      </c>
      <c r="P3" s="2" t="inlineStr">
        <is>
          <t>Stakeholder</t>
        </is>
      </c>
      <c r="Q3" s="2" t="inlineStr">
        <is>
          <t>Utility Mean</t>
        </is>
      </c>
      <c r="R3" s="2" t="inlineStr">
        <is>
          <t>Satisfaction Mean</t>
        </is>
      </c>
      <c r="S3" s="2" t="inlineStr">
        <is>
          <t>Effectiveness Mean</t>
        </is>
      </c>
      <c r="T3" s="2" t="n"/>
    </row>
    <row r="4">
      <c r="A4" s="1" t="n">
        <v>1</v>
      </c>
      <c r="B4" s="3">
        <f>AVERAGE(Transform!B4:B1004)</f>
        <v/>
      </c>
      <c r="C4" s="3">
        <f>VAR(Transform!B4:B1004)</f>
        <v/>
      </c>
      <c r="D4" s="3">
        <f>SQRT(C4)</f>
        <v/>
      </c>
      <c r="E4" s="1">
        <f>COUNTA(Data!B4:B1004)</f>
        <v/>
      </c>
      <c r="F4" s="1">
        <f>_xlfn.XLOOKUP(A4, Mapping!A:A, Mapping!B:B, "Unknown")</f>
        <v/>
      </c>
      <c r="G4" s="1" t="n"/>
      <c r="J4" s="1" t="inlineStr">
        <is>
          <t>Utility</t>
        </is>
      </c>
      <c r="K4" s="3">
        <f>AVERAGE(Transform!V4:V1004)</f>
        <v/>
      </c>
      <c r="L4" s="3">
        <f>VAR(Transform!V4:V1004)</f>
        <v/>
      </c>
      <c r="M4" s="3">
        <f>SQRT(L4)</f>
        <v/>
      </c>
      <c r="P4" s="1">
        <f t="array" ref="P4:P7">_xlfn._xlws.FILTER(Stakeholders!A3:A50, Stakeholders!A3:A50&lt;&gt;"")</f>
        <v/>
      </c>
      <c r="Q4" s="3">
        <f>IFERROR(AVERAGEIF(Transform!$A$4:$A$1004,Transform!AI4,Transform!$V$4:$V$1004),"")</f>
        <v/>
      </c>
      <c r="R4" s="3">
        <f>IFERROR(AVERAGEIF(Transform!$A$4:$A$1004,Transform!AI4,Transform!$W$4:$W$1004),"")</f>
        <v/>
      </c>
      <c r="S4" s="3">
        <f>IFERROR(AVERAGEIF(Transform!$A$4:$A$1004,Transform!AI4,Transform!$X$4:$X$1004),"")</f>
        <v/>
      </c>
      <c r="T4" s="3" t="n"/>
    </row>
    <row r="5">
      <c r="A5" s="1" t="n">
        <v>2</v>
      </c>
      <c r="B5" s="3">
        <f>AVERAGE(Transform!C4:C1004)</f>
        <v/>
      </c>
      <c r="C5" s="3">
        <f>VAR(Transform!C4:C1004)</f>
        <v/>
      </c>
      <c r="D5" s="3">
        <f>SQRT(C5)</f>
        <v/>
      </c>
      <c r="E5" s="1">
        <f>COUNTA(Data!C4:C1004)</f>
        <v/>
      </c>
      <c r="F5" s="1">
        <f>_xlfn.XLOOKUP(A5, Mapping!A:A, Mapping!B:B, "Unknown")</f>
        <v/>
      </c>
      <c r="G5" s="1" t="n"/>
      <c r="J5" s="1" t="inlineStr">
        <is>
          <t>Satisfaction</t>
        </is>
      </c>
      <c r="K5" s="3">
        <f>AVERAGE(Transform!W4:W1004)</f>
        <v/>
      </c>
      <c r="L5" s="3">
        <f>VAR(Transform!W4:W1004)</f>
        <v/>
      </c>
      <c r="M5" s="3">
        <f>SQRT(L5)</f>
        <v/>
      </c>
      <c r="P5" s="1" t="inlineStr">
        <is>
          <t>Student</t>
        </is>
      </c>
      <c r="Q5" s="3">
        <f>IFERROR(AVERAGEIF(Transform!$A$4:$A$1004,Transform!AI5,Transform!$V$4:$V$1004),"")</f>
        <v/>
      </c>
      <c r="R5" s="3">
        <f>IFERROR(AVERAGEIF(Transform!$A$4:$A$1004,Transform!AI5,Transform!$W$4:$W$1004),"")</f>
        <v/>
      </c>
      <c r="S5" s="3">
        <f>IFERROR(AVERAGEIF(Transform!$A$4:$A$1004,Transform!AI5,Transform!$X$4:$X$1004),"")</f>
        <v/>
      </c>
      <c r="T5" s="3" t="n"/>
    </row>
    <row r="6">
      <c r="A6" s="1" t="n">
        <v>3</v>
      </c>
      <c r="B6" s="3">
        <f>AVERAGE(Transform!D4:D1004)</f>
        <v/>
      </c>
      <c r="C6" s="3">
        <f>VAR(Transform!D4:D1004)</f>
        <v/>
      </c>
      <c r="D6" s="3">
        <f>SQRT(C6)</f>
        <v/>
      </c>
      <c r="E6" s="1">
        <f>COUNTA(Data!D4:D1004)</f>
        <v/>
      </c>
      <c r="F6" s="1">
        <f>_xlfn.XLOOKUP(A6, Mapping!A:A, Mapping!B:B, "Unknown")</f>
        <v/>
      </c>
      <c r="G6" s="1" t="n"/>
      <c r="J6" s="1" t="inlineStr">
        <is>
          <t>Effectiveness</t>
        </is>
      </c>
      <c r="K6" s="3">
        <f>AVERAGE(Transform!X4:X1004)</f>
        <v/>
      </c>
      <c r="L6" s="3">
        <f>VAR(Transform!X4:X1004)</f>
        <v/>
      </c>
      <c r="M6" s="3">
        <f>SQRT(L6)</f>
        <v/>
      </c>
      <c r="P6" s="1" t="inlineStr">
        <is>
          <t>Admin Assistant</t>
        </is>
      </c>
      <c r="Q6" s="3">
        <f>IFERROR(AVERAGEIF(Transform!$A$4:$A$1004,Transform!AI6,Transform!$V$4:$V$1004),"")</f>
        <v/>
      </c>
      <c r="R6" s="3">
        <f>IFERROR(AVERAGEIF(Transform!$A$4:$A$1004,Transform!AI6,Transform!$W$4:$W$1004),"")</f>
        <v/>
      </c>
      <c r="S6" s="3">
        <f>IFERROR(AVERAGEIF(Transform!$A$4:$A$1004,Transform!AI6,Transform!$X$4:$X$1004),"")</f>
        <v/>
      </c>
      <c r="T6" s="3" t="n"/>
    </row>
    <row r="7">
      <c r="A7" s="1" t="n">
        <v>4</v>
      </c>
      <c r="B7" s="3">
        <f>AVERAGE(Transform!E4:E1004)</f>
        <v/>
      </c>
      <c r="C7" s="3">
        <f>VAR(Transform!E4:E1004)</f>
        <v/>
      </c>
      <c r="D7" s="3">
        <f>SQRT(C7)</f>
        <v/>
      </c>
      <c r="E7" s="1">
        <f>COUNTA(Data!E4:E1004)</f>
        <v/>
      </c>
      <c r="F7" s="1">
        <f>_xlfn.XLOOKUP(A7, Mapping!A:A, Mapping!B:B, "Unknown")</f>
        <v/>
      </c>
      <c r="G7" s="1" t="n"/>
      <c r="J7" s="1" t="n"/>
      <c r="K7" s="3" t="n"/>
      <c r="L7" s="3" t="n"/>
      <c r="M7" s="3" t="n"/>
      <c r="P7" s="1" t="inlineStr">
        <is>
          <t>Demonstrator</t>
        </is>
      </c>
      <c r="Q7" s="3">
        <f>IFERROR(AVERAGEIF(Transform!$A$4:$A$1004,Transform!AI7,Transform!$V$4:$V$1004),"")</f>
        <v/>
      </c>
      <c r="R7" s="3">
        <f>IFERROR(AVERAGEIF(Transform!$A$4:$A$1004,Transform!AI7,Transform!$W$4:$W$1004),"")</f>
        <v/>
      </c>
      <c r="S7" s="3">
        <f>IFERROR(AVERAGEIF(Transform!$A$4:$A$1004,Transform!AI7,Transform!$X$4:$X$1004),"")</f>
        <v/>
      </c>
      <c r="T7" s="3" t="n"/>
    </row>
    <row r="8">
      <c r="A8" s="1" t="n">
        <v>5</v>
      </c>
      <c r="B8" s="3">
        <f>AVERAGE(Transform!F4:F1004)</f>
        <v/>
      </c>
      <c r="C8" s="3">
        <f>VAR(Transform!F4:F1004)</f>
        <v/>
      </c>
      <c r="D8" s="3">
        <f>SQRT(C8)</f>
        <v/>
      </c>
      <c r="E8" s="1">
        <f>COUNTA(Data!F4:F1004)</f>
        <v/>
      </c>
      <c r="F8" s="1">
        <f>_xlfn.XLOOKUP(A8, Mapping!A:A, Mapping!B:B, "Unknown")</f>
        <v/>
      </c>
      <c r="G8" s="1" t="n"/>
      <c r="J8" s="6" t="inlineStr">
        <is>
          <t>System</t>
        </is>
      </c>
      <c r="K8" s="11">
        <f>AVERAGE(Transform!B4:S1004)</f>
        <v/>
      </c>
      <c r="L8" s="11">
        <f>VAR(Transform!B4:S1004)</f>
        <v/>
      </c>
      <c r="M8" s="11">
        <f>SQRT(L8)</f>
        <v/>
      </c>
      <c r="P8" s="1" t="n"/>
      <c r="Q8" s="3">
        <f>IFERROR(AVERAGEIF(Transform!$A$4:$A$1004,Transform!AI8,Transform!$V$4:$V$1004),"")</f>
        <v/>
      </c>
      <c r="R8" s="3">
        <f>IFERROR(AVERAGEIF(Transform!$A$4:$A$1004,Transform!AI8,Transform!$W$4:$W$1004),"")</f>
        <v/>
      </c>
      <c r="S8" s="3">
        <f>IFERROR(AVERAGEIF(Transform!$A$4:$A$1004,Transform!AI8,Transform!$X$4:$X$1004),"")</f>
        <v/>
      </c>
      <c r="T8" s="3" t="n"/>
    </row>
    <row r="9">
      <c r="A9" s="1" t="n">
        <v>6</v>
      </c>
      <c r="B9" s="3">
        <f>AVERAGE(Transform!G4:G1004)</f>
        <v/>
      </c>
      <c r="C9" s="3">
        <f>VAR(Transform!G4:G1004)</f>
        <v/>
      </c>
      <c r="D9" s="3">
        <f>SQRT(C9)</f>
        <v/>
      </c>
      <c r="E9" s="1">
        <f>COUNTA(Data!G4:G1004)</f>
        <v/>
      </c>
      <c r="F9" s="1">
        <f>_xlfn.XLOOKUP(A9, Mapping!A:A, Mapping!B:B, "Unknown")</f>
        <v/>
      </c>
      <c r="G9" s="1" t="n"/>
      <c r="P9" s="1" t="n"/>
      <c r="Q9" s="3">
        <f>IFERROR(AVERAGEIF(Transform!$A$4:$A$1004,Transform!AI9,Transform!$V$4:$V$1004),"")</f>
        <v/>
      </c>
      <c r="R9" s="3">
        <f>IFERROR(AVERAGEIF(Transform!$A$4:$A$1004,Transform!AI9,Transform!$W$4:$W$1004),"")</f>
        <v/>
      </c>
      <c r="S9" s="3">
        <f>IFERROR(AVERAGEIF(Transform!$A$4:$A$1004,Transform!AI9,Transform!$X$4:$X$1004),"")</f>
        <v/>
      </c>
      <c r="T9" s="3" t="n"/>
    </row>
    <row r="10">
      <c r="A10" s="1" t="n">
        <v>7</v>
      </c>
      <c r="B10" s="3">
        <f>AVERAGE(Transform!H4:H1004)</f>
        <v/>
      </c>
      <c r="C10" s="3">
        <f>VAR(Transform!H4:H1004)</f>
        <v/>
      </c>
      <c r="D10" s="3">
        <f>SQRT(C10)</f>
        <v/>
      </c>
      <c r="E10" s="1">
        <f>COUNTA(Data!H4:H1004)</f>
        <v/>
      </c>
      <c r="F10" s="1">
        <f>_xlfn.XLOOKUP(A10, Mapping!A:A, Mapping!B:B, "Unknown")</f>
        <v/>
      </c>
      <c r="G10" s="1" t="n"/>
      <c r="P10" s="1" t="n"/>
      <c r="Q10" s="3">
        <f>IFERROR(AVERAGEIF(Transform!$A$4:$A$1004,Transform!AI10,Transform!$V$4:$V$1004),"")</f>
        <v/>
      </c>
      <c r="R10" s="3">
        <f>IFERROR(AVERAGEIF(Transform!$A$4:$A$1004,Transform!AI10,Transform!$W$4:$W$1004),"")</f>
        <v/>
      </c>
      <c r="S10" s="3">
        <f>IFERROR(AVERAGEIF(Transform!$A$4:$A$1004,Transform!AI10,Transform!$X$4:$X$1004),"")</f>
        <v/>
      </c>
      <c r="T10" s="3" t="n"/>
    </row>
    <row r="11">
      <c r="A11" s="1" t="n">
        <v>8</v>
      </c>
      <c r="B11" s="3">
        <f>AVERAGE(Transform!I4:I1004)</f>
        <v/>
      </c>
      <c r="C11" s="3">
        <f>VAR(Transform!I4:I1004)</f>
        <v/>
      </c>
      <c r="D11" s="3">
        <f>SQRT(C11)</f>
        <v/>
      </c>
      <c r="E11" s="1">
        <f>COUNTA(Data!I4:I1004)</f>
        <v/>
      </c>
      <c r="F11" s="1">
        <f>_xlfn.XLOOKUP(A11, Mapping!A:A, Mapping!B:B, "Unknown")</f>
        <v/>
      </c>
      <c r="G11" s="1" t="n"/>
      <c r="P11" s="1" t="n"/>
      <c r="Q11" s="3">
        <f>IFERROR(AVERAGEIF(Transform!$A$4:$A$1004,Transform!AI11,Transform!$V$4:$V$1004),"")</f>
        <v/>
      </c>
      <c r="R11" s="3">
        <f>IFERROR(AVERAGEIF(Transform!$A$4:$A$1004,Transform!AI11,Transform!$W$4:$W$1004),"")</f>
        <v/>
      </c>
      <c r="S11" s="3">
        <f>IFERROR(AVERAGEIF(Transform!$A$4:$A$1004,Transform!AI11,Transform!$X$4:$X$1004),"")</f>
        <v/>
      </c>
      <c r="T11" s="3" t="n"/>
    </row>
    <row r="12">
      <c r="A12" s="1" t="n">
        <v>9</v>
      </c>
      <c r="B12" s="3">
        <f>AVERAGE(Transform!J4:J1004)</f>
        <v/>
      </c>
      <c r="C12" s="3">
        <f>VAR(Transform!J4:J1004)</f>
        <v/>
      </c>
      <c r="D12" s="3">
        <f>SQRT(C12)</f>
        <v/>
      </c>
      <c r="E12" s="1">
        <f>COUNTA(Data!J4:J1004)</f>
        <v/>
      </c>
      <c r="F12" s="1">
        <f>_xlfn.XLOOKUP(A12, Mapping!A:A, Mapping!B:B, "Unknown")</f>
        <v/>
      </c>
      <c r="G12" s="1" t="n"/>
      <c r="P12" s="1" t="n"/>
      <c r="Q12" s="3">
        <f>IFERROR(AVERAGEIF(Transform!$A$4:$A$1004,Transform!AI12,Transform!$V$4:$V$1004),"")</f>
        <v/>
      </c>
      <c r="R12" s="3">
        <f>IFERROR(AVERAGEIF(Transform!$A$4:$A$1004,Transform!AI12,Transform!$W$4:$W$1004),"")</f>
        <v/>
      </c>
      <c r="S12" s="3">
        <f>IFERROR(AVERAGEIF(Transform!$A$4:$A$1004,Transform!AI12,Transform!$X$4:$X$1004),"")</f>
        <v/>
      </c>
      <c r="T12" s="3" t="n"/>
    </row>
    <row r="13">
      <c r="A13" s="1" t="n">
        <v>10</v>
      </c>
      <c r="B13" s="3">
        <f>AVERAGE(Transform!K4:K1004)</f>
        <v/>
      </c>
      <c r="C13" s="3">
        <f>VAR(Transform!K4:K1004)</f>
        <v/>
      </c>
      <c r="D13" s="3">
        <f>SQRT(C13)</f>
        <v/>
      </c>
      <c r="E13" s="1">
        <f>COUNTA(Data!K4:K1004)</f>
        <v/>
      </c>
      <c r="F13" s="1">
        <f>_xlfn.XLOOKUP(A13, Mapping!A:A, Mapping!B:B, "Unknown")</f>
        <v/>
      </c>
      <c r="G13" s="1" t="n"/>
      <c r="P13" s="1" t="n"/>
      <c r="Q13" s="3">
        <f>IFERROR(AVERAGEIF(Transform!$A$4:$A$1004,Transform!AI13,Transform!$V$4:$V$1004),"")</f>
        <v/>
      </c>
      <c r="R13" s="3">
        <f>IFERROR(AVERAGEIF(Transform!$A$4:$A$1004,Transform!AI13,Transform!$W$4:$W$1004),"")</f>
        <v/>
      </c>
      <c r="S13" s="3">
        <f>IFERROR(AVERAGEIF(Transform!$A$4:$A$1004,Transform!AI13,Transform!$X$4:$X$1004),"")</f>
        <v/>
      </c>
      <c r="T13" s="3" t="n"/>
    </row>
    <row r="14">
      <c r="A14" s="1" t="n">
        <v>11</v>
      </c>
      <c r="B14" s="3">
        <f>AVERAGE(Transform!L4:L1004)</f>
        <v/>
      </c>
      <c r="C14" s="3">
        <f>VAR(Transform!L4:L1004)</f>
        <v/>
      </c>
      <c r="D14" s="3">
        <f>SQRT(C14)</f>
        <v/>
      </c>
      <c r="E14" s="1">
        <f>COUNTA(Data!L4:L1004)</f>
        <v/>
      </c>
      <c r="F14" s="1">
        <f>_xlfn.XLOOKUP(A14, Mapping!A:A, Mapping!B:B, "Unknown")</f>
        <v/>
      </c>
      <c r="G14" s="1" t="n"/>
      <c r="P14" s="1" t="n"/>
      <c r="Q14" s="3">
        <f>IFERROR(AVERAGEIF(Transform!$A$4:$A$1004,Transform!AI14,Transform!$V$4:$V$1004),"")</f>
        <v/>
      </c>
      <c r="R14" s="3">
        <f>IFERROR(AVERAGEIF(Transform!$A$4:$A$1004,Transform!AI14,Transform!$W$4:$W$1004),"")</f>
        <v/>
      </c>
      <c r="S14" s="3">
        <f>IFERROR(AVERAGEIF(Transform!$A$4:$A$1004,Transform!AI14,Transform!$X$4:$X$1004),"")</f>
        <v/>
      </c>
      <c r="T14" s="3" t="n"/>
    </row>
    <row r="15">
      <c r="A15" s="1" t="n">
        <v>12</v>
      </c>
      <c r="B15" s="3">
        <f>AVERAGE(Transform!M4:M1004)</f>
        <v/>
      </c>
      <c r="C15" s="3">
        <f>VAR(Transform!M4:M1004)</f>
        <v/>
      </c>
      <c r="D15" s="3">
        <f>SQRT(C15)</f>
        <v/>
      </c>
      <c r="E15" s="1">
        <f>COUNTA(Data!M4:M1004)</f>
        <v/>
      </c>
      <c r="F15" s="1">
        <f>_xlfn.XLOOKUP(A15, Mapping!A:A, Mapping!B:B, "Unknown")</f>
        <v/>
      </c>
      <c r="G15" s="1" t="n"/>
      <c r="P15" s="1" t="n"/>
      <c r="Q15" s="3">
        <f>IFERROR(AVERAGEIF(Transform!$A$4:$A$1004,Transform!AI15,Transform!$V$4:$V$1004),"")</f>
        <v/>
      </c>
      <c r="R15" s="3">
        <f>IFERROR(AVERAGEIF(Transform!$A$4:$A$1004,Transform!AI15,Transform!$W$4:$W$1004),"")</f>
        <v/>
      </c>
      <c r="S15" s="3">
        <f>IFERROR(AVERAGEIF(Transform!$A$4:$A$1004,Transform!AI15,Transform!$X$4:$X$1004),"")</f>
        <v/>
      </c>
      <c r="T15" s="3" t="n"/>
    </row>
    <row r="16">
      <c r="A16" s="1" t="n">
        <v>13</v>
      </c>
      <c r="B16" s="3">
        <f>AVERAGE(Transform!N4:N1004)</f>
        <v/>
      </c>
      <c r="C16" s="3">
        <f>VAR(Transform!N4:N1004)</f>
        <v/>
      </c>
      <c r="D16" s="3">
        <f>SQRT(C16)</f>
        <v/>
      </c>
      <c r="E16" s="1">
        <f>COUNTA(Data!N4:N1004)</f>
        <v/>
      </c>
      <c r="F16" s="1">
        <f>_xlfn.XLOOKUP(A16, Mapping!A:A, Mapping!B:B, "Unknown")</f>
        <v/>
      </c>
      <c r="G16" s="1" t="n"/>
      <c r="P16" s="1" t="n"/>
      <c r="Q16" s="3">
        <f>IFERROR(AVERAGEIF(Transform!$A$4:$A$1004,Transform!AI16,Transform!$V$4:$V$1004),"")</f>
        <v/>
      </c>
      <c r="R16" s="3">
        <f>IFERROR(AVERAGEIF(Transform!$A$4:$A$1004,Transform!AI16,Transform!$W$4:$W$1004),"")</f>
        <v/>
      </c>
      <c r="S16" s="3">
        <f>IFERROR(AVERAGEIF(Transform!$A$4:$A$1004,Transform!AI16,Transform!$X$4:$X$1004),"")</f>
        <v/>
      </c>
      <c r="T16" s="3" t="n"/>
    </row>
    <row r="17">
      <c r="A17" s="1" t="n">
        <v>14</v>
      </c>
      <c r="B17" s="3">
        <f>AVERAGE(Transform!O4:O1004)</f>
        <v/>
      </c>
      <c r="C17" s="3">
        <f>VAR(Transform!O4:O1004)</f>
        <v/>
      </c>
      <c r="D17" s="3">
        <f>SQRT(C17)</f>
        <v/>
      </c>
      <c r="E17" s="1">
        <f>COUNTA(Data!O4:O1004)</f>
        <v/>
      </c>
      <c r="F17" s="1">
        <f>_xlfn.XLOOKUP(A17, Mapping!A:A, Mapping!B:B, "Unknown")</f>
        <v/>
      </c>
      <c r="G17" s="1" t="n"/>
      <c r="P17" s="1" t="n"/>
      <c r="Q17" s="3">
        <f>IFERROR(AVERAGEIF(Transform!$A$4:$A$1004,Transform!AI17,Transform!$V$4:$V$1004),"")</f>
        <v/>
      </c>
      <c r="R17" s="3">
        <f>IFERROR(AVERAGEIF(Transform!$A$4:$A$1004,Transform!AI17,Transform!$W$4:$W$1004),"")</f>
        <v/>
      </c>
      <c r="S17" s="3">
        <f>IFERROR(AVERAGEIF(Transform!$A$4:$A$1004,Transform!AI17,Transform!$X$4:$X$1004),"")</f>
        <v/>
      </c>
      <c r="T17" s="3" t="n"/>
    </row>
    <row r="18">
      <c r="A18" s="1" t="n">
        <v>15</v>
      </c>
      <c r="B18" s="3">
        <f>AVERAGE(Transform!P4:P1004)</f>
        <v/>
      </c>
      <c r="C18" s="3">
        <f>VAR(Transform!P4:P1004)</f>
        <v/>
      </c>
      <c r="D18" s="3">
        <f>SQRT(C18)</f>
        <v/>
      </c>
      <c r="E18" s="1">
        <f>COUNTA(Data!P4:P1004)</f>
        <v/>
      </c>
      <c r="F18" s="1">
        <f>_xlfn.XLOOKUP(A18, Mapping!A:A, Mapping!B:B, "Unknown")</f>
        <v/>
      </c>
      <c r="G18" s="1" t="n"/>
      <c r="P18" s="1" t="n"/>
      <c r="Q18" s="3">
        <f>IFERROR(AVERAGEIF(Transform!$A$4:$A$1004,Transform!AI18,Transform!$V$4:$V$1004),"")</f>
        <v/>
      </c>
      <c r="R18" s="3">
        <f>IFERROR(AVERAGEIF(Transform!$A$4:$A$1004,Transform!AI18,Transform!$W$4:$W$1004),"")</f>
        <v/>
      </c>
      <c r="S18" s="3">
        <f>IFERROR(AVERAGEIF(Transform!$A$4:$A$1004,Transform!AI18,Transform!$X$4:$X$1004),"")</f>
        <v/>
      </c>
      <c r="T18" s="3" t="n"/>
    </row>
    <row r="19">
      <c r="A19" s="1" t="n">
        <v>16</v>
      </c>
      <c r="B19" s="3">
        <f>AVERAGE(Transform!Q4:Q1004)</f>
        <v/>
      </c>
      <c r="C19" s="3">
        <f>VAR(Transform!Q4:Q1004)</f>
        <v/>
      </c>
      <c r="D19" s="3">
        <f>SQRT(C19)</f>
        <v/>
      </c>
      <c r="E19" s="1">
        <f>COUNTA(Data!Q4:Q1004)</f>
        <v/>
      </c>
      <c r="F19" s="1">
        <f>_xlfn.XLOOKUP(A19, Mapping!A:A, Mapping!B:B, "Unknown")</f>
        <v/>
      </c>
      <c r="G19" s="1" t="n"/>
      <c r="P19" s="1" t="n"/>
      <c r="Q19" s="3">
        <f>IFERROR(AVERAGEIF(Transform!$A$4:$A$1004,Transform!AI19,Transform!$V$4:$V$1004),"")</f>
        <v/>
      </c>
      <c r="R19" s="3">
        <f>IFERROR(AVERAGEIF(Transform!$A$4:$A$1004,Transform!AI19,Transform!$W$4:$W$1004),"")</f>
        <v/>
      </c>
      <c r="S19" s="3">
        <f>IFERROR(AVERAGEIF(Transform!$A$4:$A$1004,Transform!AI19,Transform!$X$4:$X$1004),"")</f>
        <v/>
      </c>
      <c r="T19" s="3" t="n"/>
    </row>
    <row r="20">
      <c r="A20" s="1" t="n">
        <v>17</v>
      </c>
      <c r="B20" s="3">
        <f>AVERAGE(Transform!R4:R1004)</f>
        <v/>
      </c>
      <c r="C20" s="3">
        <f>VAR(Transform!R4:R1004)</f>
        <v/>
      </c>
      <c r="D20" s="3">
        <f>SQRT(C20)</f>
        <v/>
      </c>
      <c r="E20" s="1">
        <f>COUNTA(Data!R4:R1004)</f>
        <v/>
      </c>
      <c r="F20" s="1">
        <f>_xlfn.XLOOKUP(A20, Mapping!A:A, Mapping!B:B, "Unknown")</f>
        <v/>
      </c>
      <c r="G20" s="1" t="n"/>
      <c r="P20" s="1" t="n"/>
      <c r="Q20" s="3">
        <f>IFERROR(AVERAGEIF(Transform!$A$4:$A$1004,Transform!AI20,Transform!$V$4:$V$1004),"")</f>
        <v/>
      </c>
      <c r="R20" s="3">
        <f>IFERROR(AVERAGEIF(Transform!$A$4:$A$1004,Transform!AI20,Transform!$W$4:$W$1004),"")</f>
        <v/>
      </c>
      <c r="S20" s="3">
        <f>IFERROR(AVERAGEIF(Transform!$A$4:$A$1004,Transform!AI20,Transform!$X$4:$X$1004),"")</f>
        <v/>
      </c>
      <c r="T20" s="3" t="n"/>
    </row>
    <row r="21">
      <c r="A21" s="1" t="n">
        <v>18</v>
      </c>
      <c r="B21" s="3">
        <f>AVERAGE(Transform!S4:S1004)</f>
        <v/>
      </c>
      <c r="C21" s="3">
        <f>VAR(Transform!S4:S1004)</f>
        <v/>
      </c>
      <c r="D21" s="3">
        <f>SQRT(C21)</f>
        <v/>
      </c>
      <c r="E21" s="1">
        <f>COUNTA(Data!S4:S1004)</f>
        <v/>
      </c>
      <c r="F21" s="1">
        <f>_xlfn.XLOOKUP(A21, Mapping!A:A, Mapping!B:B, "Unknown")</f>
        <v/>
      </c>
      <c r="G21" s="1" t="n"/>
      <c r="P21" s="1" t="n"/>
      <c r="Q21" s="3">
        <f>IFERROR(AVERAGEIF(Transform!$A$4:$A$1004,Transform!AI21,Transform!$V$4:$V$1004),"")</f>
        <v/>
      </c>
      <c r="R21" s="3">
        <f>IFERROR(AVERAGEIF(Transform!$A$4:$A$1004,Transform!AI21,Transform!$W$4:$W$1004),"")</f>
        <v/>
      </c>
      <c r="S21" s="3">
        <f>IFERROR(AVERAGEIF(Transform!$A$4:$A$1004,Transform!AI21,Transform!$X$4:$X$1004),"")</f>
        <v/>
      </c>
      <c r="T21" s="3" t="n"/>
    </row>
    <row r="22">
      <c r="P22" s="1" t="n"/>
      <c r="Q22" s="3">
        <f>IFERROR(AVERAGEIF(Transform!$A$4:$A$1004,Transform!AI22,Transform!$V$4:$V$1004),"")</f>
        <v/>
      </c>
      <c r="R22" s="3">
        <f>IFERROR(AVERAGEIF(Transform!$A$4:$A$1004,Transform!AI22,Transform!$W$4:$W$1004),"")</f>
        <v/>
      </c>
      <c r="S22" s="3">
        <f>IFERROR(AVERAGEIF(Transform!$A$4:$A$1004,Transform!AI22,Transform!$X$4:$X$1004),"")</f>
        <v/>
      </c>
      <c r="T22" s="3" t="n"/>
    </row>
    <row r="23">
      <c r="P23" s="1" t="n"/>
      <c r="Q23" s="3">
        <f>IFERROR(AVERAGEIF(Transform!$A$4:$A$1004,Transform!AI23,Transform!$V$4:$V$1004),"")</f>
        <v/>
      </c>
      <c r="R23" s="3">
        <f>IFERROR(AVERAGEIF(Transform!$A$4:$A$1004,Transform!AI23,Transform!$W$4:$W$1004),"")</f>
        <v/>
      </c>
      <c r="S23" s="3">
        <f>IFERROR(AVERAGEIF(Transform!$A$4:$A$1004,Transform!AI23,Transform!$X$4:$X$1004),"")</f>
        <v/>
      </c>
      <c r="T23" s="3" t="n"/>
    </row>
    <row r="24">
      <c r="P24" s="1" t="n"/>
      <c r="Q24" s="3">
        <f>IFERROR(AVERAGEIF(Transform!$A$4:$A$1004,Transform!AI24,Transform!$V$4:$V$1004),"")</f>
        <v/>
      </c>
      <c r="R24" s="3">
        <f>IFERROR(AVERAGEIF(Transform!$A$4:$A$1004,Transform!AI24,Transform!$W$4:$W$1004),"")</f>
        <v/>
      </c>
      <c r="S24" s="3">
        <f>IFERROR(AVERAGEIF(Transform!$A$4:$A$1004,Transform!AI24,Transform!$X$4:$X$1004),"")</f>
        <v/>
      </c>
      <c r="T24" s="3" t="n"/>
    </row>
    <row r="25">
      <c r="P25" s="1" t="n"/>
      <c r="Q25" s="3">
        <f>IFERROR(AVERAGEIF(Transform!$A$4:$A$1004,Transform!AI25,Transform!$V$4:$V$1004),"")</f>
        <v/>
      </c>
      <c r="R25" s="3">
        <f>IFERROR(AVERAGEIF(Transform!$A$4:$A$1004,Transform!AI25,Transform!$W$4:$W$1004),"")</f>
        <v/>
      </c>
      <c r="S25" s="3">
        <f>IFERROR(AVERAGEIF(Transform!$A$4:$A$1004,Transform!AI25,Transform!$X$4:$X$1004),"")</f>
        <v/>
      </c>
      <c r="T25" s="3" t="n"/>
    </row>
    <row r="26">
      <c r="P26" s="1" t="n"/>
      <c r="Q26" s="3">
        <f>IFERROR(AVERAGEIF(Transform!$A$4:$A$1004,Transform!AI26,Transform!$V$4:$V$1004),"")</f>
        <v/>
      </c>
      <c r="R26" s="3">
        <f>IFERROR(AVERAGEIF(Transform!$A$4:$A$1004,Transform!AI26,Transform!$W$4:$W$1004),"")</f>
        <v/>
      </c>
      <c r="S26" s="3">
        <f>IFERROR(AVERAGEIF(Transform!$A$4:$A$1004,Transform!AI26,Transform!$X$4:$X$1004),"")</f>
        <v/>
      </c>
      <c r="T26" s="3" t="n"/>
    </row>
    <row r="27">
      <c r="P27" s="1" t="n"/>
      <c r="Q27" s="3">
        <f>IFERROR(AVERAGEIF(Transform!$A$4:$A$1004,Transform!AI27,Transform!$V$4:$V$1004),"")</f>
        <v/>
      </c>
      <c r="R27" s="3">
        <f>IFERROR(AVERAGEIF(Transform!$A$4:$A$1004,Transform!AI27,Transform!$W$4:$W$1004),"")</f>
        <v/>
      </c>
      <c r="S27" s="3">
        <f>IFERROR(AVERAGEIF(Transform!$A$4:$A$1004,Transform!AI27,Transform!$X$4:$X$1004),"")</f>
        <v/>
      </c>
      <c r="T27" s="3" t="n"/>
    </row>
    <row r="28">
      <c r="P28" s="1" t="n"/>
      <c r="Q28" s="3">
        <f>IFERROR(AVERAGEIF(Transform!$A$4:$A$1004,Transform!AI28,Transform!$V$4:$V$1004),"")</f>
        <v/>
      </c>
      <c r="R28" s="3">
        <f>IFERROR(AVERAGEIF(Transform!$A$4:$A$1004,Transform!AI28,Transform!$W$4:$W$1004),"")</f>
        <v/>
      </c>
      <c r="S28" s="3">
        <f>IFERROR(AVERAGEIF(Transform!$A$4:$A$1004,Transform!AI28,Transform!$X$4:$X$1004),"")</f>
        <v/>
      </c>
      <c r="T28" s="3" t="n"/>
    </row>
    <row r="29">
      <c r="P29" s="1" t="n"/>
      <c r="Q29" s="3">
        <f>IFERROR(AVERAGEIF(Transform!$A$4:$A$1004,Transform!AI29,Transform!$V$4:$V$1004),"")</f>
        <v/>
      </c>
      <c r="R29" s="3">
        <f>IFERROR(AVERAGEIF(Transform!$A$4:$A$1004,Transform!AI29,Transform!$W$4:$W$1004),"")</f>
        <v/>
      </c>
      <c r="S29" s="3">
        <f>IFERROR(AVERAGEIF(Transform!$A$4:$A$1004,Transform!AI29,Transform!$X$4:$X$1004),"")</f>
        <v/>
      </c>
      <c r="T29" s="3" t="n"/>
    </row>
    <row r="30">
      <c r="P30" s="1" t="n"/>
      <c r="Q30" s="3">
        <f>IFERROR(AVERAGEIF(Transform!$A$4:$A$1004,Transform!AI30,Transform!$V$4:$V$1004),"")</f>
        <v/>
      </c>
      <c r="R30" s="3">
        <f>IFERROR(AVERAGEIF(Transform!$A$4:$A$1004,Transform!AI30,Transform!$W$4:$W$1004),"")</f>
        <v/>
      </c>
      <c r="S30" s="3">
        <f>IFERROR(AVERAGEIF(Transform!$A$4:$A$1004,Transform!AI30,Transform!$X$4:$X$1004),"")</f>
        <v/>
      </c>
      <c r="T30" s="3" t="n"/>
    </row>
    <row r="31">
      <c r="P31" s="1" t="n"/>
      <c r="Q31" s="3">
        <f>IFERROR(AVERAGEIF(Transform!$A$4:$A$1004,Transform!AI31,Transform!$V$4:$V$1004),"")</f>
        <v/>
      </c>
      <c r="R31" s="3">
        <f>IFERROR(AVERAGEIF(Transform!$A$4:$A$1004,Transform!AI31,Transform!$W$4:$W$1004),"")</f>
        <v/>
      </c>
      <c r="S31" s="3">
        <f>IFERROR(AVERAGEIF(Transform!$A$4:$A$1004,Transform!AI31,Transform!$X$4:$X$1004),"")</f>
        <v/>
      </c>
      <c r="T31" s="3" t="n"/>
    </row>
    <row r="32">
      <c r="P32" s="1" t="n"/>
      <c r="Q32" s="3">
        <f>IFERROR(AVERAGEIF(Transform!$A$4:$A$1004,Transform!AI32,Transform!$V$4:$V$1004),"")</f>
        <v/>
      </c>
      <c r="R32" s="3">
        <f>IFERROR(AVERAGEIF(Transform!$A$4:$A$1004,Transform!AI32,Transform!$W$4:$W$1004),"")</f>
        <v/>
      </c>
      <c r="S32" s="3">
        <f>IFERROR(AVERAGEIF(Transform!$A$4:$A$1004,Transform!AI32,Transform!$X$4:$X$1004),"")</f>
        <v/>
      </c>
      <c r="T32" s="3" t="n"/>
    </row>
    <row r="33">
      <c r="P33" s="1" t="n"/>
      <c r="Q33" s="3">
        <f>IFERROR(AVERAGEIF(Transform!$A$4:$A$1004,Transform!AI33,Transform!$V$4:$V$1004),"")</f>
        <v/>
      </c>
      <c r="R33" s="3">
        <f>IFERROR(AVERAGEIF(Transform!$A$4:$A$1004,Transform!AI33,Transform!$W$4:$W$1004),"")</f>
        <v/>
      </c>
      <c r="S33" s="3">
        <f>IFERROR(AVERAGEIF(Transform!$A$4:$A$1004,Transform!AI33,Transform!$X$4:$X$1004),"")</f>
        <v/>
      </c>
      <c r="T33" s="3" t="n"/>
    </row>
    <row r="34">
      <c r="P34" s="1" t="n"/>
      <c r="Q34" s="3">
        <f>IFERROR(AVERAGEIF(Transform!$A$4:$A$1004,Transform!AI34,Transform!$V$4:$V$1004),"")</f>
        <v/>
      </c>
      <c r="R34" s="3">
        <f>IFERROR(AVERAGEIF(Transform!$A$4:$A$1004,Transform!AI34,Transform!$W$4:$W$1004),"")</f>
        <v/>
      </c>
      <c r="S34" s="3">
        <f>IFERROR(AVERAGEIF(Transform!$A$4:$A$1004,Transform!AI34,Transform!$X$4:$X$1004),"")</f>
        <v/>
      </c>
      <c r="T34" s="3" t="n"/>
    </row>
    <row r="35">
      <c r="P35" s="1" t="n"/>
      <c r="Q35" s="3">
        <f>IFERROR(AVERAGEIF(Transform!$A$4:$A$1004,Transform!AI35,Transform!$V$4:$V$1004),"")</f>
        <v/>
      </c>
      <c r="R35" s="3">
        <f>IFERROR(AVERAGEIF(Transform!$A$4:$A$1004,Transform!AI35,Transform!$W$4:$W$1004),"")</f>
        <v/>
      </c>
      <c r="S35" s="3">
        <f>IFERROR(AVERAGEIF(Transform!$A$4:$A$1004,Transform!AI35,Transform!$X$4:$X$1004),"")</f>
        <v/>
      </c>
      <c r="T35" s="3" t="n"/>
    </row>
    <row r="36">
      <c r="P36" s="1" t="n"/>
      <c r="Q36" s="3">
        <f>IFERROR(AVERAGEIF(Transform!$A$4:$A$1004,Transform!AI36,Transform!$V$4:$V$1004),"")</f>
        <v/>
      </c>
      <c r="R36" s="3">
        <f>IFERROR(AVERAGEIF(Transform!$A$4:$A$1004,Transform!AI36,Transform!$W$4:$W$1004),"")</f>
        <v/>
      </c>
      <c r="S36" s="3">
        <f>IFERROR(AVERAGEIF(Transform!$A$4:$A$1004,Transform!AI36,Transform!$X$4:$X$1004),"")</f>
        <v/>
      </c>
      <c r="T36" s="3" t="n"/>
    </row>
    <row r="37">
      <c r="P37" s="1" t="n"/>
      <c r="Q37" s="3">
        <f>IFERROR(AVERAGEIF(Transform!$A$4:$A$1004,Transform!AI37,Transform!$V$4:$V$1004),"")</f>
        <v/>
      </c>
      <c r="R37" s="3">
        <f>IFERROR(AVERAGEIF(Transform!$A$4:$A$1004,Transform!AI37,Transform!$W$4:$W$1004),"")</f>
        <v/>
      </c>
      <c r="S37" s="3">
        <f>IFERROR(AVERAGEIF(Transform!$A$4:$A$1004,Transform!AI37,Transform!$X$4:$X$1004),"")</f>
        <v/>
      </c>
      <c r="T37" s="3" t="n"/>
    </row>
    <row r="38">
      <c r="P38" s="1" t="n"/>
      <c r="Q38" s="3">
        <f>IFERROR(AVERAGEIF(Transform!$A$4:$A$1004,Transform!AI38,Transform!$V$4:$V$1004),"")</f>
        <v/>
      </c>
      <c r="R38" s="3">
        <f>IFERROR(AVERAGEIF(Transform!$A$4:$A$1004,Transform!AI38,Transform!$W$4:$W$1004),"")</f>
        <v/>
      </c>
      <c r="S38" s="3">
        <f>IFERROR(AVERAGEIF(Transform!$A$4:$A$1004,Transform!AI38,Transform!$X$4:$X$1004),"")</f>
        <v/>
      </c>
      <c r="T38" s="3" t="n"/>
    </row>
    <row r="39">
      <c r="P39" s="1" t="n"/>
      <c r="Q39" s="3">
        <f>IFERROR(AVERAGEIF(Transform!$A$4:$A$1004,Transform!AI39,Transform!$V$4:$V$1004),"")</f>
        <v/>
      </c>
      <c r="R39" s="3">
        <f>IFERROR(AVERAGEIF(Transform!$A$4:$A$1004,Transform!AI39,Transform!$W$4:$W$1004),"")</f>
        <v/>
      </c>
      <c r="S39" s="3">
        <f>IFERROR(AVERAGEIF(Transform!$A$4:$A$1004,Transform!AI39,Transform!$X$4:$X$1004),"")</f>
        <v/>
      </c>
      <c r="T39" s="3" t="n"/>
    </row>
    <row r="40">
      <c r="P40" s="1" t="n"/>
      <c r="Q40" s="3">
        <f>IFERROR(AVERAGEIF(Transform!$A$4:$A$1004,Transform!AI40,Transform!$V$4:$V$1004),"")</f>
        <v/>
      </c>
      <c r="R40" s="3">
        <f>IFERROR(AVERAGEIF(Transform!$A$4:$A$1004,Transform!AI40,Transform!$W$4:$W$1004),"")</f>
        <v/>
      </c>
      <c r="S40" s="3">
        <f>IFERROR(AVERAGEIF(Transform!$A$4:$A$1004,Transform!AI40,Transform!$X$4:$X$1004),"")</f>
        <v/>
      </c>
      <c r="T40" s="3" t="n"/>
    </row>
    <row r="41">
      <c r="P41" s="1" t="n"/>
      <c r="Q41" s="3">
        <f>IFERROR(AVERAGEIF(Transform!$A$4:$A$1004,Transform!AI41,Transform!$V$4:$V$1004),"")</f>
        <v/>
      </c>
      <c r="R41" s="3">
        <f>IFERROR(AVERAGEIF(Transform!$A$4:$A$1004,Transform!AI41,Transform!$W$4:$W$1004),"")</f>
        <v/>
      </c>
      <c r="S41" s="3">
        <f>IFERROR(AVERAGEIF(Transform!$A$4:$A$1004,Transform!AI41,Transform!$X$4:$X$1004),"")</f>
        <v/>
      </c>
      <c r="T41" s="3" t="n"/>
    </row>
    <row r="42">
      <c r="P42" s="1" t="n"/>
      <c r="Q42" s="3">
        <f>IFERROR(AVERAGEIF(Transform!$A$4:$A$1004,Transform!AI42,Transform!$V$4:$V$1004),"")</f>
        <v/>
      </c>
      <c r="R42" s="3">
        <f>IFERROR(AVERAGEIF(Transform!$A$4:$A$1004,Transform!AI42,Transform!$W$4:$W$1004),"")</f>
        <v/>
      </c>
      <c r="S42" s="3">
        <f>IFERROR(AVERAGEIF(Transform!$A$4:$A$1004,Transform!AI42,Transform!$X$4:$X$1004),"")</f>
        <v/>
      </c>
      <c r="T42" s="3" t="n"/>
    </row>
    <row r="43">
      <c r="P43" s="1" t="n"/>
      <c r="Q43" s="3">
        <f>IFERROR(AVERAGEIF(Transform!$A$4:$A$1004,Transform!AI43,Transform!$V$4:$V$1004),"")</f>
        <v/>
      </c>
      <c r="R43" s="3">
        <f>IFERROR(AVERAGEIF(Transform!$A$4:$A$1004,Transform!AI43,Transform!$W$4:$W$1004),"")</f>
        <v/>
      </c>
      <c r="S43" s="3">
        <f>IFERROR(AVERAGEIF(Transform!$A$4:$A$1004,Transform!AI43,Transform!$X$4:$X$1004),"")</f>
        <v/>
      </c>
      <c r="T43" s="3" t="n"/>
    </row>
    <row r="44">
      <c r="P44" s="1" t="n"/>
      <c r="Q44" s="3">
        <f>IFERROR(AVERAGEIF(Transform!$A$4:$A$1004,Transform!AI44,Transform!$V$4:$V$1004),"")</f>
        <v/>
      </c>
      <c r="R44" s="3">
        <f>IFERROR(AVERAGEIF(Transform!$A$4:$A$1004,Transform!AI44,Transform!$W$4:$W$1004),"")</f>
        <v/>
      </c>
      <c r="S44" s="3">
        <f>IFERROR(AVERAGEIF(Transform!$A$4:$A$1004,Transform!AI44,Transform!$X$4:$X$1004),"")</f>
        <v/>
      </c>
      <c r="T44" s="3" t="n"/>
    </row>
    <row r="45">
      <c r="P45" s="1" t="n"/>
      <c r="Q45" s="3">
        <f>IFERROR(AVERAGEIF(Transform!$A$4:$A$1004,Transform!AI45,Transform!$V$4:$V$1004),"")</f>
        <v/>
      </c>
      <c r="R45" s="3">
        <f>IFERROR(AVERAGEIF(Transform!$A$4:$A$1004,Transform!AI45,Transform!$W$4:$W$1004),"")</f>
        <v/>
      </c>
      <c r="S45" s="3">
        <f>IFERROR(AVERAGEIF(Transform!$A$4:$A$1004,Transform!AI45,Transform!$X$4:$X$1004),"")</f>
        <v/>
      </c>
      <c r="T45" s="3" t="n"/>
    </row>
    <row r="46">
      <c r="P46" s="1" t="n"/>
      <c r="Q46" s="3">
        <f>IFERROR(AVERAGEIF(Transform!$A$4:$A$1004,Transform!AI46,Transform!$V$4:$V$1004),"")</f>
        <v/>
      </c>
      <c r="R46" s="3">
        <f>IFERROR(AVERAGEIF(Transform!$A$4:$A$1004,Transform!AI46,Transform!$W$4:$W$1004),"")</f>
        <v/>
      </c>
      <c r="S46" s="3">
        <f>IFERROR(AVERAGEIF(Transform!$A$4:$A$1004,Transform!AI46,Transform!$X$4:$X$1004),"")</f>
        <v/>
      </c>
      <c r="T46" s="3" t="n"/>
    </row>
    <row r="47">
      <c r="P47" s="1" t="n"/>
      <c r="Q47" s="3">
        <f>IFERROR(AVERAGEIF(Transform!$A$4:$A$1004,Transform!AI47,Transform!$V$4:$V$1004),"")</f>
        <v/>
      </c>
      <c r="R47" s="3">
        <f>IFERROR(AVERAGEIF(Transform!$A$4:$A$1004,Transform!AI47,Transform!$W$4:$W$1004),"")</f>
        <v/>
      </c>
      <c r="S47" s="3">
        <f>IFERROR(AVERAGEIF(Transform!$A$4:$A$1004,Transform!AI47,Transform!$X$4:$X$1004),"")</f>
        <v/>
      </c>
      <c r="T47" s="3" t="n"/>
    </row>
    <row r="48">
      <c r="P48" s="1" t="n"/>
      <c r="Q48" s="3">
        <f>IFERROR(AVERAGEIF(Transform!$A$4:$A$1004,Transform!AI48,Transform!$V$4:$V$1004),"")</f>
        <v/>
      </c>
      <c r="R48" s="3">
        <f>IFERROR(AVERAGEIF(Transform!$A$4:$A$1004,Transform!AI48,Transform!$W$4:$W$1004),"")</f>
        <v/>
      </c>
      <c r="S48" s="3">
        <f>IFERROR(AVERAGEIF(Transform!$A$4:$A$1004,Transform!AI48,Transform!$X$4:$X$1004),"")</f>
        <v/>
      </c>
      <c r="T48" s="3" t="n"/>
    </row>
    <row r="49">
      <c r="P49" s="1" t="n"/>
      <c r="Q49" s="3">
        <f>IFERROR(AVERAGEIF(Transform!$A$4:$A$1004,Transform!AI49,Transform!$V$4:$V$1004),"")</f>
        <v/>
      </c>
      <c r="R49" s="3">
        <f>IFERROR(AVERAGEIF(Transform!$A$4:$A$1004,Transform!AI49,Transform!$W$4:$W$1004),"")</f>
        <v/>
      </c>
      <c r="S49" s="3">
        <f>IFERROR(AVERAGEIF(Transform!$A$4:$A$1004,Transform!AI49,Transform!$X$4:$X$1004),"")</f>
        <v/>
      </c>
      <c r="T49" s="3" t="n"/>
    </row>
    <row r="50">
      <c r="P50" s="1" t="n"/>
      <c r="Q50" s="3">
        <f>IFERROR(AVERAGEIF(Transform!$A$4:$A$1004,Transform!AI50,Transform!$V$4:$V$1004),"")</f>
        <v/>
      </c>
      <c r="R50" s="3">
        <f>IFERROR(AVERAGEIF(Transform!$A$4:$A$1004,Transform!AI50,Transform!$W$4:$W$1004),"")</f>
        <v/>
      </c>
      <c r="S50" s="3">
        <f>IFERROR(AVERAGEIF(Transform!$A$4:$A$1004,Transform!AI50,Transform!$X$4:$X$1004),"")</f>
        <v/>
      </c>
      <c r="T50" s="3" t="n"/>
    </row>
    <row r="51">
      <c r="P51" s="1" t="n"/>
      <c r="Q51" s="3">
        <f>IFERROR(AVERAGEIF(Transform!$A$4:$A$1004,Transform!AI51,Transform!$V$4:$V$1004),"")</f>
        <v/>
      </c>
      <c r="R51" s="3">
        <f>IFERROR(AVERAGEIF(Transform!$A$4:$A$1004,Transform!AI51,Transform!$W$4:$W$1004),"")</f>
        <v/>
      </c>
      <c r="S51" s="3">
        <f>IFERROR(AVERAGEIF(Transform!$A$4:$A$1004,Transform!AI51,Transform!$X$4:$X$1004),"")</f>
        <v/>
      </c>
      <c r="T51" s="3" t="n"/>
    </row>
    <row r="52">
      <c r="P52" s="1" t="n"/>
      <c r="Q52" s="3">
        <f>IFERROR(AVERAGEIF(Transform!$A$4:$A$1004,Transform!AI52,Transform!$V$4:$V$1004),"")</f>
        <v/>
      </c>
      <c r="R52" s="3">
        <f>IFERROR(AVERAGEIF(Transform!$A$4:$A$1004,Transform!AI52,Transform!$W$4:$W$1004),"")</f>
        <v/>
      </c>
      <c r="S52" s="3">
        <f>IFERROR(AVERAGEIF(Transform!$A$4:$A$1004,Transform!AI52,Transform!$X$4:$X$1004),"")</f>
        <v/>
      </c>
      <c r="T52" s="3" t="n"/>
    </row>
    <row r="53">
      <c r="P53" s="1" t="n"/>
      <c r="Q53" s="3">
        <f>IFERROR(AVERAGEIF(Transform!$A$4:$A$1004,Transform!AI53,Transform!$V$4:$V$1004),"")</f>
        <v/>
      </c>
      <c r="R53" s="3">
        <f>IFERROR(AVERAGEIF(Transform!$A$4:$A$1004,Transform!AI53,Transform!$W$4:$W$1004),"")</f>
        <v/>
      </c>
      <c r="S53" s="3">
        <f>IFERROR(AVERAGEIF(Transform!$A$4:$A$1004,Transform!AI53,Transform!$X$4:$X$1004),"")</f>
        <v/>
      </c>
      <c r="T53" s="3" t="n"/>
    </row>
    <row r="54">
      <c r="P54" s="1" t="n"/>
      <c r="Q54" s="3">
        <f>IFERROR(AVERAGEIF(Transform!$A$4:$A$1004, Transform!AI54, Transform!$V$4:$V$1004), "")</f>
        <v/>
      </c>
      <c r="R54" s="3">
        <f>IFERROR(AVERAGEIF(Transform!$A$4:$A$1004,Transform!AI54,Transform!$W$4:$W$1004), "")</f>
        <v/>
      </c>
      <c r="S54" s="3">
        <f>IFERROR(AVERAGEIF(Transform!$A$4:$A$1004,Transform!AI54,Transform!$X$4:$X$1004), "")</f>
        <v/>
      </c>
      <c r="T54" s="3">
        <f>IFERROR(AVERAGEIF(Transform!$A$4:$A$1004, Transform!AI54, Transform!$Y$4:$Y$1004), "")</f>
        <v/>
      </c>
    </row>
  </sheetData>
  <mergeCells count="3">
    <mergeCell ref="A1:O1"/>
    <mergeCell ref="P2:T2"/>
    <mergeCell ref="J2:M2"/>
  </mergeCells>
  <conditionalFormatting sqref="B4:B21 K4:K8">
    <cfRule type="iconSet" priority="9">
      <iconSet iconSet="3Flags">
        <cfvo type="percent" val="0"/>
        <cfvo type="num" val="2.5"/>
        <cfvo type="num" val="3.5"/>
      </iconSet>
    </cfRule>
  </conditionalFormatting>
  <conditionalFormatting sqref="G4:G21">
    <cfRule type="expression" priority="5" dxfId="3">
      <formula>F4="Effectiveness"</formula>
    </cfRule>
    <cfRule type="expression" priority="6" dxfId="2">
      <formula>F4="Effectiveness"</formula>
    </cfRule>
    <cfRule type="expression" priority="7" dxfId="1" stopIfTrue="1">
      <formula>F4="Satisfaction"</formula>
    </cfRule>
    <cfRule type="expression" priority="8" dxfId="0" stopIfTrue="1">
      <formula>F4="Utility"</formula>
    </cfRule>
  </conditionalFormatting>
  <conditionalFormatting sqref="Q4:Q54">
    <cfRule type="iconSet" priority="4">
      <iconSet iconSet="3Flags">
        <cfvo type="percent" val="0"/>
        <cfvo type="num" val="2.5"/>
        <cfvo type="num" val="3.5"/>
      </iconSet>
    </cfRule>
  </conditionalFormatting>
  <conditionalFormatting sqref="R4:R54">
    <cfRule type="iconSet" priority="3">
      <iconSet iconSet="3Flags">
        <cfvo type="percent" val="0"/>
        <cfvo type="num" val="2.5"/>
        <cfvo type="num" val="3.5"/>
      </iconSet>
    </cfRule>
  </conditionalFormatting>
  <conditionalFormatting sqref="S4:S54">
    <cfRule type="iconSet" priority="2">
      <iconSet iconSet="3Flags">
        <cfvo type="percent" val="0"/>
        <cfvo type="num" val="2.5"/>
        <cfvo type="num" val="3.5"/>
      </iconSet>
    </cfRule>
  </conditionalFormatting>
  <conditionalFormatting sqref="T4:T54">
    <cfRule type="iconSet" priority="1">
      <iconSet iconSet="3Flags">
        <cfvo type="percent" val="0"/>
        <cfvo type="num" val="2.5"/>
        <cfvo type="num" val="3.5"/>
      </iconSet>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6">
    <outlinePr summaryBelow="1" summaryRight="1"/>
    <pageSetUpPr/>
  </sheetPr>
  <dimension ref="A1:AT62"/>
  <sheetViews>
    <sheetView topLeftCell="F2" zoomScale="75" zoomScaleNormal="100" workbookViewId="0">
      <selection activeCell="O16" sqref="O16"/>
    </sheetView>
  </sheetViews>
  <sheetFormatPr baseColWidth="10" defaultRowHeight="15"/>
  <cols>
    <col width="32.83203125" bestFit="1" customWidth="1" min="1" max="1"/>
    <col width="7.6640625" bestFit="1" customWidth="1" min="3" max="3"/>
    <col width="16.83203125" bestFit="1" customWidth="1" min="7" max="7"/>
    <col width="15.6640625" bestFit="1" customWidth="1" min="8" max="8"/>
    <col width="21" bestFit="1" customWidth="1" min="11" max="11"/>
    <col width="12.1640625" bestFit="1" customWidth="1" min="12" max="12"/>
    <col width="14.5" bestFit="1" customWidth="1" min="13" max="13"/>
    <col width="14.6640625" bestFit="1" customWidth="1" min="14" max="14"/>
    <col width="16.6640625" bestFit="1" customWidth="1" min="16" max="16"/>
    <col width="15.6640625" bestFit="1" customWidth="1" min="17" max="17"/>
    <col width="16.83203125" bestFit="1" customWidth="1" min="18" max="18"/>
    <col width="12.83203125" bestFit="1" customWidth="1" min="20" max="20"/>
    <col width="13" bestFit="1" customWidth="1" min="21" max="21"/>
    <col width="14.83203125" bestFit="1" customWidth="1" min="23" max="23"/>
    <col width="16.83203125" bestFit="1" customWidth="1" min="24" max="25"/>
    <col width="13.5" bestFit="1" customWidth="1" min="26" max="26"/>
    <col width="15.83203125" bestFit="1" customWidth="1" min="27" max="27"/>
    <col width="16" bestFit="1" customWidth="1" min="28" max="28"/>
    <col width="12" bestFit="1" customWidth="1" min="29" max="29"/>
    <col width="18" bestFit="1" customWidth="1" min="30" max="30"/>
    <col width="24.33203125" bestFit="1" customWidth="1" min="31" max="31"/>
    <col width="15.6640625" bestFit="1" customWidth="1" min="32" max="32"/>
    <col width="14.83203125" bestFit="1" customWidth="1" min="33" max="33"/>
    <col width="17.33203125" bestFit="1" customWidth="1" min="34" max="34"/>
    <col width="17.5" bestFit="1" customWidth="1" min="35" max="35"/>
    <col width="13.33203125" bestFit="1" customWidth="1" min="36" max="36"/>
    <col width="19.33203125" bestFit="1" customWidth="1" min="37" max="37"/>
    <col width="16.83203125" bestFit="1" customWidth="1" min="38" max="39"/>
    <col width="13.33203125" bestFit="1" customWidth="1" min="41" max="41"/>
    <col width="13.5" bestFit="1" customWidth="1" min="42" max="42"/>
    <col width="15.33203125" bestFit="1" customWidth="1" min="44" max="44"/>
    <col width="21.83203125" bestFit="1" customWidth="1" min="45" max="45"/>
  </cols>
  <sheetData>
    <row r="1" ht="202" customHeight="1" thickBot="1" thickTop="1">
      <c r="A1" s="88" t="inlineStr">
        <is>
          <t xml:space="preserve">Confidence Intervals
This sheet calculates confidence intervals for XEQ scores at three levels:
(1) Per Statement – Confidence interval for each individual question
(2) Per Factor – Interval for each XEQ factor
(3) Per Stakeholder – Interval for each stakeholder group's factor scores
Intervals adjust based on the selected confidence level, below (default=95%). The higher the confidence level, the more precise the estimate of scale mean is and helps you to trust your results more. All other data updates automatically — no manual changes required.
</t>
        </is>
      </c>
      <c r="B1" s="72" t="n"/>
      <c r="C1" s="72" t="n"/>
      <c r="D1" s="72" t="n"/>
      <c r="E1" s="72" t="n"/>
      <c r="F1" s="72" t="n"/>
      <c r="G1" s="72" t="n"/>
      <c r="H1" s="72" t="n"/>
      <c r="I1" s="72" t="n"/>
      <c r="J1" s="72" t="n"/>
      <c r="K1" s="72" t="n"/>
      <c r="L1" s="72" t="n"/>
      <c r="M1" s="72" t="n"/>
      <c r="N1" s="72" t="n"/>
      <c r="O1" s="72" t="n"/>
      <c r="P1" s="72" t="n"/>
      <c r="Q1" s="72" t="n"/>
      <c r="R1" s="73" t="n"/>
    </row>
    <row r="2" ht="20" customHeight="1" thickTop="1">
      <c r="A2" s="13" t="inlineStr">
        <is>
          <t>Choose Your Confidence Level:</t>
        </is>
      </c>
      <c r="B2" s="18" t="n">
        <v>95</v>
      </c>
      <c r="C2" s="13" t="inlineStr">
        <is>
          <t>Alpha:</t>
        </is>
      </c>
      <c r="D2" s="14">
        <f>1-(B2/100)</f>
        <v/>
      </c>
      <c r="K2" s="99" t="inlineStr">
        <is>
          <t>XEQ Score Per Factor</t>
        </is>
      </c>
      <c r="L2" s="83" t="n"/>
      <c r="M2" s="83" t="n"/>
      <c r="N2" s="83" t="n"/>
      <c r="O2" s="83" t="n"/>
      <c r="P2" s="83" t="n"/>
      <c r="Q2" s="83" t="n"/>
      <c r="R2" s="90" t="n"/>
    </row>
    <row r="3">
      <c r="A3" s="61" t="inlineStr">
        <is>
          <t>XEQ Score Per Item</t>
        </is>
      </c>
      <c r="B3" s="100" t="n"/>
      <c r="C3" s="100" t="n"/>
      <c r="D3" s="100" t="n"/>
      <c r="E3" s="100" t="n"/>
      <c r="F3" s="100" t="n"/>
      <c r="G3" s="100" t="n"/>
      <c r="H3" s="100" t="n"/>
      <c r="K3" s="2" t="inlineStr">
        <is>
          <t>Factor</t>
        </is>
      </c>
      <c r="L3" s="8" t="inlineStr">
        <is>
          <t>Mean</t>
        </is>
      </c>
      <c r="M3" s="8" t="inlineStr">
        <is>
          <t>Variance</t>
        </is>
      </c>
      <c r="N3" s="8" t="inlineStr">
        <is>
          <t>Std. Dev.</t>
        </is>
      </c>
      <c r="O3" s="2" t="inlineStr">
        <is>
          <t>No.</t>
        </is>
      </c>
      <c r="P3" s="9" t="inlineStr">
        <is>
          <t>Confidence</t>
        </is>
      </c>
      <c r="Q3" s="57" t="inlineStr">
        <is>
          <t>Confidence Interval</t>
        </is>
      </c>
      <c r="R3" s="94" t="n"/>
    </row>
    <row r="4">
      <c r="A4" s="15" t="inlineStr">
        <is>
          <t>Item</t>
        </is>
      </c>
      <c r="B4" s="16" t="inlineStr">
        <is>
          <t>Mean</t>
        </is>
      </c>
      <c r="C4" s="16" t="inlineStr">
        <is>
          <t>Variance</t>
        </is>
      </c>
      <c r="D4" s="16" t="inlineStr">
        <is>
          <t>Std. Dev.</t>
        </is>
      </c>
      <c r="E4" s="15" t="inlineStr">
        <is>
          <t>No.</t>
        </is>
      </c>
      <c r="F4" s="17" t="inlineStr">
        <is>
          <t>Confidence</t>
        </is>
      </c>
      <c r="G4" s="101" t="inlineStr">
        <is>
          <t>Confidence Interval</t>
        </is>
      </c>
      <c r="H4" s="102" t="n"/>
      <c r="K4" s="1" t="inlineStr">
        <is>
          <t>Utility</t>
        </is>
      </c>
      <c r="L4" s="3">
        <f>AVERAGE(Transform!V$4:V$1004)</f>
        <v/>
      </c>
      <c r="M4" s="3">
        <f>VAR(Transform!V4:V1004)</f>
        <v/>
      </c>
      <c r="N4" s="3">
        <f>SQRT(M4)</f>
        <v/>
      </c>
      <c r="O4" s="1">
        <f>COUNT(Transform!V4:V1004)</f>
        <v/>
      </c>
      <c r="P4" s="10">
        <f>IF(AND(ISNUMBER(N4),O4&gt;0),CONFIDENCE(D2,N4,O4),"")</f>
        <v/>
      </c>
      <c r="Q4" s="10">
        <f>IF(AND(ISNUMBER(L4),ISNUMBER(P4)),L4-P4,"")</f>
        <v/>
      </c>
      <c r="R4" s="10">
        <f>IF(AND(ISNUMBER(L4),ISNUMBER(P4)),L4+P4,"")</f>
        <v/>
      </c>
    </row>
    <row r="5">
      <c r="A5" s="1" t="n">
        <v>1</v>
      </c>
      <c r="B5" s="3">
        <f>AVERAGE(Transform!B4:B1004)</f>
        <v/>
      </c>
      <c r="C5" s="3">
        <f>VAR(Transform!B4:B1004)</f>
        <v/>
      </c>
      <c r="D5" s="3">
        <f>SQRT(C5)</f>
        <v/>
      </c>
      <c r="E5" s="1">
        <f>COUNTA(Data!B4:B1004)</f>
        <v/>
      </c>
      <c r="F5" s="10">
        <f>CONFIDENCE(D2,D5, E5)</f>
        <v/>
      </c>
      <c r="G5" s="10">
        <f>B5-F5</f>
        <v/>
      </c>
      <c r="H5" s="10">
        <f>B5+F5</f>
        <v/>
      </c>
      <c r="K5" s="1" t="inlineStr">
        <is>
          <t>Satisfaction</t>
        </is>
      </c>
      <c r="L5" s="3">
        <f>AVERAGE(Transform!W$4:W$1004)</f>
        <v/>
      </c>
      <c r="M5" s="3">
        <f>VAR(Transform!W4:W1004)</f>
        <v/>
      </c>
      <c r="N5" s="3">
        <f>SQRT(M5)</f>
        <v/>
      </c>
      <c r="O5" s="1">
        <f>COUNT(Transform!W4:W1004)</f>
        <v/>
      </c>
      <c r="P5" s="10">
        <f>IF(AND(ISNUMBER(N5),O5&gt;0),CONFIDENCE(D2,N5,O5),"")</f>
        <v/>
      </c>
      <c r="Q5" s="10">
        <f>IF(AND(ISNUMBER(L5),ISNUMBER(P5)),L5-P5,"")</f>
        <v/>
      </c>
      <c r="R5" s="10">
        <f>IF(AND(ISNUMBER(L5),ISNUMBER(P5)),L5+P5,"")</f>
        <v/>
      </c>
    </row>
    <row r="6">
      <c r="A6" s="1" t="n">
        <v>2</v>
      </c>
      <c r="B6" s="3">
        <f>AVERAGE(Transform!C4:C1004)</f>
        <v/>
      </c>
      <c r="C6" s="3">
        <f>VAR(Transform!C4:C1004)</f>
        <v/>
      </c>
      <c r="D6" s="3">
        <f>SQRT(C6)</f>
        <v/>
      </c>
      <c r="E6" s="1">
        <f>COUNTA(Data!C4:C1004)</f>
        <v/>
      </c>
      <c r="F6" s="10">
        <f>CONFIDENCE(D2,D6, E6)</f>
        <v/>
      </c>
      <c r="G6" s="10">
        <f>B6-F6</f>
        <v/>
      </c>
      <c r="H6" s="10">
        <f>B6+F6</f>
        <v/>
      </c>
      <c r="K6" s="1" t="inlineStr">
        <is>
          <t>Effectiveness</t>
        </is>
      </c>
      <c r="L6" s="3">
        <f>AVERAGE(Transform!X$4:X$1004)</f>
        <v/>
      </c>
      <c r="M6" s="3">
        <f>VAR(Transform!X4:X1004)</f>
        <v/>
      </c>
      <c r="N6" s="3">
        <f>SQRT(M6)</f>
        <v/>
      </c>
      <c r="O6" s="1">
        <f>COUNT(Transform!X4:X1004)</f>
        <v/>
      </c>
      <c r="P6" s="10">
        <f>IF(AND(ISNUMBER(N6),O6&gt;0),CONFIDENCE(D2,N6,O6),"")</f>
        <v/>
      </c>
      <c r="Q6" s="10">
        <f>IF(AND(ISNUMBER(L6),ISNUMBER(P6)),L6-P6,"")</f>
        <v/>
      </c>
      <c r="R6" s="10">
        <f>IF(AND(ISNUMBER(L6),ISNUMBER(P6)),L6+P6,"")</f>
        <v/>
      </c>
    </row>
    <row r="7">
      <c r="A7" s="1" t="n">
        <v>3</v>
      </c>
      <c r="B7" s="3">
        <f>AVERAGE(Transform!D4:D1004)</f>
        <v/>
      </c>
      <c r="C7" s="3">
        <f>VAR(Transform!D4:D1004)</f>
        <v/>
      </c>
      <c r="D7" s="3">
        <f>SQRT(C7)</f>
        <v/>
      </c>
      <c r="E7" s="1">
        <f>COUNTA(Data!D4:D1004)</f>
        <v/>
      </c>
      <c r="F7" s="10">
        <f>CONFIDENCE(D2,D7, E7)</f>
        <v/>
      </c>
      <c r="G7" s="10">
        <f>B7-F7</f>
        <v/>
      </c>
      <c r="H7" s="10">
        <f>B7+F7</f>
        <v/>
      </c>
      <c r="K7" s="1" t="inlineStr">
        <is>
          <t>System</t>
        </is>
      </c>
      <c r="L7" s="3">
        <f>AVERAGE(Transform!B4:S1004)</f>
        <v/>
      </c>
      <c r="M7" s="3">
        <f>VAR(Transform!B4:S1004)</f>
        <v/>
      </c>
      <c r="N7" s="3">
        <f>SQRT(M7)</f>
        <v/>
      </c>
      <c r="O7" s="1">
        <f>COUNT(Transform!B4:S1004)</f>
        <v/>
      </c>
      <c r="P7" s="10">
        <f>IF(AND(ISNUMBER(N7),O7&gt;0),CONFIDENCE(D2,N7,O7),"")</f>
        <v/>
      </c>
      <c r="Q7" s="10">
        <f>IF(AND(ISNUMBER(L7),ISNUMBER(P7)),L7-P7,"")</f>
        <v/>
      </c>
      <c r="R7" s="10">
        <f>IF(AND(ISNUMBER(L7),ISNUMBER(P7)),L7+P7,"")</f>
        <v/>
      </c>
    </row>
    <row r="8">
      <c r="A8" s="1" t="n">
        <v>4</v>
      </c>
      <c r="B8" s="3">
        <f>AVERAGE(Transform!E4:E1004)</f>
        <v/>
      </c>
      <c r="C8" s="3">
        <f>VAR(Transform!E4:E1004)</f>
        <v/>
      </c>
      <c r="D8" s="3">
        <f>SQRT(C8)</f>
        <v/>
      </c>
      <c r="E8" s="1">
        <f>COUNTA(Data!E4:E1004)</f>
        <v/>
      </c>
      <c r="F8" s="10">
        <f>CONFIDENCE(D2,D8, E8)</f>
        <v/>
      </c>
      <c r="G8" s="10">
        <f>B8-F8</f>
        <v/>
      </c>
      <c r="H8" s="10">
        <f>B8+F8</f>
        <v/>
      </c>
      <c r="K8" s="1" t="n"/>
      <c r="L8" s="3" t="n"/>
      <c r="M8" s="3" t="n"/>
      <c r="N8" s="3" t="n"/>
      <c r="O8" s="1" t="n"/>
      <c r="P8" s="10" t="n"/>
      <c r="Q8" s="10" t="n"/>
      <c r="R8" s="10" t="n"/>
    </row>
    <row r="9">
      <c r="A9" s="1" t="n">
        <v>5</v>
      </c>
      <c r="B9" s="3">
        <f>AVERAGE(Transform!F4:F1004)</f>
        <v/>
      </c>
      <c r="C9" s="3">
        <f>VAR(Transform!F4:F1004)</f>
        <v/>
      </c>
      <c r="D9" s="3">
        <f>SQRT(C9)</f>
        <v/>
      </c>
      <c r="E9" s="1">
        <f>COUNTA(Data!F4:F1004)</f>
        <v/>
      </c>
      <c r="F9" s="10">
        <f>CONFIDENCE(D2,D9, E9)</f>
        <v/>
      </c>
      <c r="G9" s="10">
        <f>B9-F9</f>
        <v/>
      </c>
      <c r="H9" s="10">
        <f>B9+F9</f>
        <v/>
      </c>
    </row>
    <row r="10">
      <c r="A10" s="1" t="n">
        <v>6</v>
      </c>
      <c r="B10" s="3">
        <f>AVERAGE(Transform!G4:G1004)</f>
        <v/>
      </c>
      <c r="C10" s="3">
        <f>VAR(Transform!G4:G1004)</f>
        <v/>
      </c>
      <c r="D10" s="3">
        <f>SQRT(C10)</f>
        <v/>
      </c>
      <c r="E10" s="1">
        <f>COUNTA(Data!G4:G1004)</f>
        <v/>
      </c>
      <c r="F10" s="10">
        <f>CONFIDENCE(D2,D10, E10)</f>
        <v/>
      </c>
      <c r="G10" s="10">
        <f>B10-F10</f>
        <v/>
      </c>
      <c r="H10" s="10">
        <f>B10+F10</f>
        <v/>
      </c>
      <c r="K10" s="103" t="inlineStr">
        <is>
          <t>XEQ Scores By Stakeholder</t>
        </is>
      </c>
      <c r="L10" s="93" t="n"/>
      <c r="M10" s="93" t="n"/>
      <c r="N10" s="93" t="n"/>
      <c r="O10" s="93" t="n"/>
      <c r="P10" s="93" t="n"/>
      <c r="Q10" s="93" t="n"/>
      <c r="R10" s="93" t="n"/>
      <c r="S10" s="93" t="n"/>
      <c r="T10" s="93" t="n"/>
      <c r="U10" s="93" t="n"/>
      <c r="V10" s="93" t="n"/>
      <c r="W10" s="93" t="n"/>
      <c r="X10" s="93" t="n"/>
      <c r="Y10" s="93" t="n"/>
      <c r="Z10" s="93" t="n"/>
      <c r="AA10" s="93" t="n"/>
      <c r="AB10" s="93" t="n"/>
      <c r="AC10" s="93" t="n"/>
      <c r="AD10" s="93" t="n"/>
      <c r="AE10" s="93" t="n"/>
      <c r="AF10" s="93" t="n"/>
      <c r="AG10" s="93" t="n"/>
      <c r="AH10" s="93" t="n"/>
      <c r="AI10" s="93" t="n"/>
      <c r="AJ10" s="93" t="n"/>
      <c r="AK10" s="93" t="n"/>
      <c r="AL10" s="93" t="n"/>
      <c r="AM10" s="93" t="n"/>
      <c r="AN10" s="93" t="n"/>
      <c r="AO10" s="93" t="n"/>
      <c r="AP10" s="93" t="n"/>
      <c r="AQ10" s="93" t="n"/>
      <c r="AR10" s="93" t="n"/>
      <c r="AS10" s="93" t="n"/>
      <c r="AT10" s="94" t="n"/>
    </row>
    <row r="11">
      <c r="A11" s="1" t="n">
        <v>7</v>
      </c>
      <c r="B11" s="3">
        <f>AVERAGE(Transform!H4:H1004)</f>
        <v/>
      </c>
      <c r="C11" s="3">
        <f>VAR(Transform!H4:H1004)</f>
        <v/>
      </c>
      <c r="D11" s="3">
        <f>SQRT(C11)</f>
        <v/>
      </c>
      <c r="E11" s="1">
        <f>COUNTA(Data!H4:H1004)</f>
        <v/>
      </c>
      <c r="F11" s="10">
        <f>CONFIDENCE(D2,D11, E11)</f>
        <v/>
      </c>
      <c r="G11" s="10">
        <f>B11-F11</f>
        <v/>
      </c>
      <c r="H11" s="10">
        <f>B11+F11</f>
        <v/>
      </c>
      <c r="K11" s="2" t="inlineStr">
        <is>
          <t>Stakeholder</t>
        </is>
      </c>
      <c r="L11" s="2" t="inlineStr">
        <is>
          <t>Utility Mean</t>
        </is>
      </c>
      <c r="M11" s="2" t="inlineStr">
        <is>
          <t>Utility Variance</t>
        </is>
      </c>
      <c r="N11" s="2" t="inlineStr">
        <is>
          <t>Utility Std. Dev.</t>
        </is>
      </c>
      <c r="O11" s="2" t="inlineStr">
        <is>
          <t>Utility No.</t>
        </is>
      </c>
      <c r="P11" s="2" t="inlineStr">
        <is>
          <t>Utility Confidence</t>
        </is>
      </c>
      <c r="Q11" s="57" t="inlineStr">
        <is>
          <t>Utility Confidence Interval</t>
        </is>
      </c>
      <c r="R11" s="94" t="n"/>
      <c r="S11" s="2" t="inlineStr">
        <is>
          <t>Satisfaction Mean</t>
        </is>
      </c>
      <c r="T11" s="2" t="inlineStr">
        <is>
          <t>Satisfaction Variance</t>
        </is>
      </c>
      <c r="U11" s="2" t="inlineStr">
        <is>
          <t>Satisfaction Std. Dev.</t>
        </is>
      </c>
      <c r="V11" s="2" t="inlineStr">
        <is>
          <t>Satisfaction No.</t>
        </is>
      </c>
      <c r="W11" s="2" t="inlineStr">
        <is>
          <t>Satisfaction Confidence</t>
        </is>
      </c>
      <c r="X11" s="57" t="inlineStr">
        <is>
          <t>Satisfaction Confidence Interval</t>
        </is>
      </c>
      <c r="Y11" s="94" t="n"/>
      <c r="Z11" s="2" t="inlineStr">
        <is>
          <t>Effectiveness Mean</t>
        </is>
      </c>
      <c r="AA11" s="2" t="inlineStr">
        <is>
          <t>Effectiveness Variance</t>
        </is>
      </c>
      <c r="AB11" s="2" t="inlineStr">
        <is>
          <t>Effectiveness Std. Dev.</t>
        </is>
      </c>
      <c r="AC11" s="2" t="inlineStr">
        <is>
          <t>Effectiveness No.</t>
        </is>
      </c>
      <c r="AD11" s="2" t="inlineStr">
        <is>
          <t>Effectiveness Confidence</t>
        </is>
      </c>
      <c r="AE11" s="57" t="inlineStr">
        <is>
          <t>Effectiveness Confidence Interval</t>
        </is>
      </c>
      <c r="AF11" s="94" t="n"/>
      <c r="AG11" s="2" t="n"/>
      <c r="AH11" s="2" t="n"/>
      <c r="AI11" s="2" t="n"/>
      <c r="AJ11" s="2" t="n"/>
      <c r="AK11" s="2" t="n"/>
      <c r="AL11" s="57" t="n"/>
      <c r="AM11" s="94" t="n"/>
      <c r="AN11" s="2" t="inlineStr">
        <is>
          <t>System Mean</t>
        </is>
      </c>
      <c r="AO11" s="2" t="inlineStr">
        <is>
          <t>System Variance</t>
        </is>
      </c>
      <c r="AP11" s="2" t="inlineStr">
        <is>
          <t>System Std. Dev.</t>
        </is>
      </c>
      <c r="AQ11" s="2" t="inlineStr">
        <is>
          <t>System No.</t>
        </is>
      </c>
      <c r="AR11" s="2" t="inlineStr">
        <is>
          <t>System Confidence</t>
        </is>
      </c>
      <c r="AS11" s="57" t="inlineStr">
        <is>
          <t>System Confidence Interval</t>
        </is>
      </c>
      <c r="AT11" s="94" t="n"/>
    </row>
    <row r="12">
      <c r="A12" s="1" t="n">
        <v>8</v>
      </c>
      <c r="B12" s="3">
        <f>AVERAGE(Transform!I4:I1004)</f>
        <v/>
      </c>
      <c r="C12" s="3">
        <f>VAR(Transform!I4:I1004)</f>
        <v/>
      </c>
      <c r="D12" s="3">
        <f>SQRT(C12)</f>
        <v/>
      </c>
      <c r="E12" s="1">
        <f>COUNTA(Data!I4:I1004)</f>
        <v/>
      </c>
      <c r="F12" s="10">
        <f>CONFIDENCE(D2,D12, E12)</f>
        <v/>
      </c>
      <c r="G12" s="10">
        <f>B12-F12</f>
        <v/>
      </c>
      <c r="H12" s="10">
        <f>B12+F12</f>
        <v/>
      </c>
      <c r="K12" s="1">
        <f t="array" ref="K12:K15">_xlfn._xlws.FILTER(Stakeholders!A3:A50, Stakeholders!A3:A50&lt;&gt;"")</f>
        <v/>
      </c>
      <c r="L12" s="3">
        <f>IFERROR(AVERAGEIF(Transform!$A$4:$A$1004,Transform!AI4,Transform!$V$4:$V$1004),"")</f>
        <v/>
      </c>
      <c r="M12" s="3">
        <f>IFERROR(VAR(FILTER(Transform!$V$4:$V$1004,Transform!$A$4:$A$1004=Transform!AI4)),"")</f>
        <v/>
      </c>
      <c r="N12" s="3">
        <f>IF(ISNUMBER(M12),SQRT(M12),"")</f>
        <v/>
      </c>
      <c r="O12" s="1">
        <f>COUNT(FILTER(Transform!$V$4:$V$1004,Transform!$A$4:$A$1004=Transform!AI4))</f>
        <v/>
      </c>
      <c r="P12" s="10">
        <f>IF(AND(ISNUMBER(N12),O12&gt;0),CONFIDENCE($D$2,N12,O12),"")</f>
        <v/>
      </c>
      <c r="Q12" s="10">
        <f>IF(AND(ISNUMBER(L12),ISNUMBER(P12)),L12-P12,"")</f>
        <v/>
      </c>
      <c r="R12" s="10">
        <f>IF(AND(ISNUMBER(L12),ISNUMBER(P12)),L12+P12,"")</f>
        <v/>
      </c>
      <c r="S12" s="3">
        <f>IFERROR(AVERAGEIF(Transform!$A$4:$A$1004,Transform!AI4,Transform!$W$4:$W$1004),"")</f>
        <v/>
      </c>
      <c r="T12" s="3">
        <f>IFERROR(VAR(FILTER(Transform!$W$4:$W$1004,Transform!$A$4:$A$1004=Transform!AI4)),"")</f>
        <v/>
      </c>
      <c r="U12" s="3">
        <f>IF(ISNUMBER(T12),SQRT(T12),"")</f>
        <v/>
      </c>
      <c r="V12" s="1">
        <f>COUNT(FILTER(Transform!$W$4:$W$1004,Transform!$A$4:$A$1004=Transform!AI4))</f>
        <v/>
      </c>
      <c r="W12" s="10">
        <f>IF(AND(ISNUMBER(U12),V12&gt;0),CONFIDENCE($D$2,U12,V12),"")</f>
        <v/>
      </c>
      <c r="X12" s="10">
        <f>IF(AND(ISNUMBER(S12),ISNUMBER(W12)),S12-W12,"")</f>
        <v/>
      </c>
      <c r="Y12" s="10">
        <f>IF(AND(ISNUMBER(S12),ISNUMBER(W12)),S12+W12,"")</f>
        <v/>
      </c>
      <c r="Z12" s="3">
        <f>IFERROR(AVERAGEIF(Transform!$A$4:$A$1004,Transform!AI4,Transform!$X$4:$X$1004),"")</f>
        <v/>
      </c>
      <c r="AA12" s="3">
        <f>IFERROR(VAR(FILTER(Transform!$X$4:$X$1004,Transform!$A$4:$A$1004=Transform!AI4)),"")</f>
        <v/>
      </c>
      <c r="AB12" s="3">
        <f>IF(ISNUMBER(AA12),SQRT(AA12),"")</f>
        <v/>
      </c>
      <c r="AC12" s="1">
        <f>COUNT(FILTER(Transform!$X$4:$X$1004,Transform!$A$4:$A$1004=Transform!AI4))</f>
        <v/>
      </c>
      <c r="AD12" s="10">
        <f>IF(AND(ISNUMBER(AB12),AC12&gt;0),CONFIDENCE($D$2,AB12,AC12),"")</f>
        <v/>
      </c>
      <c r="AE12" s="10">
        <f>IF(AND(ISNUMBER(Z12),ISNUMBER(AD12)),Z12-AD12,"")</f>
        <v/>
      </c>
      <c r="AF12" s="10">
        <f>IF(AND(ISNUMBER(Z12),ISNUMBER(AD12)),Z12+AD12,"")</f>
        <v/>
      </c>
      <c r="AG12" s="12" t="n"/>
      <c r="AH12" s="3" t="n"/>
      <c r="AI12" s="3" t="n"/>
      <c r="AJ12" s="1" t="n"/>
      <c r="AK12" s="10" t="n"/>
      <c r="AL12" s="10" t="n"/>
      <c r="AM12" s="10" t="n"/>
      <c r="AN12" s="3">
        <f>IFERROR(AVERAGEIF(Transform!$A$4:$A$1004,Transform!AI4,Transform!$B$4:$S$1004),"")</f>
        <v/>
      </c>
      <c r="AO12" s="3">
        <f>IFERROR(VAR(FILTER(Transform!$B$4:$S$1004,Transform!$A$4:$A$1004=Transform!AI4)),"")</f>
        <v/>
      </c>
      <c r="AP12" s="3">
        <f>IF(ISNUMBER(AO12),SQRT(AO12),"")</f>
        <v/>
      </c>
      <c r="AQ12" s="1">
        <f>COUNT(FILTER(Transform!$B$4:$S$1004,Transform!$A$4:$A$1004=Transform!AI4))</f>
        <v/>
      </c>
      <c r="AR12" s="10">
        <f>IF(AND(ISNUMBER(AP12),AQ12&gt;0),CONFIDENCE($D$2,AP12,AQ12),"")</f>
        <v/>
      </c>
      <c r="AS12" s="10">
        <f>IF(AND(ISNUMBER(AN12),ISNUMBER(AR12)),AN12-AR12,"")</f>
        <v/>
      </c>
      <c r="AT12" s="10">
        <f>IF(AND(ISNUMBER(AN12),ISNUMBER(AR12)),AN12+AR12,"")</f>
        <v/>
      </c>
    </row>
    <row r="13">
      <c r="A13" s="1" t="n">
        <v>9</v>
      </c>
      <c r="B13" s="3">
        <f>AVERAGE(Transform!J4:J1004)</f>
        <v/>
      </c>
      <c r="C13" s="3">
        <f>VAR(Transform!J4:J1004)</f>
        <v/>
      </c>
      <c r="D13" s="3">
        <f>SQRT(C13)</f>
        <v/>
      </c>
      <c r="E13" s="1">
        <f>COUNTA(Data!J4:J1004)</f>
        <v/>
      </c>
      <c r="F13" s="10">
        <f>CONFIDENCE(D2,D13, E13)</f>
        <v/>
      </c>
      <c r="G13" s="10">
        <f>B13-F13</f>
        <v/>
      </c>
      <c r="H13" s="10">
        <f>B13+F13</f>
        <v/>
      </c>
      <c r="K13" s="1" t="inlineStr">
        <is>
          <t>Student</t>
        </is>
      </c>
      <c r="L13" s="3">
        <f>IFERROR(AVERAGEIF(Transform!$A$4:$A$1004,Transform!AI5,Transform!$V$4:$V$1004),"")</f>
        <v/>
      </c>
      <c r="M13" s="3">
        <f>IFERROR(VAR(FILTER(Transform!$V$4:$V$1004,Transform!$A$4:$A$1004=Transform!AI5)),"")</f>
        <v/>
      </c>
      <c r="N13" s="3">
        <f>IF(ISNUMBER(M13),SQRT(M13),"")</f>
        <v/>
      </c>
      <c r="O13" s="1">
        <f>COUNT(FILTER(Transform!$V$4:$V$1004,Transform!$A$4:$A$1004=Transform!AI5))</f>
        <v/>
      </c>
      <c r="P13" s="10">
        <f>IF(AND(ISNUMBER(N13),O13&gt;0),CONFIDENCE($D$2,N13,O13),"")</f>
        <v/>
      </c>
      <c r="Q13" s="10">
        <f>IF(AND(ISNUMBER(L13),ISNUMBER(P13)),L13-P13,"")</f>
        <v/>
      </c>
      <c r="R13" s="10">
        <f>IF(AND(ISNUMBER(L13),ISNUMBER(P13)),L13+P13,"")</f>
        <v/>
      </c>
      <c r="S13" s="3">
        <f>IFERROR(AVERAGEIF(Transform!$A$4:$A$1004,Transform!AI5,Transform!$W$4:$W$1004),"")</f>
        <v/>
      </c>
      <c r="T13" s="3">
        <f>IFERROR(VAR(FILTER(Transform!$W$4:$W$1004,Transform!$A$4:$A$1004=Transform!AI5)),"")</f>
        <v/>
      </c>
      <c r="U13" s="3">
        <f>IF(ISNUMBER(T13),SQRT(T13),"")</f>
        <v/>
      </c>
      <c r="V13" s="1">
        <f>COUNT(FILTER(Transform!$W$4:$W$1004,Transform!$A$4:$A$1004=Transform!AI5))</f>
        <v/>
      </c>
      <c r="W13" s="10">
        <f>IF(AND(ISNUMBER(U13),V13&gt;0),CONFIDENCE($D$2,U13,V13),"")</f>
        <v/>
      </c>
      <c r="X13" s="10">
        <f>IF(AND(ISNUMBER(S13),ISNUMBER(W13)),S13-W13,"")</f>
        <v/>
      </c>
      <c r="Y13" s="10">
        <f>IF(AND(ISNUMBER(S13),ISNUMBER(W13)),S13+W13,"")</f>
        <v/>
      </c>
      <c r="Z13" s="3">
        <f>IFERROR(AVERAGEIF(Transform!$A$4:$A$1004,Transform!AI5,Transform!$X$4:$X$1004),"")</f>
        <v/>
      </c>
      <c r="AA13" s="3">
        <f>IFERROR(VAR(FILTER(Transform!$X$4:$X$1004,Transform!$A$4:$A$1004=Transform!AI5)),"")</f>
        <v/>
      </c>
      <c r="AB13" s="3">
        <f>IF(ISNUMBER(AA13),SQRT(AA13),"")</f>
        <v/>
      </c>
      <c r="AC13" s="1">
        <f>COUNT(FILTER(Transform!$X$4:$X$1004,Transform!$A$4:$A$1004=Transform!AI5))</f>
        <v/>
      </c>
      <c r="AD13" s="10">
        <f>IF(AND(ISNUMBER(AB13),AC13&gt;0),CONFIDENCE($D$2,AB13,AC13),"")</f>
        <v/>
      </c>
      <c r="AE13" s="10">
        <f>IF(AND(ISNUMBER(Z13),ISNUMBER(AD13)),Z13-AD13,"")</f>
        <v/>
      </c>
      <c r="AF13" s="10">
        <f>IF(AND(ISNUMBER(Z13),ISNUMBER(AD13)),Z13+AD13,"")</f>
        <v/>
      </c>
      <c r="AG13" s="12" t="n"/>
      <c r="AH13" s="3" t="n"/>
      <c r="AI13" s="3" t="n"/>
      <c r="AJ13" s="1" t="n"/>
      <c r="AK13" s="10" t="n"/>
      <c r="AL13" s="10" t="n"/>
      <c r="AM13" s="10" t="n"/>
      <c r="AN13" s="3">
        <f>IFERROR(AVERAGEIF(Transform!$A$4:$A$1004,Transform!AI5,Transform!$B$4:$S$1004),"")</f>
        <v/>
      </c>
      <c r="AO13" s="3">
        <f>IFERROR(VAR(FILTER(Transform!$B$4:$S$1004,Transform!$A$4:$A$1004=Transform!AI5)),"")</f>
        <v/>
      </c>
      <c r="AP13" s="3">
        <f>IF(ISNUMBER(AO13),SQRT(AO13),"")</f>
        <v/>
      </c>
      <c r="AQ13" s="1">
        <f>COUNT(FILTER(Transform!$B$4:$S$1004,Transform!$A$4:$A$1004=Transform!AI5))</f>
        <v/>
      </c>
      <c r="AR13" s="10">
        <f>IF(AND(ISNUMBER(AP13),AQ13&gt;0),CONFIDENCE($D$2,AP13,AQ13),"")</f>
        <v/>
      </c>
      <c r="AS13" s="10">
        <f>IF(AND(ISNUMBER(AN13),ISNUMBER(AR13)),AN13-AR13,"")</f>
        <v/>
      </c>
      <c r="AT13" s="10">
        <f>IF(AND(ISNUMBER(AN13),ISNUMBER(AR13)),AN13+AR13,"")</f>
        <v/>
      </c>
    </row>
    <row r="14">
      <c r="A14" s="1" t="n">
        <v>10</v>
      </c>
      <c r="B14" s="3">
        <f>AVERAGE(Transform!K4:K1004)</f>
        <v/>
      </c>
      <c r="C14" s="3">
        <f>VAR(Transform!K4:K1004)</f>
        <v/>
      </c>
      <c r="D14" s="3">
        <f>SQRT(C14)</f>
        <v/>
      </c>
      <c r="E14" s="1">
        <f>COUNTA(Data!K4:K1004)</f>
        <v/>
      </c>
      <c r="F14" s="10">
        <f>CONFIDENCE(D2,D14, E14)</f>
        <v/>
      </c>
      <c r="G14" s="10">
        <f>B14-F14</f>
        <v/>
      </c>
      <c r="H14" s="10">
        <f>B14+F14</f>
        <v/>
      </c>
      <c r="K14" s="1" t="inlineStr">
        <is>
          <t>Admin Assistant</t>
        </is>
      </c>
      <c r="L14" s="3">
        <f>IFERROR(AVERAGEIF(Transform!$A$4:$A$1004,Transform!AI6,Transform!$V$4:$V$1004),"")</f>
        <v/>
      </c>
      <c r="M14" s="3">
        <f>IFERROR(VAR(FILTER(Transform!$V$4:$V$1004,Transform!$A$4:$A$1004=Transform!AI6)),"")</f>
        <v/>
      </c>
      <c r="N14" s="3">
        <f>IF(ISNUMBER(M14),SQRT(M14),"")</f>
        <v/>
      </c>
      <c r="O14" s="1">
        <f>COUNT(FILTER(Transform!$V$4:$V$1004,Transform!$A$4:$A$1004=Transform!AI6))</f>
        <v/>
      </c>
      <c r="P14" s="10">
        <f>IF(AND(ISNUMBER(N14),O14&gt;0),CONFIDENCE($D$2,N14,O14),"")</f>
        <v/>
      </c>
      <c r="Q14" s="10">
        <f>IF(AND(ISNUMBER(L14),ISNUMBER(P14)),L14-P14,"")</f>
        <v/>
      </c>
      <c r="R14" s="10">
        <f>IF(AND(ISNUMBER(L14),ISNUMBER(P14)),L14+P14,"")</f>
        <v/>
      </c>
      <c r="S14" s="3">
        <f>IFERROR(AVERAGEIF(Transform!$A$4:$A$1004,Transform!AI6,Transform!$W$4:$W$1004),"")</f>
        <v/>
      </c>
      <c r="T14" s="3">
        <f>IFERROR(VAR(FILTER(Transform!$W$4:$W$1004,Transform!$A$4:$A$1004=Transform!AI6)),"")</f>
        <v/>
      </c>
      <c r="U14" s="3">
        <f>IF(ISNUMBER(T14),SQRT(T14),"")</f>
        <v/>
      </c>
      <c r="V14" s="1">
        <f>COUNT(FILTER(Transform!$W$4:$W$1004,Transform!$A$4:$A$1004=Transform!AI6))</f>
        <v/>
      </c>
      <c r="W14" s="10">
        <f>IF(AND(ISNUMBER(U14),V14&gt;0),CONFIDENCE($D$2,U14,V14),"")</f>
        <v/>
      </c>
      <c r="X14" s="10">
        <f>IF(AND(ISNUMBER(S14),ISNUMBER(W14)),S14-W14,"")</f>
        <v/>
      </c>
      <c r="Y14" s="10">
        <f>IF(AND(ISNUMBER(S14),ISNUMBER(W14)),S14+W14,"")</f>
        <v/>
      </c>
      <c r="Z14" s="3">
        <f>IFERROR(AVERAGEIF(Transform!$A$4:$A$1004,Transform!AI6,Transform!$X$4:$X$1004),"")</f>
        <v/>
      </c>
      <c r="AA14" s="3">
        <f>IFERROR(VAR(FILTER(Transform!$X$4:$X$1004,Transform!$A$4:$A$1004=Transform!AI6)),"")</f>
        <v/>
      </c>
      <c r="AB14" s="3">
        <f>IF(ISNUMBER(AA14),SQRT(AA14),"")</f>
        <v/>
      </c>
      <c r="AC14" s="1">
        <f>COUNT(FILTER(Transform!$X$4:$X$1004,Transform!$A$4:$A$1004=Transform!AI6))</f>
        <v/>
      </c>
      <c r="AD14" s="10">
        <f>IF(AND(ISNUMBER(AB14),AC14&gt;0),CONFIDENCE($D$2,AB14,AC14),"")</f>
        <v/>
      </c>
      <c r="AE14" s="10">
        <f>IF(AND(ISNUMBER(Z14),ISNUMBER(AD14)),Z14-AD14,"")</f>
        <v/>
      </c>
      <c r="AF14" s="10">
        <f>IF(AND(ISNUMBER(Z14),ISNUMBER(AD14)),Z14+AD14,"")</f>
        <v/>
      </c>
      <c r="AG14" s="12" t="n"/>
      <c r="AH14" s="3" t="n"/>
      <c r="AI14" s="3" t="n"/>
      <c r="AJ14" s="1" t="n"/>
      <c r="AK14" s="10" t="n"/>
      <c r="AL14" s="10" t="n"/>
      <c r="AM14" s="10" t="n"/>
      <c r="AN14" s="3">
        <f>IFERROR(AVERAGEIF(Transform!$A$4:$A$1004,Transform!AI6,Transform!$B$4:$S$1004),"")</f>
        <v/>
      </c>
      <c r="AO14" s="3">
        <f>IFERROR(VAR(FILTER(Transform!$B$4:$S$1004,Transform!$A$4:$A$1004=Transform!AI6)),"")</f>
        <v/>
      </c>
      <c r="AP14" s="3">
        <f>IF(ISNUMBER(AO14),SQRT(AO14),"")</f>
        <v/>
      </c>
      <c r="AQ14" s="1">
        <f>COUNT(FILTER(Transform!$B$4:$S$1004,Transform!$A$4:$A$1004=Transform!AI6))</f>
        <v/>
      </c>
      <c r="AR14" s="10">
        <f>IF(AND(ISNUMBER(AP14),AQ14&gt;0),CONFIDENCE($D$2,AP14,AQ14),"")</f>
        <v/>
      </c>
      <c r="AS14" s="10">
        <f>IF(AND(ISNUMBER(AN14),ISNUMBER(AR14)),AN14-AR14,"")</f>
        <v/>
      </c>
      <c r="AT14" s="10">
        <f>IF(AND(ISNUMBER(AN14),ISNUMBER(AR14)),AN14+AR14,"")</f>
        <v/>
      </c>
    </row>
    <row r="15">
      <c r="A15" s="1" t="n">
        <v>11</v>
      </c>
      <c r="B15" s="3">
        <f>AVERAGE(Transform!L4:L1004)</f>
        <v/>
      </c>
      <c r="C15" s="3">
        <f>VAR(Transform!L4:L1004)</f>
        <v/>
      </c>
      <c r="D15" s="3">
        <f>SQRT(C15)</f>
        <v/>
      </c>
      <c r="E15" s="1">
        <f>COUNTA(Data!L4:L1004)</f>
        <v/>
      </c>
      <c r="F15" s="10">
        <f>CONFIDENCE(D2,D15, E15)</f>
        <v/>
      </c>
      <c r="G15" s="10">
        <f>B15-F15</f>
        <v/>
      </c>
      <c r="H15" s="10">
        <f>B15+F15</f>
        <v/>
      </c>
      <c r="K15" s="1" t="inlineStr">
        <is>
          <t>Demonstrator</t>
        </is>
      </c>
      <c r="L15" s="3">
        <f>IFERROR(AVERAGEIF(Transform!$A$4:$A$1004,Transform!AI7,Transform!$V$4:$V$1004),"")</f>
        <v/>
      </c>
      <c r="M15" s="3">
        <f>IFERROR(VAR(FILTER(Transform!$V$4:$V$1004,Transform!$A$4:$A$1004=Transform!AI7)),"")</f>
        <v/>
      </c>
      <c r="N15" s="3">
        <f>IF(ISNUMBER(M15),SQRT(M15),"")</f>
        <v/>
      </c>
      <c r="O15" s="1">
        <f>COUNT(FILTER(Transform!$V$4:$V$1004,Transform!$A$4:$A$1004=Transform!AI7))</f>
        <v/>
      </c>
      <c r="P15" s="10">
        <f>IF(AND(ISNUMBER(N15),O15&gt;0),CONFIDENCE($D$2,N15,O15),"")</f>
        <v/>
      </c>
      <c r="Q15" s="10">
        <f>IF(AND(ISNUMBER(L15),ISNUMBER(P15)),L15-P15,"")</f>
        <v/>
      </c>
      <c r="R15" s="10">
        <f>IF(AND(ISNUMBER(L15),ISNUMBER(P15)),L15+P15,"")</f>
        <v/>
      </c>
      <c r="S15" s="3">
        <f>IFERROR(AVERAGEIF(Transform!$A$4:$A$1004,Transform!AI7,Transform!$W$4:$W$1004),"")</f>
        <v/>
      </c>
      <c r="T15" s="3">
        <f>IFERROR(VAR(FILTER(Transform!$W$4:$W$1004,Transform!$A$4:$A$1004=Transform!AI7)),"")</f>
        <v/>
      </c>
      <c r="U15" s="3">
        <f>IF(ISNUMBER(T15),SQRT(T15),"")</f>
        <v/>
      </c>
      <c r="V15" s="1">
        <f>COUNT(FILTER(Transform!$W$4:$W$1004,Transform!$A$4:$A$1004=Transform!AI7))</f>
        <v/>
      </c>
      <c r="W15" s="10">
        <f>IF(AND(ISNUMBER(U15),V15&gt;0),CONFIDENCE($D$2,U15,V15),"")</f>
        <v/>
      </c>
      <c r="X15" s="10">
        <f>IF(AND(ISNUMBER(S15),ISNUMBER(W15)),S15-W15,"")</f>
        <v/>
      </c>
      <c r="Y15" s="10">
        <f>IF(AND(ISNUMBER(S15),ISNUMBER(W15)),S15+W15,"")</f>
        <v/>
      </c>
      <c r="Z15" s="3">
        <f>IFERROR(AVERAGEIF(Transform!$A$4:$A$1004,Transform!AI7,Transform!$X$4:$X$1004),"")</f>
        <v/>
      </c>
      <c r="AA15" s="3">
        <f>IFERROR(VAR(FILTER(Transform!$X$4:$X$1004,Transform!$A$4:$A$1004=Transform!AI7)),"")</f>
        <v/>
      </c>
      <c r="AB15" s="3">
        <f>IF(ISNUMBER(AA15),SQRT(AA15),"")</f>
        <v/>
      </c>
      <c r="AC15" s="1">
        <f>COUNT(FILTER(Transform!$X$4:$X$1004,Transform!$A$4:$A$1004=Transform!AI7))</f>
        <v/>
      </c>
      <c r="AD15" s="10">
        <f>IF(AND(ISNUMBER(AB15),AC15&gt;0),CONFIDENCE($D$2,AB15,AC15),"")</f>
        <v/>
      </c>
      <c r="AE15" s="10">
        <f>IF(AND(ISNUMBER(Z15),ISNUMBER(AD15)),Z15-AD15,"")</f>
        <v/>
      </c>
      <c r="AF15" s="10">
        <f>IF(AND(ISNUMBER(Z15),ISNUMBER(AD15)),Z15+AD15,"")</f>
        <v/>
      </c>
      <c r="AG15" s="12" t="n"/>
      <c r="AH15" s="3" t="n"/>
      <c r="AI15" s="3" t="n"/>
      <c r="AJ15" s="1" t="n"/>
      <c r="AK15" s="10" t="n"/>
      <c r="AL15" s="10" t="n"/>
      <c r="AM15" s="10" t="n"/>
      <c r="AN15" s="3">
        <f>IFERROR(AVERAGEIF(Transform!$A$4:$A$1004,Transform!AI7,Transform!$B$4:$S$1004),"")</f>
        <v/>
      </c>
      <c r="AO15" s="3">
        <f>IFERROR(VAR(FILTER(Transform!$B$4:$S$1004,Transform!$A$4:$A$1004=Transform!AI7)),"")</f>
        <v/>
      </c>
      <c r="AP15" s="3">
        <f>IF(ISNUMBER(AO15),SQRT(AO15),"")</f>
        <v/>
      </c>
      <c r="AQ15" s="1">
        <f>COUNT(FILTER(Transform!$B$4:$S$1004,Transform!$A$4:$A$1004=Transform!AI7))</f>
        <v/>
      </c>
      <c r="AR15" s="10">
        <f>IF(AND(ISNUMBER(AP15),AQ15&gt;0),CONFIDENCE($D$2,AP15,AQ15),"")</f>
        <v/>
      </c>
      <c r="AS15" s="10">
        <f>IF(AND(ISNUMBER(AN15),ISNUMBER(AR15)),AN15-AR15,"")</f>
        <v/>
      </c>
      <c r="AT15" s="10">
        <f>IF(AND(ISNUMBER(AN15),ISNUMBER(AR15)),AN15+AR15,"")</f>
        <v/>
      </c>
    </row>
    <row r="16">
      <c r="A16" s="1" t="n">
        <v>12</v>
      </c>
      <c r="B16" s="3">
        <f>AVERAGE(Transform!M4:M1004)</f>
        <v/>
      </c>
      <c r="C16" s="3">
        <f>VAR(Transform!M4:M1004)</f>
        <v/>
      </c>
      <c r="D16" s="3">
        <f>SQRT(C16)</f>
        <v/>
      </c>
      <c r="E16" s="1">
        <f>COUNTA(Data!M4:M1004)</f>
        <v/>
      </c>
      <c r="F16" s="10">
        <f>CONFIDENCE(D2,D16, E16)</f>
        <v/>
      </c>
      <c r="G16" s="10">
        <f>B16-F16</f>
        <v/>
      </c>
      <c r="H16" s="10">
        <f>B16+F16</f>
        <v/>
      </c>
      <c r="K16" s="1" t="n"/>
      <c r="L16" s="3">
        <f>IFERROR(AVERAGEIF(Transform!$A$4:$A$1004,Transform!AI8,Transform!$V$4:$V$1004),"")</f>
        <v/>
      </c>
      <c r="M16" s="3">
        <f>IFERROR(VAR(FILTER(Transform!$V$4:$V$1004,Transform!$A$4:$A$1004=Transform!AI8)),"")</f>
        <v/>
      </c>
      <c r="N16" s="3">
        <f>IF(ISNUMBER(M16),SQRT(M16),"")</f>
        <v/>
      </c>
      <c r="O16" s="1">
        <f>COUNT(FILTER(Transform!$V$4:$V$1004,Transform!$A$4:$A$1004=Transform!AI8))</f>
        <v/>
      </c>
      <c r="P16" s="10">
        <f>IF(AND(ISNUMBER(N16),O16&gt;0),CONFIDENCE($D$2,N16,O16),"")</f>
        <v/>
      </c>
      <c r="Q16" s="10">
        <f>IF(AND(ISNUMBER(L16),ISNUMBER(P16)),L16-P16,"")</f>
        <v/>
      </c>
      <c r="R16" s="10">
        <f>IF(AND(ISNUMBER(L16),ISNUMBER(P16)),L16+P16,"")</f>
        <v/>
      </c>
      <c r="S16" s="3">
        <f>IFERROR(AVERAGEIF(Transform!$A$4:$A$1004,Transform!AI8,Transform!$W$4:$W$1004),"")</f>
        <v/>
      </c>
      <c r="T16" s="3">
        <f>IFERROR(VAR(FILTER(Transform!$W$4:$W$1004,Transform!$A$4:$A$1004=Transform!AI8)),"")</f>
        <v/>
      </c>
      <c r="U16" s="3">
        <f>IF(ISNUMBER(T16),SQRT(T16),"")</f>
        <v/>
      </c>
      <c r="V16" s="1">
        <f>COUNT(FILTER(Transform!$W$4:$W$1004,Transform!$A$4:$A$1004=Transform!AI8))</f>
        <v/>
      </c>
      <c r="W16" s="10">
        <f>IF(AND(ISNUMBER(U16),V16&gt;0),CONFIDENCE($D$2,U16,V16),"")</f>
        <v/>
      </c>
      <c r="X16" s="10">
        <f>IF(AND(ISNUMBER(S16),ISNUMBER(W16)),S16-W16,"")</f>
        <v/>
      </c>
      <c r="Y16" s="10">
        <f>IF(AND(ISNUMBER(S16),ISNUMBER(W16)),S16+W16,"")</f>
        <v/>
      </c>
      <c r="Z16" s="3">
        <f>IFERROR(AVERAGEIF(Transform!$A$4:$A$1004,Transform!AI8,Transform!$X$4:$X$1004),"")</f>
        <v/>
      </c>
      <c r="AA16" s="3">
        <f>IFERROR(VAR(FILTER(Transform!$X$4:$X$1004,Transform!$A$4:$A$1004=Transform!AI8)),"")</f>
        <v/>
      </c>
      <c r="AB16" s="3">
        <f>IF(ISNUMBER(AA16),SQRT(AA16),"")</f>
        <v/>
      </c>
      <c r="AC16" s="1">
        <f>COUNT(FILTER(Transform!$X$4:$X$1004,Transform!$A$4:$A$1004=Transform!AI8))</f>
        <v/>
      </c>
      <c r="AD16" s="10">
        <f>IF(AND(ISNUMBER(AB16),AC16&gt;0),CONFIDENCE($D$2,AB16,AC16),"")</f>
        <v/>
      </c>
      <c r="AE16" s="10">
        <f>IF(AND(ISNUMBER(Z16),ISNUMBER(AD16)),Z16-AD16,"")</f>
        <v/>
      </c>
      <c r="AF16" s="10">
        <f>IF(AND(ISNUMBER(Z16),ISNUMBER(AD16)),Z16+AD16,"")</f>
        <v/>
      </c>
      <c r="AG16" s="12" t="n"/>
      <c r="AH16" s="3" t="n"/>
      <c r="AI16" s="3" t="n"/>
      <c r="AJ16" s="1" t="n"/>
      <c r="AK16" s="10" t="n"/>
      <c r="AL16" s="10" t="n"/>
      <c r="AM16" s="10" t="n"/>
      <c r="AN16" s="3">
        <f>IFERROR(AVERAGEIF(Transform!$A$4:$A$1004,Transform!AI8,Transform!$B$4:$S$1004),"")</f>
        <v/>
      </c>
      <c r="AO16" s="3">
        <f>IFERROR(VAR(FILTER(Transform!$B$4:$S$1004,Transform!$A$4:$A$1004=Transform!AI8)),"")</f>
        <v/>
      </c>
      <c r="AP16" s="3">
        <f>IF(ISNUMBER(AO16),SQRT(AO16),"")</f>
        <v/>
      </c>
      <c r="AQ16" s="1">
        <f>COUNT(FILTER(Transform!$B$4:$S$1004,Transform!$A$4:$A$1004=Transform!AI8))</f>
        <v/>
      </c>
      <c r="AR16" s="10">
        <f>IF(AND(ISNUMBER(AP16),AQ16&gt;0),CONFIDENCE($D$2,AP16,AQ16),"")</f>
        <v/>
      </c>
      <c r="AS16" s="10">
        <f>IF(AND(ISNUMBER(AN16),ISNUMBER(AR16)),AN16-AR16,"")</f>
        <v/>
      </c>
      <c r="AT16" s="10">
        <f>IF(AND(ISNUMBER(AN16),ISNUMBER(AR16)),AN16+AR16,"")</f>
        <v/>
      </c>
    </row>
    <row r="17">
      <c r="A17" s="1" t="n">
        <v>13</v>
      </c>
      <c r="B17" s="3">
        <f>AVERAGE(Transform!N4:N1004)</f>
        <v/>
      </c>
      <c r="C17" s="3">
        <f>VAR(Transform!N4:N1004)</f>
        <v/>
      </c>
      <c r="D17" s="3">
        <f>SQRT(C17)</f>
        <v/>
      </c>
      <c r="E17" s="1">
        <f>COUNTA(Data!N4:N1004)</f>
        <v/>
      </c>
      <c r="F17" s="10">
        <f>CONFIDENCE(D2,D17, E17)</f>
        <v/>
      </c>
      <c r="G17" s="10">
        <f>B17-F17</f>
        <v/>
      </c>
      <c r="H17" s="10">
        <f>B17+F17</f>
        <v/>
      </c>
      <c r="K17" s="1" t="n"/>
      <c r="L17" s="3">
        <f>IFERROR(AVERAGEIF(Transform!$A$4:$A$1004,Transform!AI9,Transform!$V$4:$V$1004),"")</f>
        <v/>
      </c>
      <c r="M17" s="3">
        <f>IFERROR(VAR(FILTER(Transform!$V$4:$V$1004,Transform!$A$4:$A$1004=Transform!AI9)),"")</f>
        <v/>
      </c>
      <c r="N17" s="3">
        <f>IF(ISNUMBER(M17),SQRT(M17),"")</f>
        <v/>
      </c>
      <c r="O17" s="1">
        <f>COUNT(FILTER(Transform!$V$4:$V$1004,Transform!$A$4:$A$1004=Transform!AI9))</f>
        <v/>
      </c>
      <c r="P17" s="10">
        <f>IF(AND(ISNUMBER(N17),O17&gt;0),CONFIDENCE($D$2,N17,O17),"")</f>
        <v/>
      </c>
      <c r="Q17" s="10">
        <f>IF(AND(ISNUMBER(L17),ISNUMBER(P17)),L17-P17,"")</f>
        <v/>
      </c>
      <c r="R17" s="10">
        <f>IF(AND(ISNUMBER(L17),ISNUMBER(P17)),L17+P17,"")</f>
        <v/>
      </c>
      <c r="S17" s="3">
        <f>IFERROR(AVERAGEIF(Transform!$A$4:$A$1004,Transform!AI9,Transform!$W$4:$W$1004),"")</f>
        <v/>
      </c>
      <c r="T17" s="3">
        <f>IFERROR(VAR(FILTER(Transform!$W$4:$W$1004,Transform!$A$4:$A$1004=Transform!AI9)),"")</f>
        <v/>
      </c>
      <c r="U17" s="3">
        <f>IF(ISNUMBER(T17),SQRT(T17),"")</f>
        <v/>
      </c>
      <c r="V17" s="1">
        <f>COUNT(FILTER(Transform!$W$4:$W$1004,Transform!$A$4:$A$1004=Transform!AI9))</f>
        <v/>
      </c>
      <c r="W17" s="10">
        <f>IF(AND(ISNUMBER(U17),V17&gt;0),CONFIDENCE($D$2,U17,V17),"")</f>
        <v/>
      </c>
      <c r="X17" s="10">
        <f>IF(AND(ISNUMBER(S17),ISNUMBER(W17)),S17-W17,"")</f>
        <v/>
      </c>
      <c r="Y17" s="10">
        <f>IF(AND(ISNUMBER(S17),ISNUMBER(W17)),S17+W17,"")</f>
        <v/>
      </c>
      <c r="Z17" s="3">
        <f>IFERROR(AVERAGEIF(Transform!$A$4:$A$1004,Transform!AI9,Transform!$X$4:$X$1004),"")</f>
        <v/>
      </c>
      <c r="AA17" s="3">
        <f>IFERROR(VAR(FILTER(Transform!$X$4:$X$1004,Transform!$A$4:$A$1004=Transform!AI9)),"")</f>
        <v/>
      </c>
      <c r="AB17" s="3">
        <f>IF(ISNUMBER(AA17),SQRT(AA17),"")</f>
        <v/>
      </c>
      <c r="AC17" s="1">
        <f>COUNT(FILTER(Transform!$X$4:$X$1004,Transform!$A$4:$A$1004=Transform!AI9))</f>
        <v/>
      </c>
      <c r="AD17" s="10">
        <f>IF(AND(ISNUMBER(AB17),AC17&gt;0),CONFIDENCE($D$2,AB17,AC17),"")</f>
        <v/>
      </c>
      <c r="AE17" s="10">
        <f>IF(AND(ISNUMBER(Z17),ISNUMBER(AD17)),Z17-AD17,"")</f>
        <v/>
      </c>
      <c r="AF17" s="10">
        <f>IF(AND(ISNUMBER(Z17),ISNUMBER(AD17)),Z17+AD17,"")</f>
        <v/>
      </c>
      <c r="AG17" s="12" t="n"/>
      <c r="AH17" s="3" t="n"/>
      <c r="AI17" s="3" t="n"/>
      <c r="AJ17" s="1" t="n"/>
      <c r="AK17" s="10" t="n"/>
      <c r="AL17" s="10" t="n"/>
      <c r="AM17" s="10" t="n"/>
      <c r="AN17" s="3">
        <f>IFERROR(AVERAGEIF(Transform!$A$4:$A$1004,Transform!AI9,Transform!$B$4:$S$1004),"")</f>
        <v/>
      </c>
      <c r="AO17" s="3">
        <f>IFERROR(VAR(FILTER(Transform!$B$4:$S$1004,Transform!$A$4:$A$1004=Transform!AI9)),"")</f>
        <v/>
      </c>
      <c r="AP17" s="3">
        <f>IF(ISNUMBER(AO17),SQRT(AO17),"")</f>
        <v/>
      </c>
      <c r="AQ17" s="1">
        <f>COUNT(FILTER(Transform!$B$4:$S$1004,Transform!$A$4:$A$1004=Transform!AI9))</f>
        <v/>
      </c>
      <c r="AR17" s="10">
        <f>IF(AND(ISNUMBER(AP17),AQ17&gt;0),CONFIDENCE($D$2,AP17,AQ17),"")</f>
        <v/>
      </c>
      <c r="AS17" s="10">
        <f>IF(AND(ISNUMBER(AN17),ISNUMBER(AR17)),AN17-AR17,"")</f>
        <v/>
      </c>
      <c r="AT17" s="10">
        <f>IF(AND(ISNUMBER(AN17),ISNUMBER(AR17)),AN17+AR17,"")</f>
        <v/>
      </c>
    </row>
    <row r="18">
      <c r="A18" s="1" t="n">
        <v>14</v>
      </c>
      <c r="B18" s="3">
        <f>AVERAGE(Transform!O4:O1004)</f>
        <v/>
      </c>
      <c r="C18" s="3">
        <f>VAR(Transform!O4:O1004)</f>
        <v/>
      </c>
      <c r="D18" s="3">
        <f>SQRT(C18)</f>
        <v/>
      </c>
      <c r="E18" s="1">
        <f>COUNTA(Data!O4:O1004)</f>
        <v/>
      </c>
      <c r="F18" s="10">
        <f>CONFIDENCE(D2,D18, E18)</f>
        <v/>
      </c>
      <c r="G18" s="10">
        <f>B18-F18</f>
        <v/>
      </c>
      <c r="H18" s="10">
        <f>B18+F18</f>
        <v/>
      </c>
      <c r="K18" s="1" t="n"/>
      <c r="L18" s="3">
        <f>IFERROR(AVERAGEIF(Transform!$A$4:$A$1004,Transform!AI10,Transform!$V$4:$V$1004),"")</f>
        <v/>
      </c>
      <c r="M18" s="3">
        <f>IFERROR(VAR(FILTER(Transform!$V$4:$V$1004,Transform!$A$4:$A$1004=Transform!AI10)),"")</f>
        <v/>
      </c>
      <c r="N18" s="3">
        <f>IF(ISNUMBER(M18),SQRT(M18),"")</f>
        <v/>
      </c>
      <c r="O18" s="1">
        <f>COUNT(FILTER(Transform!$V$4:$V$1004,Transform!$A$4:$A$1004=Transform!AI10))</f>
        <v/>
      </c>
      <c r="P18" s="10">
        <f>IF(AND(ISNUMBER(N18),O18&gt;0),CONFIDENCE($D$2,N18,O18),"")</f>
        <v/>
      </c>
      <c r="Q18" s="10">
        <f>IF(AND(ISNUMBER(L18),ISNUMBER(P18)),L18-P18,"")</f>
        <v/>
      </c>
      <c r="R18" s="10">
        <f>IF(AND(ISNUMBER(L18),ISNUMBER(P18)),L18+P18,"")</f>
        <v/>
      </c>
      <c r="S18" s="3">
        <f>IFERROR(AVERAGEIF(Transform!$A$4:$A$1004,Transform!AI10,Transform!$W$4:$W$1004),"")</f>
        <v/>
      </c>
      <c r="T18" s="3">
        <f>IFERROR(VAR(FILTER(Transform!$W$4:$W$1004,Transform!$A$4:$A$1004=Transform!AI10)),"")</f>
        <v/>
      </c>
      <c r="U18" s="3">
        <f>IF(ISNUMBER(T18),SQRT(T18),"")</f>
        <v/>
      </c>
      <c r="V18" s="1">
        <f>COUNT(FILTER(Transform!$W$4:$W$1004,Transform!$A$4:$A$1004=Transform!AI10))</f>
        <v/>
      </c>
      <c r="W18" s="10">
        <f>IF(AND(ISNUMBER(U18),V18&gt;0),CONFIDENCE($D$2,U18,V18),"")</f>
        <v/>
      </c>
      <c r="X18" s="10">
        <f>IF(AND(ISNUMBER(S18),ISNUMBER(W18)),S18-W18,"")</f>
        <v/>
      </c>
      <c r="Y18" s="10">
        <f>IF(AND(ISNUMBER(S18),ISNUMBER(W18)),S18+W18,"")</f>
        <v/>
      </c>
      <c r="Z18" s="3">
        <f>IFERROR(AVERAGEIF(Transform!$A$4:$A$1004,Transform!AI10,Transform!$X$4:$X$1004),"")</f>
        <v/>
      </c>
      <c r="AA18" s="3">
        <f>IFERROR(VAR(FILTER(Transform!$X$4:$X$1004,Transform!$A$4:$A$1004=Transform!AI10)),"")</f>
        <v/>
      </c>
      <c r="AB18" s="3">
        <f>IF(ISNUMBER(AA18),SQRT(AA18),"")</f>
        <v/>
      </c>
      <c r="AC18" s="1">
        <f>COUNT(FILTER(Transform!$X$4:$X$1004,Transform!$A$4:$A$1004=Transform!AI10))</f>
        <v/>
      </c>
      <c r="AD18" s="10">
        <f>IF(AND(ISNUMBER(AB18),AC18&gt;0),CONFIDENCE($D$2,AB18,AC18),"")</f>
        <v/>
      </c>
      <c r="AE18" s="10">
        <f>IF(AND(ISNUMBER(Z18),ISNUMBER(AD18)),Z18-AD18,"")</f>
        <v/>
      </c>
      <c r="AF18" s="10">
        <f>IF(AND(ISNUMBER(Z18),ISNUMBER(AD18)),Z18+AD18,"")</f>
        <v/>
      </c>
      <c r="AG18" s="12" t="n"/>
      <c r="AH18" s="3" t="n"/>
      <c r="AI18" s="3" t="n"/>
      <c r="AJ18" s="1" t="n"/>
      <c r="AK18" s="10" t="n"/>
      <c r="AL18" s="10" t="n"/>
      <c r="AM18" s="10" t="n"/>
      <c r="AN18" s="3">
        <f>IFERROR(AVERAGEIF(Transform!$A$4:$A$1004,Transform!AI10,Transform!$B$4:$S$1004),"")</f>
        <v/>
      </c>
      <c r="AO18" s="3">
        <f>IFERROR(VAR(FILTER(Transform!$B$4:$S$1004,Transform!$A$4:$A$1004=Transform!AI10)),"")</f>
        <v/>
      </c>
      <c r="AP18" s="3">
        <f>IF(ISNUMBER(AO18),SQRT(AO18),"")</f>
        <v/>
      </c>
      <c r="AQ18" s="1">
        <f>COUNT(FILTER(Transform!$B$4:$S$1004,Transform!$A$4:$A$1004=Transform!AI10))</f>
        <v/>
      </c>
      <c r="AR18" s="10">
        <f>IF(AND(ISNUMBER(AP18),AQ18&gt;0),CONFIDENCE($D$2,AP18,AQ18),"")</f>
        <v/>
      </c>
      <c r="AS18" s="10">
        <f>IF(AND(ISNUMBER(AN18),ISNUMBER(AR18)),AN18-AR18,"")</f>
        <v/>
      </c>
      <c r="AT18" s="10">
        <f>IF(AND(ISNUMBER(AN18),ISNUMBER(AR18)),AN18+AR18,"")</f>
        <v/>
      </c>
    </row>
    <row r="19">
      <c r="A19" s="1" t="n">
        <v>15</v>
      </c>
      <c r="B19" s="3">
        <f>AVERAGE(Transform!P4:P1004)</f>
        <v/>
      </c>
      <c r="C19" s="3">
        <f>VAR(Transform!P4:P1004)</f>
        <v/>
      </c>
      <c r="D19" s="3">
        <f>SQRT(C19)</f>
        <v/>
      </c>
      <c r="E19" s="1">
        <f>COUNTA(Data!P4:P1004)</f>
        <v/>
      </c>
      <c r="F19" s="10">
        <f>CONFIDENCE(D2,D19, E19)</f>
        <v/>
      </c>
      <c r="G19" s="10">
        <f>B19-F19</f>
        <v/>
      </c>
      <c r="H19" s="10">
        <f>B19+F19</f>
        <v/>
      </c>
      <c r="K19" s="1" t="n"/>
      <c r="L19" s="3">
        <f>IFERROR(AVERAGEIF(Transform!$A$4:$A$1004,Transform!AI11,Transform!$V$4:$V$1004),"")</f>
        <v/>
      </c>
      <c r="M19" s="3">
        <f>IFERROR(VAR(FILTER(Transform!$V$4:$V$1004,Transform!$A$4:$A$1004=Transform!AI11)),"")</f>
        <v/>
      </c>
      <c r="N19" s="3">
        <f>IF(ISNUMBER(M19),SQRT(M19),"")</f>
        <v/>
      </c>
      <c r="O19" s="1">
        <f>COUNT(FILTER(Transform!$V$4:$V$1004,Transform!$A$4:$A$1004=Transform!AI11))</f>
        <v/>
      </c>
      <c r="P19" s="10">
        <f>IF(AND(ISNUMBER(N19),O19&gt;0),CONFIDENCE($D$2,N19,O19),"")</f>
        <v/>
      </c>
      <c r="Q19" s="10">
        <f>IF(AND(ISNUMBER(L19),ISNUMBER(P19)),L19-P19,"")</f>
        <v/>
      </c>
      <c r="R19" s="10">
        <f>IF(AND(ISNUMBER(L19),ISNUMBER(P19)),L19+P19,"")</f>
        <v/>
      </c>
      <c r="S19" s="3">
        <f>IFERROR(AVERAGEIF(Transform!$A$4:$A$1004,Transform!AI11,Transform!$W$4:$W$1004),"")</f>
        <v/>
      </c>
      <c r="T19" s="3">
        <f>IFERROR(VAR(FILTER(Transform!$W$4:$W$1004,Transform!$A$4:$A$1004=Transform!AI11)),"")</f>
        <v/>
      </c>
      <c r="U19" s="3">
        <f>IF(ISNUMBER(T19),SQRT(T19),"")</f>
        <v/>
      </c>
      <c r="V19" s="1">
        <f>COUNT(FILTER(Transform!$W$4:$W$1004,Transform!$A$4:$A$1004=Transform!AI11))</f>
        <v/>
      </c>
      <c r="W19" s="10">
        <f>IF(AND(ISNUMBER(U19),V19&gt;0),CONFIDENCE($D$2,U19,V19),"")</f>
        <v/>
      </c>
      <c r="X19" s="10">
        <f>IF(AND(ISNUMBER(S19),ISNUMBER(W19)),S19-W19,"")</f>
        <v/>
      </c>
      <c r="Y19" s="10">
        <f>IF(AND(ISNUMBER(S19),ISNUMBER(W19)),S19+W19,"")</f>
        <v/>
      </c>
      <c r="Z19" s="3">
        <f>IFERROR(AVERAGEIF(Transform!$A$4:$A$1004,Transform!AI11,Transform!$X$4:$X$1004),"")</f>
        <v/>
      </c>
      <c r="AA19" s="3">
        <f>IFERROR(VAR(FILTER(Transform!$X$4:$X$1004,Transform!$A$4:$A$1004=Transform!AI11)),"")</f>
        <v/>
      </c>
      <c r="AB19" s="3">
        <f>IF(ISNUMBER(AA19),SQRT(AA19),"")</f>
        <v/>
      </c>
      <c r="AC19" s="1">
        <f>COUNT(FILTER(Transform!$X$4:$X$1004,Transform!$A$4:$A$1004=Transform!AI11))</f>
        <v/>
      </c>
      <c r="AD19" s="10">
        <f>IF(AND(ISNUMBER(AB19),AC19&gt;0),CONFIDENCE($D$2,AB19,AC19),"")</f>
        <v/>
      </c>
      <c r="AE19" s="10">
        <f>IF(AND(ISNUMBER(Z19),ISNUMBER(AD19)),Z19-AD19,"")</f>
        <v/>
      </c>
      <c r="AF19" s="10">
        <f>IF(AND(ISNUMBER(Z19),ISNUMBER(AD19)),Z19+AD19,"")</f>
        <v/>
      </c>
      <c r="AG19" s="12" t="n"/>
      <c r="AH19" s="3" t="n"/>
      <c r="AI19" s="3" t="n"/>
      <c r="AJ19" s="1" t="n"/>
      <c r="AK19" s="10" t="n"/>
      <c r="AL19" s="10" t="n"/>
      <c r="AM19" s="10" t="n"/>
      <c r="AN19" s="3">
        <f>IFERROR(AVERAGEIF(Transform!$A$4:$A$1004,Transform!AI11,Transform!$B$4:$S$1004),"")</f>
        <v/>
      </c>
      <c r="AO19" s="3">
        <f>IFERROR(VAR(FILTER(Transform!$B$4:$S$1004,Transform!$A$4:$A$1004=Transform!AI11)),"")</f>
        <v/>
      </c>
      <c r="AP19" s="3">
        <f>IF(ISNUMBER(AO19),SQRT(AO19),"")</f>
        <v/>
      </c>
      <c r="AQ19" s="1">
        <f>COUNT(FILTER(Transform!$B$4:$S$1004,Transform!$A$4:$A$1004=Transform!AI11))</f>
        <v/>
      </c>
      <c r="AR19" s="10">
        <f>IF(AND(ISNUMBER(AP19),AQ19&gt;0),CONFIDENCE($D$2,AP19,AQ19),"")</f>
        <v/>
      </c>
      <c r="AS19" s="10">
        <f>IF(AND(ISNUMBER(AN19),ISNUMBER(AR19)),AN19-AR19,"")</f>
        <v/>
      </c>
      <c r="AT19" s="10">
        <f>IF(AND(ISNUMBER(AN19),ISNUMBER(AR19)),AN19+AR19,"")</f>
        <v/>
      </c>
    </row>
    <row r="20">
      <c r="A20" s="1" t="n">
        <v>16</v>
      </c>
      <c r="B20" s="3">
        <f>AVERAGE(Transform!Q4:Q1004)</f>
        <v/>
      </c>
      <c r="C20" s="3">
        <f>VAR(Transform!Q4:Q1004)</f>
        <v/>
      </c>
      <c r="D20" s="3">
        <f>SQRT(C20)</f>
        <v/>
      </c>
      <c r="E20" s="1">
        <f>COUNTA(Data!Q4:Q1004)</f>
        <v/>
      </c>
      <c r="F20" s="10">
        <f>CONFIDENCE(D2,D20, E20)</f>
        <v/>
      </c>
      <c r="G20" s="10">
        <f>B20-F20</f>
        <v/>
      </c>
      <c r="H20" s="10">
        <f>B20+F20</f>
        <v/>
      </c>
      <c r="K20" s="1" t="n"/>
      <c r="L20" s="3">
        <f>IFERROR(AVERAGEIF(Transform!$A$4:$A$1004,Transform!AI12,Transform!$V$4:$V$1004),"")</f>
        <v/>
      </c>
      <c r="M20" s="3">
        <f>IFERROR(VAR(FILTER(Transform!$V$4:$V$1004,Transform!$A$4:$A$1004=Transform!AI12)),"")</f>
        <v/>
      </c>
      <c r="N20" s="3">
        <f>IF(ISNUMBER(M20),SQRT(M20),"")</f>
        <v/>
      </c>
      <c r="O20" s="1">
        <f>COUNT(FILTER(Transform!$V$4:$V$1004,Transform!$A$4:$A$1004=Transform!AI12))</f>
        <v/>
      </c>
      <c r="P20" s="10">
        <f>IF(AND(ISNUMBER(N20),O20&gt;0),CONFIDENCE($D$2,N20,O20),"")</f>
        <v/>
      </c>
      <c r="Q20" s="10">
        <f>IF(AND(ISNUMBER(L20),ISNUMBER(P20)),L20-P20,"")</f>
        <v/>
      </c>
      <c r="R20" s="10">
        <f>IF(AND(ISNUMBER(L20),ISNUMBER(P20)),L20+P20,"")</f>
        <v/>
      </c>
      <c r="S20" s="3">
        <f>IFERROR(AVERAGEIF(Transform!$A$4:$A$1004,Transform!AI12,Transform!$W$4:$W$1004),"")</f>
        <v/>
      </c>
      <c r="T20" s="3">
        <f>IFERROR(VAR(FILTER(Transform!$W$4:$W$1004,Transform!$A$4:$A$1004=Transform!AI12)),"")</f>
        <v/>
      </c>
      <c r="U20" s="3">
        <f>IF(ISNUMBER(T20),SQRT(T20),"")</f>
        <v/>
      </c>
      <c r="V20" s="1">
        <f>COUNT(FILTER(Transform!$W$4:$W$1004,Transform!$A$4:$A$1004=Transform!AI12))</f>
        <v/>
      </c>
      <c r="W20" s="10">
        <f>IF(AND(ISNUMBER(U20),V20&gt;0),CONFIDENCE($D$2,U20,V20),"")</f>
        <v/>
      </c>
      <c r="X20" s="10">
        <f>IF(AND(ISNUMBER(S20),ISNUMBER(W20)),S20-W20,"")</f>
        <v/>
      </c>
      <c r="Y20" s="10">
        <f>IF(AND(ISNUMBER(S20),ISNUMBER(W20)),S20+W20,"")</f>
        <v/>
      </c>
      <c r="Z20" s="3">
        <f>IFERROR(AVERAGEIF(Transform!$A$4:$A$1004,Transform!AI12,Transform!$X$4:$X$1004),"")</f>
        <v/>
      </c>
      <c r="AA20" s="3">
        <f>IFERROR(VAR(FILTER(Transform!$X$4:$X$1004,Transform!$A$4:$A$1004=Transform!AI12)),"")</f>
        <v/>
      </c>
      <c r="AB20" s="3">
        <f>IF(ISNUMBER(AA20),SQRT(AA20),"")</f>
        <v/>
      </c>
      <c r="AC20" s="1">
        <f>COUNT(FILTER(Transform!$X$4:$X$1004,Transform!$A$4:$A$1004=Transform!AI12))</f>
        <v/>
      </c>
      <c r="AD20" s="10">
        <f>IF(AND(ISNUMBER(AB20),AC20&gt;0),CONFIDENCE($D$2,AB20,AC20),"")</f>
        <v/>
      </c>
      <c r="AE20" s="10">
        <f>IF(AND(ISNUMBER(Z20),ISNUMBER(AD20)),Z20-AD20,"")</f>
        <v/>
      </c>
      <c r="AF20" s="10">
        <f>IF(AND(ISNUMBER(Z20),ISNUMBER(AD20)),Z20+AD20,"")</f>
        <v/>
      </c>
      <c r="AG20" s="12" t="n"/>
      <c r="AH20" s="3" t="n"/>
      <c r="AI20" s="3" t="n"/>
      <c r="AJ20" s="1" t="n"/>
      <c r="AK20" s="10" t="n"/>
      <c r="AL20" s="10" t="n"/>
      <c r="AM20" s="10" t="n"/>
      <c r="AN20" s="3">
        <f>IFERROR(AVERAGEIF(Transform!$A$4:$A$1004,Transform!AI12,Transform!$B$4:$S$1004),"")</f>
        <v/>
      </c>
      <c r="AO20" s="3">
        <f>IFERROR(VAR(FILTER(Transform!$B$4:$S$1004,Transform!$A$4:$A$1004=Transform!AI12)),"")</f>
        <v/>
      </c>
      <c r="AP20" s="3">
        <f>IF(ISNUMBER(AO20),SQRT(AO20),"")</f>
        <v/>
      </c>
      <c r="AQ20" s="1">
        <f>COUNT(FILTER(Transform!$B$4:$S$1004,Transform!$A$4:$A$1004=Transform!AI12))</f>
        <v/>
      </c>
      <c r="AR20" s="10">
        <f>IF(AND(ISNUMBER(AP20),AQ20&gt;0),CONFIDENCE($D$2,AP20,AQ20),"")</f>
        <v/>
      </c>
      <c r="AS20" s="10">
        <f>IF(AND(ISNUMBER(AN20),ISNUMBER(AR20)),AN20-AR20,"")</f>
        <v/>
      </c>
      <c r="AT20" s="10">
        <f>IF(AND(ISNUMBER(AN20),ISNUMBER(AR20)),AN20+AR20,"")</f>
        <v/>
      </c>
    </row>
    <row r="21">
      <c r="A21" s="1" t="n">
        <v>17</v>
      </c>
      <c r="B21" s="3">
        <f>AVERAGE(Transform!R4:R1004)</f>
        <v/>
      </c>
      <c r="C21" s="3">
        <f>VAR(Transform!R4:R1004)</f>
        <v/>
      </c>
      <c r="D21" s="3">
        <f>SQRT(C21)</f>
        <v/>
      </c>
      <c r="E21" s="1">
        <f>COUNTA(Data!R4:R1004)</f>
        <v/>
      </c>
      <c r="F21" s="10">
        <f>CONFIDENCE(D2,D21, E21)</f>
        <v/>
      </c>
      <c r="G21" s="10">
        <f>B21-F21</f>
        <v/>
      </c>
      <c r="H21" s="10">
        <f>B21+F21</f>
        <v/>
      </c>
      <c r="K21" s="1" t="n"/>
      <c r="L21" s="3">
        <f>IFERROR(AVERAGEIF(Transform!$A$4:$A$1004,Transform!AI13,Transform!$V$4:$V$1004),"")</f>
        <v/>
      </c>
      <c r="M21" s="3">
        <f>IFERROR(VAR(FILTER(Transform!$V$4:$V$1004,Transform!$A$4:$A$1004=Transform!AI13)),"")</f>
        <v/>
      </c>
      <c r="N21" s="3">
        <f>IF(ISNUMBER(M21),SQRT(M21),"")</f>
        <v/>
      </c>
      <c r="O21" s="1">
        <f>COUNT(FILTER(Transform!$V$4:$V$1004,Transform!$A$4:$A$1004=Transform!AI13))</f>
        <v/>
      </c>
      <c r="P21" s="10">
        <f>IF(AND(ISNUMBER(N21),O21&gt;0),CONFIDENCE($D$2,N21,O21),"")</f>
        <v/>
      </c>
      <c r="Q21" s="10">
        <f>IF(AND(ISNUMBER(L21),ISNUMBER(P21)),L21-P21,"")</f>
        <v/>
      </c>
      <c r="R21" s="10">
        <f>IF(AND(ISNUMBER(L21),ISNUMBER(P21)),L21+P21,"")</f>
        <v/>
      </c>
      <c r="S21" s="3">
        <f>IFERROR(AVERAGEIF(Transform!$A$4:$A$1004,Transform!AI13,Transform!$W$4:$W$1004),"")</f>
        <v/>
      </c>
      <c r="T21" s="3">
        <f>IFERROR(VAR(FILTER(Transform!$W$4:$W$1004,Transform!$A$4:$A$1004=Transform!AI13)),"")</f>
        <v/>
      </c>
      <c r="U21" s="3">
        <f>IF(ISNUMBER(T21),SQRT(T21),"")</f>
        <v/>
      </c>
      <c r="V21" s="1">
        <f>COUNT(FILTER(Transform!$W$4:$W$1004,Transform!$A$4:$A$1004=Transform!AI13))</f>
        <v/>
      </c>
      <c r="W21" s="10">
        <f>IF(AND(ISNUMBER(U21),V21&gt;0),CONFIDENCE($D$2,U21,V21),"")</f>
        <v/>
      </c>
      <c r="X21" s="10">
        <f>IF(AND(ISNUMBER(S21),ISNUMBER(W21)),S21-W21,"")</f>
        <v/>
      </c>
      <c r="Y21" s="10">
        <f>IF(AND(ISNUMBER(S21),ISNUMBER(W21)),S21+W21,"")</f>
        <v/>
      </c>
      <c r="Z21" s="3">
        <f>IFERROR(AVERAGEIF(Transform!$A$4:$A$1004,Transform!AI13,Transform!$X$4:$X$1004),"")</f>
        <v/>
      </c>
      <c r="AA21" s="3">
        <f>IFERROR(VAR(FILTER(Transform!$X$4:$X$1004,Transform!$A$4:$A$1004=Transform!AI13)),"")</f>
        <v/>
      </c>
      <c r="AB21" s="3">
        <f>IF(ISNUMBER(AA21),SQRT(AA21),"")</f>
        <v/>
      </c>
      <c r="AC21" s="1">
        <f>COUNT(FILTER(Transform!$X$4:$X$1004,Transform!$A$4:$A$1004=Transform!AI13))</f>
        <v/>
      </c>
      <c r="AD21" s="10">
        <f>IF(AND(ISNUMBER(AB21),AC21&gt;0),CONFIDENCE($D$2,AB21,AC21),"")</f>
        <v/>
      </c>
      <c r="AE21" s="10">
        <f>IF(AND(ISNUMBER(Z21),ISNUMBER(AD21)),Z21-AD21,"")</f>
        <v/>
      </c>
      <c r="AF21" s="10">
        <f>IF(AND(ISNUMBER(Z21),ISNUMBER(AD21)),Z21+AD21,"")</f>
        <v/>
      </c>
      <c r="AG21" s="12" t="n"/>
      <c r="AH21" s="3" t="n"/>
      <c r="AI21" s="3" t="n"/>
      <c r="AJ21" s="1" t="n"/>
      <c r="AK21" s="10" t="n"/>
      <c r="AL21" s="10" t="n"/>
      <c r="AM21" s="10" t="n"/>
      <c r="AN21" s="3">
        <f>IFERROR(AVERAGEIF(Transform!$A$4:$A$1004,Transform!AI13,Transform!$B$4:$S$1004),"")</f>
        <v/>
      </c>
      <c r="AO21" s="3">
        <f>IFERROR(VAR(FILTER(Transform!$B$4:$S$1004,Transform!$A$4:$A$1004=Transform!AI13)),"")</f>
        <v/>
      </c>
      <c r="AP21" s="3">
        <f>IF(ISNUMBER(AO21),SQRT(AO21),"")</f>
        <v/>
      </c>
      <c r="AQ21" s="1">
        <f>COUNT(FILTER(Transform!$B$4:$S$1004,Transform!$A$4:$A$1004=Transform!AI13))</f>
        <v/>
      </c>
      <c r="AR21" s="10">
        <f>IF(AND(ISNUMBER(AP21),AQ21&gt;0),CONFIDENCE($D$2,AP21,AQ21),"")</f>
        <v/>
      </c>
      <c r="AS21" s="10">
        <f>IF(AND(ISNUMBER(AN21),ISNUMBER(AR21)),AN21-AR21,"")</f>
        <v/>
      </c>
      <c r="AT21" s="10">
        <f>IF(AND(ISNUMBER(AN21),ISNUMBER(AR21)),AN21+AR21,"")</f>
        <v/>
      </c>
    </row>
    <row r="22">
      <c r="A22" s="1" t="n">
        <v>18</v>
      </c>
      <c r="B22" s="3">
        <f>AVERAGE(Transform!S4:S1004)</f>
        <v/>
      </c>
      <c r="C22" s="3">
        <f>VAR(Transform!S4:S1004)</f>
        <v/>
      </c>
      <c r="D22" s="3">
        <f>SQRT(C22)</f>
        <v/>
      </c>
      <c r="E22" s="1">
        <f>COUNTA(Data!S4:S1004)</f>
        <v/>
      </c>
      <c r="F22" s="10">
        <f>CONFIDENCE(D2,D22, E22)</f>
        <v/>
      </c>
      <c r="G22" s="10">
        <f>B22-F22</f>
        <v/>
      </c>
      <c r="H22" s="10">
        <f>B22+F22</f>
        <v/>
      </c>
      <c r="K22" s="1" t="n"/>
      <c r="L22" s="3">
        <f>IFERROR(AVERAGEIF(Transform!$A$4:$A$1004,Transform!AI14,Transform!$V$4:$V$1004),"")</f>
        <v/>
      </c>
      <c r="M22" s="3">
        <f>IFERROR(VAR(FILTER(Transform!$V$4:$V$1004,Transform!$A$4:$A$1004=Transform!AI14)),"")</f>
        <v/>
      </c>
      <c r="N22" s="3">
        <f>IF(ISNUMBER(M22),SQRT(M22),"")</f>
        <v/>
      </c>
      <c r="O22" s="1">
        <f>COUNT(FILTER(Transform!$V$4:$V$1004,Transform!$A$4:$A$1004=Transform!AI14))</f>
        <v/>
      </c>
      <c r="P22" s="10">
        <f>IF(AND(ISNUMBER(N22),O22&gt;0),CONFIDENCE($D$2,N22,O22),"")</f>
        <v/>
      </c>
      <c r="Q22" s="10">
        <f>IF(AND(ISNUMBER(L22),ISNUMBER(P22)),L22-P22,"")</f>
        <v/>
      </c>
      <c r="R22" s="10">
        <f>IF(AND(ISNUMBER(L22),ISNUMBER(P22)),L22+P22,"")</f>
        <v/>
      </c>
      <c r="S22" s="3">
        <f>IFERROR(AVERAGEIF(Transform!$A$4:$A$1004,Transform!AI14,Transform!$W$4:$W$1004),"")</f>
        <v/>
      </c>
      <c r="T22" s="3">
        <f>IFERROR(VAR(FILTER(Transform!$W$4:$W$1004,Transform!$A$4:$A$1004=Transform!AI14)),"")</f>
        <v/>
      </c>
      <c r="U22" s="3">
        <f>IF(ISNUMBER(T22),SQRT(T22),"")</f>
        <v/>
      </c>
      <c r="V22" s="1">
        <f>COUNT(FILTER(Transform!$W$4:$W$1004,Transform!$A$4:$A$1004=Transform!AI14))</f>
        <v/>
      </c>
      <c r="W22" s="10">
        <f>IF(AND(ISNUMBER(U22),V22&gt;0),CONFIDENCE($D$2,U22,V22),"")</f>
        <v/>
      </c>
      <c r="X22" s="10">
        <f>IF(AND(ISNUMBER(S22),ISNUMBER(W22)),S22-W22,"")</f>
        <v/>
      </c>
      <c r="Y22" s="10">
        <f>IF(AND(ISNUMBER(S22),ISNUMBER(W22)),S22+W22,"")</f>
        <v/>
      </c>
      <c r="Z22" s="3">
        <f>IFERROR(AVERAGEIF(Transform!$A$4:$A$1004,Transform!AI14,Transform!$X$4:$X$1004),"")</f>
        <v/>
      </c>
      <c r="AA22" s="3">
        <f>IFERROR(VAR(FILTER(Transform!$X$4:$X$1004,Transform!$A$4:$A$1004=Transform!AI14)),"")</f>
        <v/>
      </c>
      <c r="AB22" s="3">
        <f>IF(ISNUMBER(AA22),SQRT(AA22),"")</f>
        <v/>
      </c>
      <c r="AC22" s="1">
        <f>COUNT(FILTER(Transform!$X$4:$X$1004,Transform!$A$4:$A$1004=Transform!AI14))</f>
        <v/>
      </c>
      <c r="AD22" s="10">
        <f>IF(AND(ISNUMBER(AB22),AC22&gt;0),CONFIDENCE($D$2,AB22,AC22),"")</f>
        <v/>
      </c>
      <c r="AE22" s="10">
        <f>IF(AND(ISNUMBER(Z22),ISNUMBER(AD22)),Z22-AD22,"")</f>
        <v/>
      </c>
      <c r="AF22" s="10">
        <f>IF(AND(ISNUMBER(Z22),ISNUMBER(AD22)),Z22+AD22,"")</f>
        <v/>
      </c>
      <c r="AG22" s="12" t="n"/>
      <c r="AH22" s="3" t="n"/>
      <c r="AI22" s="3" t="n"/>
      <c r="AJ22" s="1" t="n"/>
      <c r="AK22" s="10" t="n"/>
      <c r="AL22" s="10" t="n"/>
      <c r="AM22" s="10" t="n"/>
      <c r="AN22" s="3">
        <f>IFERROR(AVERAGEIF(Transform!$A$4:$A$1004,Transform!AI14,Transform!$B$4:$S$1004),"")</f>
        <v/>
      </c>
      <c r="AO22" s="3">
        <f>IFERROR(VAR(FILTER(Transform!$B$4:$S$1004,Transform!$A$4:$A$1004=Transform!AI14)),"")</f>
        <v/>
      </c>
      <c r="AP22" s="3">
        <f>IF(ISNUMBER(AO22),SQRT(AO22),"")</f>
        <v/>
      </c>
      <c r="AQ22" s="1">
        <f>COUNT(FILTER(Transform!$B$4:$S$1004,Transform!$A$4:$A$1004=Transform!AI14))</f>
        <v/>
      </c>
      <c r="AR22" s="10">
        <f>IF(AND(ISNUMBER(AP22),AQ22&gt;0),CONFIDENCE($D$2,AP22,AQ22),"")</f>
        <v/>
      </c>
      <c r="AS22" s="10">
        <f>IF(AND(ISNUMBER(AN22),ISNUMBER(AR22)),AN22-AR22,"")</f>
        <v/>
      </c>
      <c r="AT22" s="10">
        <f>IF(AND(ISNUMBER(AN22),ISNUMBER(AR22)),AN22+AR22,"")</f>
        <v/>
      </c>
    </row>
    <row r="23">
      <c r="K23" s="1" t="n"/>
      <c r="L23" s="3">
        <f>IFERROR(AVERAGEIF(Transform!$A$4:$A$1004,Transform!AI15,Transform!$V$4:$V$1004),"")</f>
        <v/>
      </c>
      <c r="M23" s="3">
        <f>IFERROR(VAR(FILTER(Transform!$V$4:$V$1004,Transform!$A$4:$A$1004=Transform!AI15)),"")</f>
        <v/>
      </c>
      <c r="N23" s="3">
        <f>IF(ISNUMBER(M23),SQRT(M23),"")</f>
        <v/>
      </c>
      <c r="O23" s="1">
        <f>COUNT(FILTER(Transform!$V$4:$V$1004,Transform!$A$4:$A$1004=Transform!AI15))</f>
        <v/>
      </c>
      <c r="P23" s="10">
        <f>IF(AND(ISNUMBER(N23),O23&gt;0),CONFIDENCE($D$2,N23,O23),"")</f>
        <v/>
      </c>
      <c r="Q23" s="10">
        <f>IF(AND(ISNUMBER(L23),ISNUMBER(P23)),L23-P23,"")</f>
        <v/>
      </c>
      <c r="R23" s="10">
        <f>IF(AND(ISNUMBER(L23),ISNUMBER(P23)),L23+P23,"")</f>
        <v/>
      </c>
      <c r="S23" s="3">
        <f>IFERROR(AVERAGEIF(Transform!$A$4:$A$1004,Transform!AI15,Transform!$W$4:$W$1004),"")</f>
        <v/>
      </c>
      <c r="T23" s="3">
        <f>IFERROR(VAR(FILTER(Transform!$W$4:$W$1004,Transform!$A$4:$A$1004=Transform!AI15)),"")</f>
        <v/>
      </c>
      <c r="U23" s="3">
        <f>IF(ISNUMBER(T23),SQRT(T23),"")</f>
        <v/>
      </c>
      <c r="V23" s="1">
        <f>COUNT(FILTER(Transform!$W$4:$W$1004,Transform!$A$4:$A$1004=Transform!AI15))</f>
        <v/>
      </c>
      <c r="W23" s="10">
        <f>IF(AND(ISNUMBER(U23),V23&gt;0),CONFIDENCE($D$2,U23,V23),"")</f>
        <v/>
      </c>
      <c r="X23" s="10">
        <f>IF(AND(ISNUMBER(S23),ISNUMBER(W23)),S23-W23,"")</f>
        <v/>
      </c>
      <c r="Y23" s="10">
        <f>IF(AND(ISNUMBER(S23),ISNUMBER(W23)),S23+W23,"")</f>
        <v/>
      </c>
      <c r="Z23" s="3">
        <f>IFERROR(AVERAGEIF(Transform!$A$4:$A$1004,Transform!AI15,Transform!$X$4:$X$1004),"")</f>
        <v/>
      </c>
      <c r="AA23" s="3">
        <f>IFERROR(VAR(FILTER(Transform!$X$4:$X$1004,Transform!$A$4:$A$1004=Transform!AI15)),"")</f>
        <v/>
      </c>
      <c r="AB23" s="3">
        <f>IF(ISNUMBER(AA23),SQRT(AA23),"")</f>
        <v/>
      </c>
      <c r="AC23" s="1">
        <f>COUNT(FILTER(Transform!$X$4:$X$1004,Transform!$A$4:$A$1004=Transform!AI15))</f>
        <v/>
      </c>
      <c r="AD23" s="10">
        <f>IF(AND(ISNUMBER(AB23),AC23&gt;0),CONFIDENCE($D$2,AB23,AC23),"")</f>
        <v/>
      </c>
      <c r="AE23" s="10">
        <f>IF(AND(ISNUMBER(Z23),ISNUMBER(AD23)),Z23-AD23,"")</f>
        <v/>
      </c>
      <c r="AF23" s="10">
        <f>IF(AND(ISNUMBER(Z23),ISNUMBER(AD23)),Z23+AD23,"")</f>
        <v/>
      </c>
      <c r="AG23" s="12" t="n"/>
      <c r="AH23" s="3" t="n"/>
      <c r="AI23" s="3" t="n"/>
      <c r="AJ23" s="1" t="n"/>
      <c r="AK23" s="10" t="n"/>
      <c r="AL23" s="10" t="n"/>
      <c r="AM23" s="10" t="n"/>
      <c r="AN23" s="3">
        <f>IFERROR(AVERAGEIF(Transform!$A$4:$A$1004,Transform!AI15,Transform!$B$4:$S$1004),"")</f>
        <v/>
      </c>
      <c r="AO23" s="3">
        <f>IFERROR(VAR(FILTER(Transform!$B$4:$S$1004,Transform!$A$4:$A$1004=Transform!AI15)),"")</f>
        <v/>
      </c>
      <c r="AP23" s="3">
        <f>IF(ISNUMBER(AO23),SQRT(AO23),"")</f>
        <v/>
      </c>
      <c r="AQ23" s="1">
        <f>COUNT(FILTER(Transform!$B$4:$S$1004,Transform!$A$4:$A$1004=Transform!AI15))</f>
        <v/>
      </c>
      <c r="AR23" s="10">
        <f>IF(AND(ISNUMBER(AP23),AQ23&gt;0),CONFIDENCE($D$2,AP23,AQ23),"")</f>
        <v/>
      </c>
      <c r="AS23" s="10">
        <f>IF(AND(ISNUMBER(AN23),ISNUMBER(AR23)),AN23-AR23,"")</f>
        <v/>
      </c>
      <c r="AT23" s="10">
        <f>IF(AND(ISNUMBER(AN23),ISNUMBER(AR23)),AN23+AR23,"")</f>
        <v/>
      </c>
    </row>
    <row r="24">
      <c r="K24" s="1" t="n"/>
      <c r="L24" s="3">
        <f>IFERROR(AVERAGEIF(Transform!$A$4:$A$1004,Transform!AI16,Transform!$V$4:$V$1004),"")</f>
        <v/>
      </c>
      <c r="M24" s="3">
        <f>IFERROR(VAR(FILTER(Transform!$V$4:$V$1004,Transform!$A$4:$A$1004=Transform!AI16)),"")</f>
        <v/>
      </c>
      <c r="N24" s="3">
        <f>IF(ISNUMBER(M24),SQRT(M24),"")</f>
        <v/>
      </c>
      <c r="O24" s="1">
        <f>COUNT(FILTER(Transform!$V$4:$V$1004,Transform!$A$4:$A$1004=Transform!AI16))</f>
        <v/>
      </c>
      <c r="P24" s="10">
        <f>IF(AND(ISNUMBER(N24),O24&gt;0),CONFIDENCE($D$2,N24,O24),"")</f>
        <v/>
      </c>
      <c r="Q24" s="10">
        <f>IF(AND(ISNUMBER(L24),ISNUMBER(P24)),L24-P24,"")</f>
        <v/>
      </c>
      <c r="R24" s="10">
        <f>IF(AND(ISNUMBER(L24),ISNUMBER(P24)),L24+P24,"")</f>
        <v/>
      </c>
      <c r="S24" s="3">
        <f>IFERROR(AVERAGEIF(Transform!$A$4:$A$1004,Transform!AI16,Transform!$W$4:$W$1004),"")</f>
        <v/>
      </c>
      <c r="T24" s="3">
        <f>IFERROR(VAR(FILTER(Transform!$W$4:$W$1004,Transform!$A$4:$A$1004=Transform!AI16)),"")</f>
        <v/>
      </c>
      <c r="U24" s="3">
        <f>IF(ISNUMBER(T24),SQRT(T24),"")</f>
        <v/>
      </c>
      <c r="V24" s="1">
        <f>COUNT(FILTER(Transform!$W$4:$W$1004,Transform!$A$4:$A$1004=Transform!AI16))</f>
        <v/>
      </c>
      <c r="W24" s="10">
        <f>IF(AND(ISNUMBER(U24),V24&gt;0),CONFIDENCE($D$2,U24,V24),"")</f>
        <v/>
      </c>
      <c r="X24" s="10">
        <f>IF(AND(ISNUMBER(S24),ISNUMBER(W24)),S24-W24,"")</f>
        <v/>
      </c>
      <c r="Y24" s="10">
        <f>IF(AND(ISNUMBER(S24),ISNUMBER(W24)),S24+W24,"")</f>
        <v/>
      </c>
      <c r="Z24" s="3">
        <f>IFERROR(AVERAGEIF(Transform!$A$4:$A$1004,Transform!AI16,Transform!$X$4:$X$1004),"")</f>
        <v/>
      </c>
      <c r="AA24" s="3">
        <f>IFERROR(VAR(FILTER(Transform!$X$4:$X$1004,Transform!$A$4:$A$1004=Transform!AI16)),"")</f>
        <v/>
      </c>
      <c r="AB24" s="3">
        <f>IF(ISNUMBER(AA24),SQRT(AA24),"")</f>
        <v/>
      </c>
      <c r="AC24" s="1">
        <f>COUNT(FILTER(Transform!$X$4:$X$1004,Transform!$A$4:$A$1004=Transform!AI16))</f>
        <v/>
      </c>
      <c r="AD24" s="10">
        <f>IF(AND(ISNUMBER(AB24),AC24&gt;0),CONFIDENCE($D$2,AB24,AC24),"")</f>
        <v/>
      </c>
      <c r="AE24" s="10">
        <f>IF(AND(ISNUMBER(Z24),ISNUMBER(AD24)),Z24-AD24,"")</f>
        <v/>
      </c>
      <c r="AF24" s="10">
        <f>IF(AND(ISNUMBER(Z24),ISNUMBER(AD24)),Z24+AD24,"")</f>
        <v/>
      </c>
      <c r="AG24" s="12" t="n"/>
      <c r="AH24" s="3" t="n"/>
      <c r="AI24" s="3" t="n"/>
      <c r="AJ24" s="1" t="n"/>
      <c r="AK24" s="10" t="n"/>
      <c r="AL24" s="10" t="n"/>
      <c r="AM24" s="10" t="n"/>
      <c r="AN24" s="3">
        <f>IFERROR(AVERAGEIF(Transform!$A$4:$A$1004,Transform!AI16,Transform!$B$4:$S$1004),"")</f>
        <v/>
      </c>
      <c r="AO24" s="3">
        <f>IFERROR(VAR(FILTER(Transform!$B$4:$S$1004,Transform!$A$4:$A$1004=Transform!AI16)),"")</f>
        <v/>
      </c>
      <c r="AP24" s="3">
        <f>IF(ISNUMBER(AO24),SQRT(AO24),"")</f>
        <v/>
      </c>
      <c r="AQ24" s="1">
        <f>COUNT(FILTER(Transform!$B$4:$S$1004,Transform!$A$4:$A$1004=Transform!AI16))</f>
        <v/>
      </c>
      <c r="AR24" s="10">
        <f>IF(AND(ISNUMBER(AP24),AQ24&gt;0),CONFIDENCE($D$2,AP24,AQ24),"")</f>
        <v/>
      </c>
      <c r="AS24" s="10">
        <f>IF(AND(ISNUMBER(AN24),ISNUMBER(AR24)),AN24-AR24,"")</f>
        <v/>
      </c>
      <c r="AT24" s="10">
        <f>IF(AND(ISNUMBER(AN24),ISNUMBER(AR24)),AN24+AR24,"")</f>
        <v/>
      </c>
    </row>
    <row r="25">
      <c r="K25" s="1" t="n"/>
      <c r="L25" s="3">
        <f>IFERROR(AVERAGEIF(Transform!$A$4:$A$1004,Transform!AI17,Transform!$V$4:$V$1004),"")</f>
        <v/>
      </c>
      <c r="M25" s="3">
        <f>IFERROR(VAR(FILTER(Transform!$V$4:$V$1004,Transform!$A$4:$A$1004=Transform!AI17)),"")</f>
        <v/>
      </c>
      <c r="N25" s="3">
        <f>IF(ISNUMBER(M25),SQRT(M25),"")</f>
        <v/>
      </c>
      <c r="O25" s="1">
        <f>COUNT(FILTER(Transform!$V$4:$V$1004,Transform!$A$4:$A$1004=Transform!AI17))</f>
        <v/>
      </c>
      <c r="P25" s="10">
        <f>IF(AND(ISNUMBER(N25),O25&gt;0),CONFIDENCE($D$2,N25,O25),"")</f>
        <v/>
      </c>
      <c r="Q25" s="10">
        <f>IF(AND(ISNUMBER(L25),ISNUMBER(P25)),L25-P25,"")</f>
        <v/>
      </c>
      <c r="R25" s="10">
        <f>IF(AND(ISNUMBER(L25),ISNUMBER(P25)),L25+P25,"")</f>
        <v/>
      </c>
      <c r="S25" s="3">
        <f>IFERROR(AVERAGEIF(Transform!$A$4:$A$1004,Transform!AI17,Transform!$W$4:$W$1004),"")</f>
        <v/>
      </c>
      <c r="T25" s="3">
        <f>IFERROR(VAR(FILTER(Transform!$W$4:$W$1004,Transform!$A$4:$A$1004=Transform!AI17)),"")</f>
        <v/>
      </c>
      <c r="U25" s="3">
        <f>IF(ISNUMBER(T25),SQRT(T25),"")</f>
        <v/>
      </c>
      <c r="V25" s="1">
        <f>COUNT(FILTER(Transform!$W$4:$W$1004,Transform!$A$4:$A$1004=Transform!AI17))</f>
        <v/>
      </c>
      <c r="W25" s="10">
        <f>IF(AND(ISNUMBER(U25),V25&gt;0),CONFIDENCE($D$2,U25,V25),"")</f>
        <v/>
      </c>
      <c r="X25" s="10">
        <f>IF(AND(ISNUMBER(S25),ISNUMBER(W25)),S25-W25,"")</f>
        <v/>
      </c>
      <c r="Y25" s="10">
        <f>IF(AND(ISNUMBER(S25),ISNUMBER(W25)),S25+W25,"")</f>
        <v/>
      </c>
      <c r="Z25" s="3">
        <f>IFERROR(AVERAGEIF(Transform!$A$4:$A$1004,Transform!AI17,Transform!$X$4:$X$1004),"")</f>
        <v/>
      </c>
      <c r="AA25" s="3">
        <f>IFERROR(VAR(FILTER(Transform!$X$4:$X$1004,Transform!$A$4:$A$1004=Transform!AI17)),"")</f>
        <v/>
      </c>
      <c r="AB25" s="3">
        <f>IF(ISNUMBER(AA25),SQRT(AA25),"")</f>
        <v/>
      </c>
      <c r="AC25" s="1">
        <f>COUNT(FILTER(Transform!$X$4:$X$1004,Transform!$A$4:$A$1004=Transform!AI17))</f>
        <v/>
      </c>
      <c r="AD25" s="10">
        <f>IF(AND(ISNUMBER(AB25),AC25&gt;0),CONFIDENCE($D$2,AB25,AC25),"")</f>
        <v/>
      </c>
      <c r="AE25" s="10">
        <f>IF(AND(ISNUMBER(Z25),ISNUMBER(AD25)),Z25-AD25,"")</f>
        <v/>
      </c>
      <c r="AF25" s="10">
        <f>IF(AND(ISNUMBER(Z25),ISNUMBER(AD25)),Z25+AD25,"")</f>
        <v/>
      </c>
      <c r="AG25" s="12" t="n"/>
      <c r="AH25" s="3" t="n"/>
      <c r="AI25" s="3" t="n"/>
      <c r="AJ25" s="1" t="n"/>
      <c r="AK25" s="10" t="n"/>
      <c r="AL25" s="10" t="n"/>
      <c r="AM25" s="10" t="n"/>
      <c r="AN25" s="3">
        <f>IFERROR(AVERAGEIF(Transform!$A$4:$A$1004,Transform!AI17,Transform!$B$4:$S$1004),"")</f>
        <v/>
      </c>
      <c r="AO25" s="3">
        <f>IFERROR(VAR(FILTER(Transform!$B$4:$S$1004,Transform!$A$4:$A$1004=Transform!AI17)),"")</f>
        <v/>
      </c>
      <c r="AP25" s="3">
        <f>IF(ISNUMBER(AO25),SQRT(AO25),"")</f>
        <v/>
      </c>
      <c r="AQ25" s="1">
        <f>COUNT(FILTER(Transform!$B$4:$S$1004,Transform!$A$4:$A$1004=Transform!AI17))</f>
        <v/>
      </c>
      <c r="AR25" s="10">
        <f>IF(AND(ISNUMBER(AP25),AQ25&gt;0),CONFIDENCE($D$2,AP25,AQ25),"")</f>
        <v/>
      </c>
      <c r="AS25" s="10">
        <f>IF(AND(ISNUMBER(AN25),ISNUMBER(AR25)),AN25-AR25,"")</f>
        <v/>
      </c>
      <c r="AT25" s="10">
        <f>IF(AND(ISNUMBER(AN25),ISNUMBER(AR25)),AN25+AR25,"")</f>
        <v/>
      </c>
    </row>
    <row r="26">
      <c r="K26" s="1" t="n"/>
      <c r="L26" s="3">
        <f>IFERROR(AVERAGEIF(Transform!$A$4:$A$1004,Transform!AI18,Transform!$V$4:$V$1004),"")</f>
        <v/>
      </c>
      <c r="M26" s="3">
        <f>IFERROR(VAR(FILTER(Transform!$V$4:$V$1004,Transform!$A$4:$A$1004=Transform!AI18)),"")</f>
        <v/>
      </c>
      <c r="N26" s="3">
        <f>IF(ISNUMBER(M26),SQRT(M26),"")</f>
        <v/>
      </c>
      <c r="O26" s="1">
        <f>COUNT(FILTER(Transform!$V$4:$V$1004,Transform!$A$4:$A$1004=Transform!AI18))</f>
        <v/>
      </c>
      <c r="P26" s="10">
        <f>IF(AND(ISNUMBER(N26),O26&gt;0),CONFIDENCE($D$2,N26,O26),"")</f>
        <v/>
      </c>
      <c r="Q26" s="10">
        <f>IF(AND(ISNUMBER(L26),ISNUMBER(P26)),L26-P26,"")</f>
        <v/>
      </c>
      <c r="R26" s="10">
        <f>IF(AND(ISNUMBER(L26),ISNUMBER(P26)),L26+P26,"")</f>
        <v/>
      </c>
      <c r="S26" s="3">
        <f>IFERROR(AVERAGEIF(Transform!$A$4:$A$1004,Transform!AI18,Transform!$W$4:$W$1004),"")</f>
        <v/>
      </c>
      <c r="T26" s="3">
        <f>IFERROR(VAR(FILTER(Transform!$W$4:$W$1004,Transform!$A$4:$A$1004=Transform!AI18)),"")</f>
        <v/>
      </c>
      <c r="U26" s="3">
        <f>IF(ISNUMBER(T26),SQRT(T26),"")</f>
        <v/>
      </c>
      <c r="V26" s="1">
        <f>COUNT(FILTER(Transform!$W$4:$W$1004,Transform!$A$4:$A$1004=Transform!AI18))</f>
        <v/>
      </c>
      <c r="W26" s="10">
        <f>IF(AND(ISNUMBER(U26),V26&gt;0),CONFIDENCE($D$2,U26,V26),"")</f>
        <v/>
      </c>
      <c r="X26" s="10">
        <f>IF(AND(ISNUMBER(S26),ISNUMBER(W26)),S26-W26,"")</f>
        <v/>
      </c>
      <c r="Y26" s="10">
        <f>IF(AND(ISNUMBER(S26),ISNUMBER(W26)),S26+W26,"")</f>
        <v/>
      </c>
      <c r="Z26" s="3">
        <f>IFERROR(AVERAGEIF(Transform!$A$4:$A$1004,Transform!AI18,Transform!$X$4:$X$1004),"")</f>
        <v/>
      </c>
      <c r="AA26" s="3">
        <f>IFERROR(VAR(FILTER(Transform!$X$4:$X$1004,Transform!$A$4:$A$1004=Transform!AI18)),"")</f>
        <v/>
      </c>
      <c r="AB26" s="3">
        <f>IF(ISNUMBER(AA26),SQRT(AA26),"")</f>
        <v/>
      </c>
      <c r="AC26" s="1">
        <f>COUNT(FILTER(Transform!$X$4:$X$1004,Transform!$A$4:$A$1004=Transform!AI18))</f>
        <v/>
      </c>
      <c r="AD26" s="10">
        <f>IF(AND(ISNUMBER(AB26),AC26&gt;0),CONFIDENCE($D$2,AB26,AC26),"")</f>
        <v/>
      </c>
      <c r="AE26" s="10">
        <f>IF(AND(ISNUMBER(Z26),ISNUMBER(AD26)),Z26-AD26,"")</f>
        <v/>
      </c>
      <c r="AF26" s="10">
        <f>IF(AND(ISNUMBER(Z26),ISNUMBER(AD26)),Z26+AD26,"")</f>
        <v/>
      </c>
      <c r="AG26" s="12" t="n"/>
      <c r="AH26" s="3" t="n"/>
      <c r="AI26" s="3" t="n"/>
      <c r="AJ26" s="1" t="n"/>
      <c r="AK26" s="10" t="n"/>
      <c r="AL26" s="10" t="n"/>
      <c r="AM26" s="10" t="n"/>
      <c r="AN26" s="3">
        <f>IFERROR(AVERAGEIF(Transform!$A$4:$A$1004,Transform!AI18,Transform!$B$4:$S$1004),"")</f>
        <v/>
      </c>
      <c r="AO26" s="3">
        <f>IFERROR(VAR(FILTER(Transform!$B$4:$S$1004,Transform!$A$4:$A$1004=Transform!AI18)),"")</f>
        <v/>
      </c>
      <c r="AP26" s="3">
        <f>IF(ISNUMBER(AO26),SQRT(AO26),"")</f>
        <v/>
      </c>
      <c r="AQ26" s="1">
        <f>COUNT(FILTER(Transform!$B$4:$S$1004,Transform!$A$4:$A$1004=Transform!AI18))</f>
        <v/>
      </c>
      <c r="AR26" s="10">
        <f>IF(AND(ISNUMBER(AP26),AQ26&gt;0),CONFIDENCE($D$2,AP26,AQ26),"")</f>
        <v/>
      </c>
      <c r="AS26" s="10">
        <f>IF(AND(ISNUMBER(AN26),ISNUMBER(AR26)),AN26-AR26,"")</f>
        <v/>
      </c>
      <c r="AT26" s="10">
        <f>IF(AND(ISNUMBER(AN26),ISNUMBER(AR26)),AN26+AR26,"")</f>
        <v/>
      </c>
    </row>
    <row r="27">
      <c r="K27" s="1" t="n"/>
      <c r="L27" s="3">
        <f>IFERROR(AVERAGEIF(Transform!$A$4:$A$1004,Transform!AI19,Transform!$V$4:$V$1004),"")</f>
        <v/>
      </c>
      <c r="M27" s="3">
        <f>IFERROR(VAR(FILTER(Transform!$V$4:$V$1004,Transform!$A$4:$A$1004=Transform!AI19)),"")</f>
        <v/>
      </c>
      <c r="N27" s="3">
        <f>IF(ISNUMBER(M27),SQRT(M27),"")</f>
        <v/>
      </c>
      <c r="O27" s="1">
        <f>COUNT(FILTER(Transform!$V$4:$V$1004,Transform!$A$4:$A$1004=Transform!AI19))</f>
        <v/>
      </c>
      <c r="P27" s="10">
        <f>IF(AND(ISNUMBER(N27),O27&gt;0),CONFIDENCE($D$2,N27,O27),"")</f>
        <v/>
      </c>
      <c r="Q27" s="10">
        <f>IF(AND(ISNUMBER(L27),ISNUMBER(P27)),L27-P27,"")</f>
        <v/>
      </c>
      <c r="R27" s="10">
        <f>IF(AND(ISNUMBER(L27),ISNUMBER(P27)),L27+P27,"")</f>
        <v/>
      </c>
      <c r="S27" s="3">
        <f>IFERROR(AVERAGEIF(Transform!$A$4:$A$1004,Transform!AI19,Transform!$W$4:$W$1004),"")</f>
        <v/>
      </c>
      <c r="T27" s="3">
        <f>IFERROR(VAR(FILTER(Transform!$W$4:$W$1004,Transform!$A$4:$A$1004=Transform!AI19)),"")</f>
        <v/>
      </c>
      <c r="U27" s="3">
        <f>IF(ISNUMBER(T27),SQRT(T27),"")</f>
        <v/>
      </c>
      <c r="V27" s="1">
        <f>COUNT(FILTER(Transform!$W$4:$W$1004,Transform!$A$4:$A$1004=Transform!AI19))</f>
        <v/>
      </c>
      <c r="W27" s="10">
        <f>IF(AND(ISNUMBER(U27),V27&gt;0),CONFIDENCE($D$2,U27,V27),"")</f>
        <v/>
      </c>
      <c r="X27" s="10">
        <f>IF(AND(ISNUMBER(S27),ISNUMBER(W27)),S27-W27,"")</f>
        <v/>
      </c>
      <c r="Y27" s="10">
        <f>IF(AND(ISNUMBER(S27),ISNUMBER(W27)),S27+W27,"")</f>
        <v/>
      </c>
      <c r="Z27" s="3">
        <f>IFERROR(AVERAGEIF(Transform!$A$4:$A$1004,Transform!AI19,Transform!$X$4:$X$1004),"")</f>
        <v/>
      </c>
      <c r="AA27" s="3">
        <f>IFERROR(VAR(FILTER(Transform!$X$4:$X$1004,Transform!$A$4:$A$1004=Transform!AI19)),"")</f>
        <v/>
      </c>
      <c r="AB27" s="3">
        <f>IF(ISNUMBER(AA27),SQRT(AA27),"")</f>
        <v/>
      </c>
      <c r="AC27" s="1">
        <f>COUNT(FILTER(Transform!$X$4:$X$1004,Transform!$A$4:$A$1004=Transform!AI19))</f>
        <v/>
      </c>
      <c r="AD27" s="10">
        <f>IF(AND(ISNUMBER(AB27),AC27&gt;0),CONFIDENCE($D$2,AB27,AC27),"")</f>
        <v/>
      </c>
      <c r="AE27" s="10">
        <f>IF(AND(ISNUMBER(Z27),ISNUMBER(AD27)),Z27-AD27,"")</f>
        <v/>
      </c>
      <c r="AF27" s="10">
        <f>IF(AND(ISNUMBER(Z27),ISNUMBER(AD27)),Z27+AD27,"")</f>
        <v/>
      </c>
      <c r="AG27" s="12" t="n"/>
      <c r="AH27" s="3" t="n"/>
      <c r="AI27" s="3" t="n"/>
      <c r="AJ27" s="1" t="n"/>
      <c r="AK27" s="10" t="n"/>
      <c r="AL27" s="10" t="n"/>
      <c r="AM27" s="10" t="n"/>
      <c r="AN27" s="3">
        <f>IFERROR(AVERAGEIF(Transform!$A$4:$A$1004,Transform!AI19,Transform!$B$4:$S$1004),"")</f>
        <v/>
      </c>
      <c r="AO27" s="3">
        <f>IFERROR(VAR(FILTER(Transform!$B$4:$S$1004,Transform!$A$4:$A$1004=Transform!AI19)),"")</f>
        <v/>
      </c>
      <c r="AP27" s="3">
        <f>IF(ISNUMBER(AO27),SQRT(AO27),"")</f>
        <v/>
      </c>
      <c r="AQ27" s="1">
        <f>COUNT(FILTER(Transform!$B$4:$S$1004,Transform!$A$4:$A$1004=Transform!AI19))</f>
        <v/>
      </c>
      <c r="AR27" s="10">
        <f>IF(AND(ISNUMBER(AP27),AQ27&gt;0),CONFIDENCE($D$2,AP27,AQ27),"")</f>
        <v/>
      </c>
      <c r="AS27" s="10">
        <f>IF(AND(ISNUMBER(AN27),ISNUMBER(AR27)),AN27-AR27,"")</f>
        <v/>
      </c>
      <c r="AT27" s="10">
        <f>IF(AND(ISNUMBER(AN27),ISNUMBER(AR27)),AN27+AR27,"")</f>
        <v/>
      </c>
    </row>
    <row r="28">
      <c r="K28" s="1" t="n"/>
      <c r="L28" s="3">
        <f>IFERROR(AVERAGEIF(Transform!$A$4:$A$1004,Transform!AI20,Transform!$V$4:$V$1004),"")</f>
        <v/>
      </c>
      <c r="M28" s="3">
        <f>IFERROR(VAR(FILTER(Transform!$V$4:$V$1004,Transform!$A$4:$A$1004=Transform!AI20)),"")</f>
        <v/>
      </c>
      <c r="N28" s="3">
        <f>IF(ISNUMBER(M28),SQRT(M28),"")</f>
        <v/>
      </c>
      <c r="O28" s="1">
        <f>COUNT(FILTER(Transform!$V$4:$V$1004,Transform!$A$4:$A$1004=Transform!AI20))</f>
        <v/>
      </c>
      <c r="P28" s="10">
        <f>IF(AND(ISNUMBER(N28),O28&gt;0),CONFIDENCE($D$2,N28,O28),"")</f>
        <v/>
      </c>
      <c r="Q28" s="10">
        <f>IF(AND(ISNUMBER(L28),ISNUMBER(P28)),L28-P28,"")</f>
        <v/>
      </c>
      <c r="R28" s="10">
        <f>IF(AND(ISNUMBER(L28),ISNUMBER(P28)),L28+P28,"")</f>
        <v/>
      </c>
      <c r="S28" s="3">
        <f>IFERROR(AVERAGEIF(Transform!$A$4:$A$1004,Transform!AI20,Transform!$W$4:$W$1004),"")</f>
        <v/>
      </c>
      <c r="T28" s="3">
        <f>IFERROR(VAR(FILTER(Transform!$W$4:$W$1004,Transform!$A$4:$A$1004=Transform!AI20)),"")</f>
        <v/>
      </c>
      <c r="U28" s="3">
        <f>IF(ISNUMBER(T28),SQRT(T28),"")</f>
        <v/>
      </c>
      <c r="V28" s="1">
        <f>COUNT(FILTER(Transform!$W$4:$W$1004,Transform!$A$4:$A$1004=Transform!AI20))</f>
        <v/>
      </c>
      <c r="W28" s="10">
        <f>IF(AND(ISNUMBER(U28),V28&gt;0),CONFIDENCE($D$2,U28,V28),"")</f>
        <v/>
      </c>
      <c r="X28" s="10">
        <f>IF(AND(ISNUMBER(S28),ISNUMBER(W28)),S28-W28,"")</f>
        <v/>
      </c>
      <c r="Y28" s="10">
        <f>IF(AND(ISNUMBER(S28),ISNUMBER(W28)),S28+W28,"")</f>
        <v/>
      </c>
      <c r="Z28" s="3">
        <f>IFERROR(AVERAGEIF(Transform!$A$4:$A$1004,Transform!AI20,Transform!$X$4:$X$1004),"")</f>
        <v/>
      </c>
      <c r="AA28" s="3">
        <f>IFERROR(VAR(FILTER(Transform!$X$4:$X$1004,Transform!$A$4:$A$1004=Transform!AI20)),"")</f>
        <v/>
      </c>
      <c r="AB28" s="3">
        <f>IF(ISNUMBER(AA28),SQRT(AA28),"")</f>
        <v/>
      </c>
      <c r="AC28" s="1">
        <f>COUNT(FILTER(Transform!$X$4:$X$1004,Transform!$A$4:$A$1004=Transform!AI20))</f>
        <v/>
      </c>
      <c r="AD28" s="10">
        <f>IF(AND(ISNUMBER(AB28),AC28&gt;0),CONFIDENCE($D$2,AB28,AC28),"")</f>
        <v/>
      </c>
      <c r="AE28" s="10">
        <f>IF(AND(ISNUMBER(Z28),ISNUMBER(AD28)),Z28-AD28,"")</f>
        <v/>
      </c>
      <c r="AF28" s="10">
        <f>IF(AND(ISNUMBER(Z28),ISNUMBER(AD28)),Z28+AD28,"")</f>
        <v/>
      </c>
      <c r="AG28" s="12" t="n"/>
      <c r="AH28" s="3" t="n"/>
      <c r="AI28" s="3" t="n"/>
      <c r="AJ28" s="1" t="n"/>
      <c r="AK28" s="10" t="n"/>
      <c r="AL28" s="10" t="n"/>
      <c r="AM28" s="10" t="n"/>
      <c r="AN28" s="3">
        <f>IFERROR(AVERAGEIF(Transform!$A$4:$A$1004,Transform!AI20,Transform!$B$4:$S$1004),"")</f>
        <v/>
      </c>
      <c r="AO28" s="3">
        <f>IFERROR(VAR(FILTER(Transform!$B$4:$S$1004,Transform!$A$4:$A$1004=Transform!AI20)),"")</f>
        <v/>
      </c>
      <c r="AP28" s="3">
        <f>IF(ISNUMBER(AO28),SQRT(AO28),"")</f>
        <v/>
      </c>
      <c r="AQ28" s="1">
        <f>COUNT(FILTER(Transform!$B$4:$S$1004,Transform!$A$4:$A$1004=Transform!AI20))</f>
        <v/>
      </c>
      <c r="AR28" s="10">
        <f>IF(AND(ISNUMBER(AP28),AQ28&gt;0),CONFIDENCE($D$2,AP28,AQ28),"")</f>
        <v/>
      </c>
      <c r="AS28" s="10">
        <f>IF(AND(ISNUMBER(AN28),ISNUMBER(AR28)),AN28-AR28,"")</f>
        <v/>
      </c>
      <c r="AT28" s="10">
        <f>IF(AND(ISNUMBER(AN28),ISNUMBER(AR28)),AN28+AR28,"")</f>
        <v/>
      </c>
    </row>
    <row r="29">
      <c r="K29" s="1" t="n"/>
      <c r="L29" s="3">
        <f>IFERROR(AVERAGEIF(Transform!$A$4:$A$1004,Transform!AI21,Transform!$V$4:$V$1004),"")</f>
        <v/>
      </c>
      <c r="M29" s="3">
        <f>IFERROR(VAR(FILTER(Transform!$V$4:$V$1004,Transform!$A$4:$A$1004=Transform!AI21)),"")</f>
        <v/>
      </c>
      <c r="N29" s="3">
        <f>IF(ISNUMBER(M29),SQRT(M29),"")</f>
        <v/>
      </c>
      <c r="O29" s="1">
        <f>COUNT(FILTER(Transform!$V$4:$V$1004,Transform!$A$4:$A$1004=Transform!AI21))</f>
        <v/>
      </c>
      <c r="P29" s="10">
        <f>IF(AND(ISNUMBER(N29),O29&gt;0),CONFIDENCE($D$2,N29,O29),"")</f>
        <v/>
      </c>
      <c r="Q29" s="10">
        <f>IF(AND(ISNUMBER(L29),ISNUMBER(P29)),L29-P29,"")</f>
        <v/>
      </c>
      <c r="R29" s="10">
        <f>IF(AND(ISNUMBER(L29),ISNUMBER(P29)),L29+P29,"")</f>
        <v/>
      </c>
      <c r="S29" s="3">
        <f>IFERROR(AVERAGEIF(Transform!$A$4:$A$1004,Transform!AI21,Transform!$W$4:$W$1004),"")</f>
        <v/>
      </c>
      <c r="T29" s="3">
        <f>IFERROR(VAR(FILTER(Transform!$W$4:$W$1004,Transform!$A$4:$A$1004=Transform!AI21)),"")</f>
        <v/>
      </c>
      <c r="U29" s="3">
        <f>IF(ISNUMBER(T29),SQRT(T29),"")</f>
        <v/>
      </c>
      <c r="V29" s="1">
        <f>COUNT(FILTER(Transform!$W$4:$W$1004,Transform!$A$4:$A$1004=Transform!AI21))</f>
        <v/>
      </c>
      <c r="W29" s="10">
        <f>IF(AND(ISNUMBER(U29),V29&gt;0),CONFIDENCE($D$2,U29,V29),"")</f>
        <v/>
      </c>
      <c r="X29" s="10">
        <f>IF(AND(ISNUMBER(S29),ISNUMBER(W29)),S29-W29,"")</f>
        <v/>
      </c>
      <c r="Y29" s="10">
        <f>IF(AND(ISNUMBER(S29),ISNUMBER(W29)),S29+W29,"")</f>
        <v/>
      </c>
      <c r="Z29" s="3">
        <f>IFERROR(AVERAGEIF(Transform!$A$4:$A$1004,Transform!AI21,Transform!$X$4:$X$1004),"")</f>
        <v/>
      </c>
      <c r="AA29" s="3">
        <f>IFERROR(VAR(FILTER(Transform!$X$4:$X$1004,Transform!$A$4:$A$1004=Transform!AI21)),"")</f>
        <v/>
      </c>
      <c r="AB29" s="3">
        <f>IF(ISNUMBER(AA29),SQRT(AA29),"")</f>
        <v/>
      </c>
      <c r="AC29" s="1">
        <f>COUNT(FILTER(Transform!$X$4:$X$1004,Transform!$A$4:$A$1004=Transform!AI21))</f>
        <v/>
      </c>
      <c r="AD29" s="10">
        <f>IF(AND(ISNUMBER(AB29),AC29&gt;0),CONFIDENCE($D$2,AB29,AC29),"")</f>
        <v/>
      </c>
      <c r="AE29" s="10">
        <f>IF(AND(ISNUMBER(Z29),ISNUMBER(AD29)),Z29-AD29,"")</f>
        <v/>
      </c>
      <c r="AF29" s="10">
        <f>IF(AND(ISNUMBER(Z29),ISNUMBER(AD29)),Z29+AD29,"")</f>
        <v/>
      </c>
      <c r="AG29" s="12" t="n"/>
      <c r="AH29" s="3" t="n"/>
      <c r="AI29" s="3" t="n"/>
      <c r="AJ29" s="1" t="n"/>
      <c r="AK29" s="10" t="n"/>
      <c r="AL29" s="10" t="n"/>
      <c r="AM29" s="10" t="n"/>
      <c r="AN29" s="3">
        <f>IFERROR(AVERAGEIF(Transform!$A$4:$A$1004,Transform!AI21,Transform!$B$4:$S$1004),"")</f>
        <v/>
      </c>
      <c r="AO29" s="3">
        <f>IFERROR(VAR(FILTER(Transform!$B$4:$S$1004,Transform!$A$4:$A$1004=Transform!AI21)),"")</f>
        <v/>
      </c>
      <c r="AP29" s="3">
        <f>IF(ISNUMBER(AO29),SQRT(AO29),"")</f>
        <v/>
      </c>
      <c r="AQ29" s="1">
        <f>COUNT(FILTER(Transform!$B$4:$S$1004,Transform!$A$4:$A$1004=Transform!AI21))</f>
        <v/>
      </c>
      <c r="AR29" s="10">
        <f>IF(AND(ISNUMBER(AP29),AQ29&gt;0),CONFIDENCE($D$2,AP29,AQ29),"")</f>
        <v/>
      </c>
      <c r="AS29" s="10">
        <f>IF(AND(ISNUMBER(AN29),ISNUMBER(AR29)),AN29-AR29,"")</f>
        <v/>
      </c>
      <c r="AT29" s="10">
        <f>IF(AND(ISNUMBER(AN29),ISNUMBER(AR29)),AN29+AR29,"")</f>
        <v/>
      </c>
    </row>
    <row r="30">
      <c r="K30" s="1" t="n"/>
      <c r="L30" s="3">
        <f>IFERROR(AVERAGEIF(Transform!$A$4:$A$1004,Transform!AI22,Transform!$V$4:$V$1004),"")</f>
        <v/>
      </c>
      <c r="M30" s="3">
        <f>IFERROR(VAR(FILTER(Transform!$V$4:$V$1004,Transform!$A$4:$A$1004=Transform!AI22)),"")</f>
        <v/>
      </c>
      <c r="N30" s="3">
        <f>IF(ISNUMBER(M30),SQRT(M30),"")</f>
        <v/>
      </c>
      <c r="O30" s="1">
        <f>COUNT(FILTER(Transform!$V$4:$V$1004,Transform!$A$4:$A$1004=Transform!AI22))</f>
        <v/>
      </c>
      <c r="P30" s="10">
        <f>IF(AND(ISNUMBER(N30),O30&gt;0),CONFIDENCE($D$2,N30,O30),"")</f>
        <v/>
      </c>
      <c r="Q30" s="10">
        <f>IF(AND(ISNUMBER(L30),ISNUMBER(P30)),L30-P30,"")</f>
        <v/>
      </c>
      <c r="R30" s="10">
        <f>IF(AND(ISNUMBER(L30),ISNUMBER(P30)),L30+P30,"")</f>
        <v/>
      </c>
      <c r="S30" s="3">
        <f>IFERROR(AVERAGEIF(Transform!$A$4:$A$1004,Transform!AI22,Transform!$W$4:$W$1004),"")</f>
        <v/>
      </c>
      <c r="T30" s="3">
        <f>IFERROR(VAR(FILTER(Transform!$W$4:$W$1004,Transform!$A$4:$A$1004=Transform!AI22)),"")</f>
        <v/>
      </c>
      <c r="U30" s="3">
        <f>IF(ISNUMBER(T30),SQRT(T30),"")</f>
        <v/>
      </c>
      <c r="V30" s="1">
        <f>COUNT(FILTER(Transform!$W$4:$W$1004,Transform!$A$4:$A$1004=Transform!AI22))</f>
        <v/>
      </c>
      <c r="W30" s="10">
        <f>IF(AND(ISNUMBER(U30),V30&gt;0),CONFIDENCE($D$2,U30,V30),"")</f>
        <v/>
      </c>
      <c r="X30" s="10">
        <f>IF(AND(ISNUMBER(S30),ISNUMBER(W30)),S30-W30,"")</f>
        <v/>
      </c>
      <c r="Y30" s="10">
        <f>IF(AND(ISNUMBER(S30),ISNUMBER(W30)),S30+W30,"")</f>
        <v/>
      </c>
      <c r="Z30" s="3">
        <f>IFERROR(AVERAGEIF(Transform!$A$4:$A$1004,Transform!AI22,Transform!$X$4:$X$1004),"")</f>
        <v/>
      </c>
      <c r="AA30" s="3">
        <f>IFERROR(VAR(FILTER(Transform!$X$4:$X$1004,Transform!$A$4:$A$1004=Transform!AI22)),"")</f>
        <v/>
      </c>
      <c r="AB30" s="3">
        <f>IF(ISNUMBER(AA30),SQRT(AA30),"")</f>
        <v/>
      </c>
      <c r="AC30" s="1">
        <f>COUNT(FILTER(Transform!$X$4:$X$1004,Transform!$A$4:$A$1004=Transform!AI22))</f>
        <v/>
      </c>
      <c r="AD30" s="10">
        <f>IF(AND(ISNUMBER(AB30),AC30&gt;0),CONFIDENCE($D$2,AB30,AC30),"")</f>
        <v/>
      </c>
      <c r="AE30" s="10">
        <f>IF(AND(ISNUMBER(Z30),ISNUMBER(AD30)),Z30-AD30,"")</f>
        <v/>
      </c>
      <c r="AF30" s="10">
        <f>IF(AND(ISNUMBER(Z30),ISNUMBER(AD30)),Z30+AD30,"")</f>
        <v/>
      </c>
      <c r="AG30" s="12" t="n"/>
      <c r="AH30" s="3" t="n"/>
      <c r="AI30" s="3" t="n"/>
      <c r="AJ30" s="1" t="n"/>
      <c r="AK30" s="10" t="n"/>
      <c r="AL30" s="10" t="n"/>
      <c r="AM30" s="10" t="n"/>
      <c r="AN30" s="3">
        <f>IFERROR(AVERAGEIF(Transform!$A$4:$A$1004,Transform!AI22,Transform!$B$4:$S$1004),"")</f>
        <v/>
      </c>
      <c r="AO30" s="3">
        <f>IFERROR(VAR(FILTER(Transform!$B$4:$S$1004,Transform!$A$4:$A$1004=Transform!AI22)),"")</f>
        <v/>
      </c>
      <c r="AP30" s="3">
        <f>IF(ISNUMBER(AO30),SQRT(AO30),"")</f>
        <v/>
      </c>
      <c r="AQ30" s="1">
        <f>COUNT(FILTER(Transform!$B$4:$S$1004,Transform!$A$4:$A$1004=Transform!AI22))</f>
        <v/>
      </c>
      <c r="AR30" s="10">
        <f>IF(AND(ISNUMBER(AP30),AQ30&gt;0),CONFIDENCE($D$2,AP30,AQ30),"")</f>
        <v/>
      </c>
      <c r="AS30" s="10">
        <f>IF(AND(ISNUMBER(AN30),ISNUMBER(AR30)),AN30-AR30,"")</f>
        <v/>
      </c>
      <c r="AT30" s="10">
        <f>IF(AND(ISNUMBER(AN30),ISNUMBER(AR30)),AN30+AR30,"")</f>
        <v/>
      </c>
    </row>
    <row r="31">
      <c r="K31" s="1" t="n"/>
      <c r="L31" s="3">
        <f>IFERROR(AVERAGEIF(Transform!$A$4:$A$1004,Transform!AI23,Transform!$V$4:$V$1004),"")</f>
        <v/>
      </c>
      <c r="M31" s="3">
        <f>IFERROR(VAR(FILTER(Transform!$V$4:$V$1004,Transform!$A$4:$A$1004=Transform!AI23)),"")</f>
        <v/>
      </c>
      <c r="N31" s="3">
        <f>IF(ISNUMBER(M31),SQRT(M31),"")</f>
        <v/>
      </c>
      <c r="O31" s="1">
        <f>COUNT(FILTER(Transform!$V$4:$V$1004,Transform!$A$4:$A$1004=Transform!AI23))</f>
        <v/>
      </c>
      <c r="P31" s="10">
        <f>IF(AND(ISNUMBER(N31),O31&gt;0),CONFIDENCE($D$2,N31,O31),"")</f>
        <v/>
      </c>
      <c r="Q31" s="10">
        <f>IF(AND(ISNUMBER(L31),ISNUMBER(P31)),L31-P31,"")</f>
        <v/>
      </c>
      <c r="R31" s="10">
        <f>IF(AND(ISNUMBER(L31),ISNUMBER(P31)),L31+P31,"")</f>
        <v/>
      </c>
      <c r="S31" s="3">
        <f>IFERROR(AVERAGEIF(Transform!$A$4:$A$1004,Transform!AI23,Transform!$W$4:$W$1004),"")</f>
        <v/>
      </c>
      <c r="T31" s="3">
        <f>IFERROR(VAR(FILTER(Transform!$W$4:$W$1004,Transform!$A$4:$A$1004=Transform!AI23)),"")</f>
        <v/>
      </c>
      <c r="U31" s="3">
        <f>IF(ISNUMBER(T31),SQRT(T31),"")</f>
        <v/>
      </c>
      <c r="V31" s="1">
        <f>COUNT(FILTER(Transform!$W$4:$W$1004,Transform!$A$4:$A$1004=Transform!AI23))</f>
        <v/>
      </c>
      <c r="W31" s="10">
        <f>IF(AND(ISNUMBER(U31),V31&gt;0),CONFIDENCE($D$2,U31,V31),"")</f>
        <v/>
      </c>
      <c r="X31" s="10">
        <f>IF(AND(ISNUMBER(S31),ISNUMBER(W31)),S31-W31,"")</f>
        <v/>
      </c>
      <c r="Y31" s="10">
        <f>IF(AND(ISNUMBER(S31),ISNUMBER(W31)),S31+W31,"")</f>
        <v/>
      </c>
      <c r="Z31" s="3">
        <f>IFERROR(AVERAGEIF(Transform!$A$4:$A$1004,Transform!AI23,Transform!$X$4:$X$1004),"")</f>
        <v/>
      </c>
      <c r="AA31" s="3">
        <f>IFERROR(VAR(FILTER(Transform!$X$4:$X$1004,Transform!$A$4:$A$1004=Transform!AI23)),"")</f>
        <v/>
      </c>
      <c r="AB31" s="3">
        <f>IF(ISNUMBER(AA31),SQRT(AA31),"")</f>
        <v/>
      </c>
      <c r="AC31" s="1">
        <f>COUNT(FILTER(Transform!$X$4:$X$1004,Transform!$A$4:$A$1004=Transform!AI23))</f>
        <v/>
      </c>
      <c r="AD31" s="10">
        <f>IF(AND(ISNUMBER(AB31),AC31&gt;0),CONFIDENCE($D$2,AB31,AC31),"")</f>
        <v/>
      </c>
      <c r="AE31" s="10">
        <f>IF(AND(ISNUMBER(Z31),ISNUMBER(AD31)),Z31-AD31,"")</f>
        <v/>
      </c>
      <c r="AF31" s="10">
        <f>IF(AND(ISNUMBER(Z31),ISNUMBER(AD31)),Z31+AD31,"")</f>
        <v/>
      </c>
      <c r="AG31" s="12" t="n"/>
      <c r="AH31" s="3" t="n"/>
      <c r="AI31" s="3" t="n"/>
      <c r="AJ31" s="1" t="n"/>
      <c r="AK31" s="10" t="n"/>
      <c r="AL31" s="10" t="n"/>
      <c r="AM31" s="10" t="n"/>
      <c r="AN31" s="3">
        <f>IFERROR(AVERAGEIF(Transform!$A$4:$A$1004,Transform!AI23,Transform!$B$4:$S$1004),"")</f>
        <v/>
      </c>
      <c r="AO31" s="3">
        <f>IFERROR(VAR(FILTER(Transform!$B$4:$S$1004,Transform!$A$4:$A$1004=Transform!AI23)),"")</f>
        <v/>
      </c>
      <c r="AP31" s="3">
        <f>IF(ISNUMBER(AO31),SQRT(AO31),"")</f>
        <v/>
      </c>
      <c r="AQ31" s="1">
        <f>COUNT(FILTER(Transform!$B$4:$S$1004,Transform!$A$4:$A$1004=Transform!AI23))</f>
        <v/>
      </c>
      <c r="AR31" s="10">
        <f>IF(AND(ISNUMBER(AP31),AQ31&gt;0),CONFIDENCE($D$2,AP31,AQ31),"")</f>
        <v/>
      </c>
      <c r="AS31" s="10">
        <f>IF(AND(ISNUMBER(AN31),ISNUMBER(AR31)),AN31-AR31,"")</f>
        <v/>
      </c>
      <c r="AT31" s="10">
        <f>IF(AND(ISNUMBER(AN31),ISNUMBER(AR31)),AN31+AR31,"")</f>
        <v/>
      </c>
    </row>
    <row r="32">
      <c r="K32" s="1" t="n"/>
      <c r="L32" s="3">
        <f>IFERROR(AVERAGEIF(Transform!$A$4:$A$1004,Transform!AI24,Transform!$V$4:$V$1004),"")</f>
        <v/>
      </c>
      <c r="M32" s="3">
        <f>IFERROR(VAR(FILTER(Transform!$V$4:$V$1004,Transform!$A$4:$A$1004=Transform!AI24)),"")</f>
        <v/>
      </c>
      <c r="N32" s="3">
        <f>IF(ISNUMBER(M32),SQRT(M32),"")</f>
        <v/>
      </c>
      <c r="O32" s="1">
        <f>COUNT(FILTER(Transform!$V$4:$V$1004,Transform!$A$4:$A$1004=Transform!AI24))</f>
        <v/>
      </c>
      <c r="P32" s="10">
        <f>IF(AND(ISNUMBER(N32),O32&gt;0),CONFIDENCE($D$2,N32,O32),"")</f>
        <v/>
      </c>
      <c r="Q32" s="10">
        <f>IF(AND(ISNUMBER(L32),ISNUMBER(P32)),L32-P32,"")</f>
        <v/>
      </c>
      <c r="R32" s="10">
        <f>IF(AND(ISNUMBER(L32),ISNUMBER(P32)),L32+P32,"")</f>
        <v/>
      </c>
      <c r="S32" s="3">
        <f>IFERROR(AVERAGEIF(Transform!$A$4:$A$1004,Transform!AI24,Transform!$W$4:$W$1004),"")</f>
        <v/>
      </c>
      <c r="T32" s="3">
        <f>IFERROR(VAR(FILTER(Transform!$W$4:$W$1004,Transform!$A$4:$A$1004=Transform!AI24)),"")</f>
        <v/>
      </c>
      <c r="U32" s="3">
        <f>IF(ISNUMBER(T32),SQRT(T32),"")</f>
        <v/>
      </c>
      <c r="V32" s="1">
        <f>COUNT(FILTER(Transform!$W$4:$W$1004,Transform!$A$4:$A$1004=Transform!AI24))</f>
        <v/>
      </c>
      <c r="W32" s="10">
        <f>IF(AND(ISNUMBER(U32),V32&gt;0),CONFIDENCE($D$2,U32,V32),"")</f>
        <v/>
      </c>
      <c r="X32" s="10">
        <f>IF(AND(ISNUMBER(S32),ISNUMBER(W32)),S32-W32,"")</f>
        <v/>
      </c>
      <c r="Y32" s="10">
        <f>IF(AND(ISNUMBER(S32),ISNUMBER(W32)),S32+W32,"")</f>
        <v/>
      </c>
      <c r="Z32" s="3">
        <f>IFERROR(AVERAGEIF(Transform!$A$4:$A$1004,Transform!AI24,Transform!$X$4:$X$1004),"")</f>
        <v/>
      </c>
      <c r="AA32" s="3">
        <f>IFERROR(VAR(FILTER(Transform!$X$4:$X$1004,Transform!$A$4:$A$1004=Transform!AI24)),"")</f>
        <v/>
      </c>
      <c r="AB32" s="3">
        <f>IF(ISNUMBER(AA32),SQRT(AA32),"")</f>
        <v/>
      </c>
      <c r="AC32" s="1">
        <f>COUNT(FILTER(Transform!$X$4:$X$1004,Transform!$A$4:$A$1004=Transform!AI24))</f>
        <v/>
      </c>
      <c r="AD32" s="10">
        <f>IF(AND(ISNUMBER(AB32),AC32&gt;0),CONFIDENCE($D$2,AB32,AC32),"")</f>
        <v/>
      </c>
      <c r="AE32" s="10">
        <f>IF(AND(ISNUMBER(Z32),ISNUMBER(AD32)),Z32-AD32,"")</f>
        <v/>
      </c>
      <c r="AF32" s="10">
        <f>IF(AND(ISNUMBER(Z32),ISNUMBER(AD32)),Z32+AD32,"")</f>
        <v/>
      </c>
      <c r="AG32" s="12" t="n"/>
      <c r="AH32" s="3" t="n"/>
      <c r="AI32" s="3" t="n"/>
      <c r="AJ32" s="1" t="n"/>
      <c r="AK32" s="10" t="n"/>
      <c r="AL32" s="10" t="n"/>
      <c r="AM32" s="10" t="n"/>
      <c r="AN32" s="3">
        <f>IFERROR(AVERAGEIF(Transform!$A$4:$A$1004,Transform!AI24,Transform!$B$4:$S$1004),"")</f>
        <v/>
      </c>
      <c r="AO32" s="3">
        <f>IFERROR(VAR(FILTER(Transform!$B$4:$S$1004,Transform!$A$4:$A$1004=Transform!AI24)),"")</f>
        <v/>
      </c>
      <c r="AP32" s="3">
        <f>IF(ISNUMBER(AO32),SQRT(AO32),"")</f>
        <v/>
      </c>
      <c r="AQ32" s="1">
        <f>COUNT(FILTER(Transform!$B$4:$S$1004,Transform!$A$4:$A$1004=Transform!AI24))</f>
        <v/>
      </c>
      <c r="AR32" s="10">
        <f>IF(AND(ISNUMBER(AP32),AQ32&gt;0),CONFIDENCE($D$2,AP32,AQ32),"")</f>
        <v/>
      </c>
      <c r="AS32" s="10">
        <f>IF(AND(ISNUMBER(AN32),ISNUMBER(AR32)),AN32-AR32,"")</f>
        <v/>
      </c>
      <c r="AT32" s="10">
        <f>IF(AND(ISNUMBER(AN32),ISNUMBER(AR32)),AN32+AR32,"")</f>
        <v/>
      </c>
    </row>
    <row r="33">
      <c r="K33" s="1" t="n"/>
      <c r="L33" s="3">
        <f>IFERROR(AVERAGEIF(Transform!$A$4:$A$1004,Transform!AI25,Transform!$V$4:$V$1004),"")</f>
        <v/>
      </c>
      <c r="M33" s="3">
        <f>IFERROR(VAR(FILTER(Transform!$V$4:$V$1004,Transform!$A$4:$A$1004=Transform!AI25)),"")</f>
        <v/>
      </c>
      <c r="N33" s="3">
        <f>IF(ISNUMBER(M33),SQRT(M33),"")</f>
        <v/>
      </c>
      <c r="O33" s="1">
        <f>COUNT(FILTER(Transform!$V$4:$V$1004,Transform!$A$4:$A$1004=Transform!AI25))</f>
        <v/>
      </c>
      <c r="P33" s="10">
        <f>IF(AND(ISNUMBER(N33),O33&gt;0),CONFIDENCE($D$2,N33,O33),"")</f>
        <v/>
      </c>
      <c r="Q33" s="10">
        <f>IF(AND(ISNUMBER(L33),ISNUMBER(P33)),L33-P33,"")</f>
        <v/>
      </c>
      <c r="R33" s="10">
        <f>IF(AND(ISNUMBER(L33),ISNUMBER(P33)),L33+P33,"")</f>
        <v/>
      </c>
      <c r="S33" s="3">
        <f>IFERROR(AVERAGEIF(Transform!$A$4:$A$1004,Transform!AI25,Transform!$W$4:$W$1004),"")</f>
        <v/>
      </c>
      <c r="T33" s="3">
        <f>IFERROR(VAR(FILTER(Transform!$W$4:$W$1004,Transform!$A$4:$A$1004=Transform!AI25)),"")</f>
        <v/>
      </c>
      <c r="U33" s="3">
        <f>IF(ISNUMBER(T33),SQRT(T33),"")</f>
        <v/>
      </c>
      <c r="V33" s="1">
        <f>COUNT(FILTER(Transform!$W$4:$W$1004,Transform!$A$4:$A$1004=Transform!AI25))</f>
        <v/>
      </c>
      <c r="W33" s="10">
        <f>IF(AND(ISNUMBER(U33),V33&gt;0),CONFIDENCE($D$2,U33,V33),"")</f>
        <v/>
      </c>
      <c r="X33" s="10">
        <f>IF(AND(ISNUMBER(S33),ISNUMBER(W33)),S33-W33,"")</f>
        <v/>
      </c>
      <c r="Y33" s="10">
        <f>IF(AND(ISNUMBER(S33),ISNUMBER(W33)),S33+W33,"")</f>
        <v/>
      </c>
      <c r="Z33" s="3">
        <f>IFERROR(AVERAGEIF(Transform!$A$4:$A$1004,Transform!AI25,Transform!$X$4:$X$1004),"")</f>
        <v/>
      </c>
      <c r="AA33" s="3">
        <f>IFERROR(VAR(FILTER(Transform!$X$4:$X$1004,Transform!$A$4:$A$1004=Transform!AI25)),"")</f>
        <v/>
      </c>
      <c r="AB33" s="3">
        <f>IF(ISNUMBER(AA33),SQRT(AA33),"")</f>
        <v/>
      </c>
      <c r="AC33" s="1">
        <f>COUNT(FILTER(Transform!$X$4:$X$1004,Transform!$A$4:$A$1004=Transform!AI25))</f>
        <v/>
      </c>
      <c r="AD33" s="10">
        <f>IF(AND(ISNUMBER(AB33),AC33&gt;0),CONFIDENCE($D$2,AB33,AC33),"")</f>
        <v/>
      </c>
      <c r="AE33" s="10">
        <f>IF(AND(ISNUMBER(Z33),ISNUMBER(AD33)),Z33-AD33,"")</f>
        <v/>
      </c>
      <c r="AF33" s="10">
        <f>IF(AND(ISNUMBER(Z33),ISNUMBER(AD33)),Z33+AD33,"")</f>
        <v/>
      </c>
      <c r="AG33" s="12" t="n"/>
      <c r="AH33" s="3" t="n"/>
      <c r="AI33" s="3" t="n"/>
      <c r="AJ33" s="1" t="n"/>
      <c r="AK33" s="10" t="n"/>
      <c r="AL33" s="10" t="n"/>
      <c r="AM33" s="10" t="n"/>
      <c r="AN33" s="3">
        <f>IFERROR(AVERAGEIF(Transform!$A$4:$A$1004,Transform!AI25,Transform!$B$4:$S$1004),"")</f>
        <v/>
      </c>
      <c r="AO33" s="3">
        <f>IFERROR(VAR(FILTER(Transform!$B$4:$S$1004,Transform!$A$4:$A$1004=Transform!AI25)),"")</f>
        <v/>
      </c>
      <c r="AP33" s="3">
        <f>IF(ISNUMBER(AO33),SQRT(AO33),"")</f>
        <v/>
      </c>
      <c r="AQ33" s="1">
        <f>COUNT(FILTER(Transform!$B$4:$S$1004,Transform!$A$4:$A$1004=Transform!AI25))</f>
        <v/>
      </c>
      <c r="AR33" s="10">
        <f>IF(AND(ISNUMBER(AP33),AQ33&gt;0),CONFIDENCE($D$2,AP33,AQ33),"")</f>
        <v/>
      </c>
      <c r="AS33" s="10">
        <f>IF(AND(ISNUMBER(AN33),ISNUMBER(AR33)),AN33-AR33,"")</f>
        <v/>
      </c>
      <c r="AT33" s="10">
        <f>IF(AND(ISNUMBER(AN33),ISNUMBER(AR33)),AN33+AR33,"")</f>
        <v/>
      </c>
    </row>
    <row r="34">
      <c r="K34" s="1" t="n"/>
      <c r="L34" s="3">
        <f>IFERROR(AVERAGEIF(Transform!$A$4:$A$1004,Transform!AI26,Transform!$V$4:$V$1004),"")</f>
        <v/>
      </c>
      <c r="M34" s="3">
        <f>IFERROR(VAR(FILTER(Transform!$V$4:$V$1004,Transform!$A$4:$A$1004=Transform!AI26)),"")</f>
        <v/>
      </c>
      <c r="N34" s="3">
        <f>IF(ISNUMBER(M34),SQRT(M34),"")</f>
        <v/>
      </c>
      <c r="O34" s="1">
        <f>COUNT(FILTER(Transform!$V$4:$V$1004,Transform!$A$4:$A$1004=Transform!AI26))</f>
        <v/>
      </c>
      <c r="P34" s="10">
        <f>IF(AND(ISNUMBER(N34),O34&gt;0),CONFIDENCE($D$2,N34,O34),"")</f>
        <v/>
      </c>
      <c r="Q34" s="10">
        <f>IF(AND(ISNUMBER(L34),ISNUMBER(P34)),L34-P34,"")</f>
        <v/>
      </c>
      <c r="R34" s="10">
        <f>IF(AND(ISNUMBER(L34),ISNUMBER(P34)),L34+P34,"")</f>
        <v/>
      </c>
      <c r="S34" s="3">
        <f>IFERROR(AVERAGEIF(Transform!$A$4:$A$1004,Transform!AI26,Transform!$W$4:$W$1004),"")</f>
        <v/>
      </c>
      <c r="T34" s="3">
        <f>IFERROR(VAR(FILTER(Transform!$W$4:$W$1004,Transform!$A$4:$A$1004=Transform!AI26)),"")</f>
        <v/>
      </c>
      <c r="U34" s="3">
        <f>IF(ISNUMBER(T34),SQRT(T34),"")</f>
        <v/>
      </c>
      <c r="V34" s="1">
        <f>COUNT(FILTER(Transform!$W$4:$W$1004,Transform!$A$4:$A$1004=Transform!AI26))</f>
        <v/>
      </c>
      <c r="W34" s="10">
        <f>IF(AND(ISNUMBER(U34),V34&gt;0),CONFIDENCE($D$2,U34,V34),"")</f>
        <v/>
      </c>
      <c r="X34" s="10">
        <f>IF(AND(ISNUMBER(S34),ISNUMBER(W34)),S34-W34,"")</f>
        <v/>
      </c>
      <c r="Y34" s="10">
        <f>IF(AND(ISNUMBER(S34),ISNUMBER(W34)),S34+W34,"")</f>
        <v/>
      </c>
      <c r="Z34" s="3">
        <f>IFERROR(AVERAGEIF(Transform!$A$4:$A$1004,Transform!AI26,Transform!$X$4:$X$1004),"")</f>
        <v/>
      </c>
      <c r="AA34" s="3">
        <f>IFERROR(VAR(FILTER(Transform!$X$4:$X$1004,Transform!$A$4:$A$1004=Transform!AI26)),"")</f>
        <v/>
      </c>
      <c r="AB34" s="3">
        <f>IF(ISNUMBER(AA34),SQRT(AA34),"")</f>
        <v/>
      </c>
      <c r="AC34" s="1">
        <f>COUNT(FILTER(Transform!$X$4:$X$1004,Transform!$A$4:$A$1004=Transform!AI26))</f>
        <v/>
      </c>
      <c r="AD34" s="10">
        <f>IF(AND(ISNUMBER(AB34),AC34&gt;0),CONFIDENCE($D$2,AB34,AC34),"")</f>
        <v/>
      </c>
      <c r="AE34" s="10">
        <f>IF(AND(ISNUMBER(Z34),ISNUMBER(AD34)),Z34-AD34,"")</f>
        <v/>
      </c>
      <c r="AF34" s="10">
        <f>IF(AND(ISNUMBER(Z34),ISNUMBER(AD34)),Z34+AD34,"")</f>
        <v/>
      </c>
      <c r="AG34" s="12" t="n"/>
      <c r="AH34" s="3" t="n"/>
      <c r="AI34" s="3" t="n"/>
      <c r="AJ34" s="1" t="n"/>
      <c r="AK34" s="10" t="n"/>
      <c r="AL34" s="10" t="n"/>
      <c r="AM34" s="10" t="n"/>
      <c r="AN34" s="3">
        <f>IFERROR(AVERAGEIF(Transform!$A$4:$A$1004,Transform!AI26,Transform!$B$4:$S$1004),"")</f>
        <v/>
      </c>
      <c r="AO34" s="3">
        <f>IFERROR(VAR(FILTER(Transform!$B$4:$S$1004,Transform!$A$4:$A$1004=Transform!AI26)),"")</f>
        <v/>
      </c>
      <c r="AP34" s="3">
        <f>IF(ISNUMBER(AO34),SQRT(AO34),"")</f>
        <v/>
      </c>
      <c r="AQ34" s="1">
        <f>COUNT(FILTER(Transform!$B$4:$S$1004,Transform!$A$4:$A$1004=Transform!AI26))</f>
        <v/>
      </c>
      <c r="AR34" s="10">
        <f>IF(AND(ISNUMBER(AP34),AQ34&gt;0),CONFIDENCE($D$2,AP34,AQ34),"")</f>
        <v/>
      </c>
      <c r="AS34" s="10">
        <f>IF(AND(ISNUMBER(AN34),ISNUMBER(AR34)),AN34-AR34,"")</f>
        <v/>
      </c>
      <c r="AT34" s="10">
        <f>IF(AND(ISNUMBER(AN34),ISNUMBER(AR34)),AN34+AR34,"")</f>
        <v/>
      </c>
    </row>
    <row r="35">
      <c r="K35" s="1" t="n"/>
      <c r="L35" s="3">
        <f>IFERROR(AVERAGEIF(Transform!$A$4:$A$1004,Transform!AI27,Transform!$V$4:$V$1004),"")</f>
        <v/>
      </c>
      <c r="M35" s="3">
        <f>IFERROR(VAR(FILTER(Transform!$V$4:$V$1004,Transform!$A$4:$A$1004=Transform!AI27)),"")</f>
        <v/>
      </c>
      <c r="N35" s="3">
        <f>IF(ISNUMBER(M35),SQRT(M35),"")</f>
        <v/>
      </c>
      <c r="O35" s="1">
        <f>COUNT(FILTER(Transform!$V$4:$V$1004,Transform!$A$4:$A$1004=Transform!AI27))</f>
        <v/>
      </c>
      <c r="P35" s="10">
        <f>IF(AND(ISNUMBER(N35),O35&gt;0),CONFIDENCE($D$2,N35,O35),"")</f>
        <v/>
      </c>
      <c r="Q35" s="10">
        <f>IF(AND(ISNUMBER(L35),ISNUMBER(P35)),L35-P35,"")</f>
        <v/>
      </c>
      <c r="R35" s="10">
        <f>IF(AND(ISNUMBER(L35),ISNUMBER(P35)),L35+P35,"")</f>
        <v/>
      </c>
      <c r="S35" s="3">
        <f>IFERROR(AVERAGEIF(Transform!$A$4:$A$1004,Transform!AI27,Transform!$W$4:$W$1004),"")</f>
        <v/>
      </c>
      <c r="T35" s="3">
        <f>IFERROR(VAR(FILTER(Transform!$W$4:$W$1004,Transform!$A$4:$A$1004=Transform!AI27)),"")</f>
        <v/>
      </c>
      <c r="U35" s="3">
        <f>IF(ISNUMBER(T35),SQRT(T35),"")</f>
        <v/>
      </c>
      <c r="V35" s="1">
        <f>COUNT(FILTER(Transform!$W$4:$W$1004,Transform!$A$4:$A$1004=Transform!AI27))</f>
        <v/>
      </c>
      <c r="W35" s="10">
        <f>IF(AND(ISNUMBER(U35),V35&gt;0),CONFIDENCE($D$2,U35,V35),"")</f>
        <v/>
      </c>
      <c r="X35" s="10">
        <f>IF(AND(ISNUMBER(S35),ISNUMBER(W35)),S35-W35,"")</f>
        <v/>
      </c>
      <c r="Y35" s="10">
        <f>IF(AND(ISNUMBER(S35),ISNUMBER(W35)),S35+W35,"")</f>
        <v/>
      </c>
      <c r="Z35" s="3">
        <f>IFERROR(AVERAGEIF(Transform!$A$4:$A$1004,Transform!AI27,Transform!$X$4:$X$1004),"")</f>
        <v/>
      </c>
      <c r="AA35" s="3">
        <f>IFERROR(VAR(FILTER(Transform!$X$4:$X$1004,Transform!$A$4:$A$1004=Transform!AI27)),"")</f>
        <v/>
      </c>
      <c r="AB35" s="3">
        <f>IF(ISNUMBER(AA35),SQRT(AA35),"")</f>
        <v/>
      </c>
      <c r="AC35" s="1">
        <f>COUNT(FILTER(Transform!$X$4:$X$1004,Transform!$A$4:$A$1004=Transform!AI27))</f>
        <v/>
      </c>
      <c r="AD35" s="10">
        <f>IF(AND(ISNUMBER(AB35),AC35&gt;0),CONFIDENCE($D$2,AB35,AC35),"")</f>
        <v/>
      </c>
      <c r="AE35" s="10">
        <f>IF(AND(ISNUMBER(Z35),ISNUMBER(AD35)),Z35-AD35,"")</f>
        <v/>
      </c>
      <c r="AF35" s="10">
        <f>IF(AND(ISNUMBER(Z35),ISNUMBER(AD35)),Z35+AD35,"")</f>
        <v/>
      </c>
      <c r="AG35" s="12" t="n"/>
      <c r="AH35" s="3" t="n"/>
      <c r="AI35" s="3" t="n"/>
      <c r="AJ35" s="1" t="n"/>
      <c r="AK35" s="10" t="n"/>
      <c r="AL35" s="10" t="n"/>
      <c r="AM35" s="10" t="n"/>
      <c r="AN35" s="3">
        <f>IFERROR(AVERAGEIF(Transform!$A$4:$A$1004,Transform!AI27,Transform!$B$4:$S$1004),"")</f>
        <v/>
      </c>
      <c r="AO35" s="3">
        <f>IFERROR(VAR(FILTER(Transform!$B$4:$S$1004,Transform!$A$4:$A$1004=Transform!AI27)),"")</f>
        <v/>
      </c>
      <c r="AP35" s="3">
        <f>IF(ISNUMBER(AO35),SQRT(AO35),"")</f>
        <v/>
      </c>
      <c r="AQ35" s="1">
        <f>COUNT(FILTER(Transform!$B$4:$S$1004,Transform!$A$4:$A$1004=Transform!AI27))</f>
        <v/>
      </c>
      <c r="AR35" s="10">
        <f>IF(AND(ISNUMBER(AP35),AQ35&gt;0),CONFIDENCE($D$2,AP35,AQ35),"")</f>
        <v/>
      </c>
      <c r="AS35" s="10">
        <f>IF(AND(ISNUMBER(AN35),ISNUMBER(AR35)),AN35-AR35,"")</f>
        <v/>
      </c>
      <c r="AT35" s="10">
        <f>IF(AND(ISNUMBER(AN35),ISNUMBER(AR35)),AN35+AR35,"")</f>
        <v/>
      </c>
    </row>
    <row r="36">
      <c r="K36" s="1" t="n"/>
      <c r="L36" s="3">
        <f>IFERROR(AVERAGEIF(Transform!$A$4:$A$1004,Transform!AI28,Transform!$V$4:$V$1004),"")</f>
        <v/>
      </c>
      <c r="M36" s="3">
        <f>IFERROR(VAR(FILTER(Transform!$V$4:$V$1004,Transform!$A$4:$A$1004=Transform!AI28)),"")</f>
        <v/>
      </c>
      <c r="N36" s="3">
        <f>IF(ISNUMBER(M36),SQRT(M36),"")</f>
        <v/>
      </c>
      <c r="O36" s="1">
        <f>COUNT(FILTER(Transform!$V$4:$V$1004,Transform!$A$4:$A$1004=Transform!AI28))</f>
        <v/>
      </c>
      <c r="P36" s="10">
        <f>IF(AND(ISNUMBER(N36),O36&gt;0),CONFIDENCE($D$2,N36,O36),"")</f>
        <v/>
      </c>
      <c r="Q36" s="10">
        <f>IF(AND(ISNUMBER(L36),ISNUMBER(P36)),L36-P36,"")</f>
        <v/>
      </c>
      <c r="R36" s="10">
        <f>IF(AND(ISNUMBER(L36),ISNUMBER(P36)),L36+P36,"")</f>
        <v/>
      </c>
      <c r="S36" s="3">
        <f>IFERROR(AVERAGEIF(Transform!$A$4:$A$1004,Transform!AI28,Transform!$W$4:$W$1004),"")</f>
        <v/>
      </c>
      <c r="T36" s="3">
        <f>IFERROR(VAR(FILTER(Transform!$W$4:$W$1004,Transform!$A$4:$A$1004=Transform!AI28)),"")</f>
        <v/>
      </c>
      <c r="U36" s="3">
        <f>IF(ISNUMBER(T36),SQRT(T36),"")</f>
        <v/>
      </c>
      <c r="V36" s="1">
        <f>COUNT(FILTER(Transform!$W$4:$W$1004,Transform!$A$4:$A$1004=Transform!AI28))</f>
        <v/>
      </c>
      <c r="W36" s="10">
        <f>IF(AND(ISNUMBER(U36),V36&gt;0),CONFIDENCE($D$2,U36,V36),"")</f>
        <v/>
      </c>
      <c r="X36" s="10">
        <f>IF(AND(ISNUMBER(S36),ISNUMBER(W36)),S36-W36,"")</f>
        <v/>
      </c>
      <c r="Y36" s="10">
        <f>IF(AND(ISNUMBER(S36),ISNUMBER(W36)),S36+W36,"")</f>
        <v/>
      </c>
      <c r="Z36" s="3">
        <f>IFERROR(AVERAGEIF(Transform!$A$4:$A$1004,Transform!AI28,Transform!$X$4:$X$1004),"")</f>
        <v/>
      </c>
      <c r="AA36" s="3">
        <f>IFERROR(VAR(FILTER(Transform!$X$4:$X$1004,Transform!$A$4:$A$1004=Transform!AI28)),"")</f>
        <v/>
      </c>
      <c r="AB36" s="3">
        <f>IF(ISNUMBER(AA36),SQRT(AA36),"")</f>
        <v/>
      </c>
      <c r="AC36" s="1">
        <f>COUNT(FILTER(Transform!$X$4:$X$1004,Transform!$A$4:$A$1004=Transform!AI28))</f>
        <v/>
      </c>
      <c r="AD36" s="10">
        <f>IF(AND(ISNUMBER(AB36),AC36&gt;0),CONFIDENCE($D$2,AB36,AC36),"")</f>
        <v/>
      </c>
      <c r="AE36" s="10">
        <f>IF(AND(ISNUMBER(Z36),ISNUMBER(AD36)),Z36-AD36,"")</f>
        <v/>
      </c>
      <c r="AF36" s="10">
        <f>IF(AND(ISNUMBER(Z36),ISNUMBER(AD36)),Z36+AD36,"")</f>
        <v/>
      </c>
      <c r="AG36" s="12" t="n"/>
      <c r="AH36" s="3" t="n"/>
      <c r="AI36" s="3" t="n"/>
      <c r="AJ36" s="1" t="n"/>
      <c r="AK36" s="10" t="n"/>
      <c r="AL36" s="10" t="n"/>
      <c r="AM36" s="10" t="n"/>
      <c r="AN36" s="3">
        <f>IFERROR(AVERAGEIF(Transform!$A$4:$A$1004,Transform!AI28,Transform!$B$4:$S$1004),"")</f>
        <v/>
      </c>
      <c r="AO36" s="3">
        <f>IFERROR(VAR(FILTER(Transform!$B$4:$S$1004,Transform!$A$4:$A$1004=Transform!AI28)),"")</f>
        <v/>
      </c>
      <c r="AP36" s="3">
        <f>IF(ISNUMBER(AO36),SQRT(AO36),"")</f>
        <v/>
      </c>
      <c r="AQ36" s="1">
        <f>COUNT(FILTER(Transform!$B$4:$S$1004,Transform!$A$4:$A$1004=Transform!AI28))</f>
        <v/>
      </c>
      <c r="AR36" s="10">
        <f>IF(AND(ISNUMBER(AP36),AQ36&gt;0),CONFIDENCE($D$2,AP36,AQ36),"")</f>
        <v/>
      </c>
      <c r="AS36" s="10">
        <f>IF(AND(ISNUMBER(AN36),ISNUMBER(AR36)),AN36-AR36,"")</f>
        <v/>
      </c>
      <c r="AT36" s="10">
        <f>IF(AND(ISNUMBER(AN36),ISNUMBER(AR36)),AN36+AR36,"")</f>
        <v/>
      </c>
    </row>
    <row r="37">
      <c r="K37" s="1" t="n"/>
      <c r="L37" s="3">
        <f>IFERROR(AVERAGEIF(Transform!$A$4:$A$1004,Transform!AI29,Transform!$V$4:$V$1004),"")</f>
        <v/>
      </c>
      <c r="M37" s="3">
        <f>IFERROR(VAR(FILTER(Transform!$V$4:$V$1004,Transform!$A$4:$A$1004=Transform!AI29)),"")</f>
        <v/>
      </c>
      <c r="N37" s="3">
        <f>IF(ISNUMBER(M37),SQRT(M37),"")</f>
        <v/>
      </c>
      <c r="O37" s="1">
        <f>COUNT(FILTER(Transform!$V$4:$V$1004,Transform!$A$4:$A$1004=Transform!AI29))</f>
        <v/>
      </c>
      <c r="P37" s="10">
        <f>IF(AND(ISNUMBER(N37),O37&gt;0),CONFIDENCE($D$2,N37,O37),"")</f>
        <v/>
      </c>
      <c r="Q37" s="10">
        <f>IF(AND(ISNUMBER(L37),ISNUMBER(P37)),L37-P37,"")</f>
        <v/>
      </c>
      <c r="R37" s="10">
        <f>IF(AND(ISNUMBER(L37),ISNUMBER(P37)),L37+P37,"")</f>
        <v/>
      </c>
      <c r="S37" s="3">
        <f>IFERROR(AVERAGEIF(Transform!$A$4:$A$1004,Transform!AI29,Transform!$W$4:$W$1004),"")</f>
        <v/>
      </c>
      <c r="T37" s="3">
        <f>IFERROR(VAR(FILTER(Transform!$W$4:$W$1004,Transform!$A$4:$A$1004=Transform!AI29)),"")</f>
        <v/>
      </c>
      <c r="U37" s="3">
        <f>IF(ISNUMBER(T37),SQRT(T37),"")</f>
        <v/>
      </c>
      <c r="V37" s="1">
        <f>COUNT(FILTER(Transform!$W$4:$W$1004,Transform!$A$4:$A$1004=Transform!AI29))</f>
        <v/>
      </c>
      <c r="W37" s="10">
        <f>IF(AND(ISNUMBER(U37),V37&gt;0),CONFIDENCE($D$2,U37,V37),"")</f>
        <v/>
      </c>
      <c r="X37" s="10">
        <f>IF(AND(ISNUMBER(S37),ISNUMBER(W37)),S37-W37,"")</f>
        <v/>
      </c>
      <c r="Y37" s="10">
        <f>IF(AND(ISNUMBER(S37),ISNUMBER(W37)),S37+W37,"")</f>
        <v/>
      </c>
      <c r="Z37" s="3">
        <f>IFERROR(AVERAGEIF(Transform!$A$4:$A$1004,Transform!AI29,Transform!$X$4:$X$1004),"")</f>
        <v/>
      </c>
      <c r="AA37" s="3">
        <f>IFERROR(VAR(FILTER(Transform!$X$4:$X$1004,Transform!$A$4:$A$1004=Transform!AI29)),"")</f>
        <v/>
      </c>
      <c r="AB37" s="3">
        <f>IF(ISNUMBER(AA37),SQRT(AA37),"")</f>
        <v/>
      </c>
      <c r="AC37" s="1">
        <f>COUNT(FILTER(Transform!$X$4:$X$1004,Transform!$A$4:$A$1004=Transform!AI29))</f>
        <v/>
      </c>
      <c r="AD37" s="10">
        <f>IF(AND(ISNUMBER(AB37),AC37&gt;0),CONFIDENCE($D$2,AB37,AC37),"")</f>
        <v/>
      </c>
      <c r="AE37" s="10">
        <f>IF(AND(ISNUMBER(Z37),ISNUMBER(AD37)),Z37-AD37,"")</f>
        <v/>
      </c>
      <c r="AF37" s="10">
        <f>IF(AND(ISNUMBER(Z37),ISNUMBER(AD37)),Z37+AD37,"")</f>
        <v/>
      </c>
      <c r="AG37" s="12" t="n"/>
      <c r="AH37" s="3" t="n"/>
      <c r="AI37" s="3" t="n"/>
      <c r="AJ37" s="1" t="n"/>
      <c r="AK37" s="10" t="n"/>
      <c r="AL37" s="10" t="n"/>
      <c r="AM37" s="10" t="n"/>
      <c r="AN37" s="3">
        <f>IFERROR(AVERAGEIF(Transform!$A$4:$A$1004,Transform!AI29,Transform!$B$4:$S$1004),"")</f>
        <v/>
      </c>
      <c r="AO37" s="3">
        <f>IFERROR(VAR(FILTER(Transform!$B$4:$S$1004,Transform!$A$4:$A$1004=Transform!AI29)),"")</f>
        <v/>
      </c>
      <c r="AP37" s="3">
        <f>IF(ISNUMBER(AO37),SQRT(AO37),"")</f>
        <v/>
      </c>
      <c r="AQ37" s="1">
        <f>COUNT(FILTER(Transform!$B$4:$S$1004,Transform!$A$4:$A$1004=Transform!AI29))</f>
        <v/>
      </c>
      <c r="AR37" s="10">
        <f>IF(AND(ISNUMBER(AP37),AQ37&gt;0),CONFIDENCE($D$2,AP37,AQ37),"")</f>
        <v/>
      </c>
      <c r="AS37" s="10">
        <f>IF(AND(ISNUMBER(AN37),ISNUMBER(AR37)),AN37-AR37,"")</f>
        <v/>
      </c>
      <c r="AT37" s="10">
        <f>IF(AND(ISNUMBER(AN37),ISNUMBER(AR37)),AN37+AR37,"")</f>
        <v/>
      </c>
    </row>
    <row r="38">
      <c r="K38" s="1" t="n"/>
      <c r="L38" s="3">
        <f>IFERROR(AVERAGEIF(Transform!$A$4:$A$1004,Transform!AI30,Transform!$V$4:$V$1004),"")</f>
        <v/>
      </c>
      <c r="M38" s="3">
        <f>IFERROR(VAR(FILTER(Transform!$V$4:$V$1004,Transform!$A$4:$A$1004=Transform!AI30)),"")</f>
        <v/>
      </c>
      <c r="N38" s="3">
        <f>IF(ISNUMBER(M38),SQRT(M38),"")</f>
        <v/>
      </c>
      <c r="O38" s="1">
        <f>COUNT(FILTER(Transform!$V$4:$V$1004,Transform!$A$4:$A$1004=Transform!AI30))</f>
        <v/>
      </c>
      <c r="P38" s="10">
        <f>IF(AND(ISNUMBER(N38),O38&gt;0),CONFIDENCE($D$2,N38,O38),"")</f>
        <v/>
      </c>
      <c r="Q38" s="10">
        <f>IF(AND(ISNUMBER(L38),ISNUMBER(P38)),L38-P38,"")</f>
        <v/>
      </c>
      <c r="R38" s="10">
        <f>IF(AND(ISNUMBER(L38),ISNUMBER(P38)),L38+P38,"")</f>
        <v/>
      </c>
      <c r="S38" s="3">
        <f>IFERROR(AVERAGEIF(Transform!$A$4:$A$1004,Transform!AI30,Transform!$W$4:$W$1004),"")</f>
        <v/>
      </c>
      <c r="T38" s="3">
        <f>IFERROR(VAR(FILTER(Transform!$W$4:$W$1004,Transform!$A$4:$A$1004=Transform!AI30)),"")</f>
        <v/>
      </c>
      <c r="U38" s="3">
        <f>IF(ISNUMBER(T38),SQRT(T38),"")</f>
        <v/>
      </c>
      <c r="V38" s="1">
        <f>COUNT(FILTER(Transform!$W$4:$W$1004,Transform!$A$4:$A$1004=Transform!AI30))</f>
        <v/>
      </c>
      <c r="W38" s="10">
        <f>IF(AND(ISNUMBER(U38),V38&gt;0),CONFIDENCE($D$2,U38,V38),"")</f>
        <v/>
      </c>
      <c r="X38" s="10">
        <f>IF(AND(ISNUMBER(S38),ISNUMBER(W38)),S38-W38,"")</f>
        <v/>
      </c>
      <c r="Y38" s="10">
        <f>IF(AND(ISNUMBER(S38),ISNUMBER(W38)),S38+W38,"")</f>
        <v/>
      </c>
      <c r="Z38" s="3">
        <f>IFERROR(AVERAGEIF(Transform!$A$4:$A$1004,Transform!AI30,Transform!$X$4:$X$1004),"")</f>
        <v/>
      </c>
      <c r="AA38" s="3">
        <f>IFERROR(VAR(FILTER(Transform!$X$4:$X$1004,Transform!$A$4:$A$1004=Transform!AI30)),"")</f>
        <v/>
      </c>
      <c r="AB38" s="3">
        <f>IF(ISNUMBER(AA38),SQRT(AA38),"")</f>
        <v/>
      </c>
      <c r="AC38" s="1">
        <f>COUNT(FILTER(Transform!$X$4:$X$1004,Transform!$A$4:$A$1004=Transform!AI30))</f>
        <v/>
      </c>
      <c r="AD38" s="10">
        <f>IF(AND(ISNUMBER(AB38),AC38&gt;0),CONFIDENCE($D$2,AB38,AC38),"")</f>
        <v/>
      </c>
      <c r="AE38" s="10">
        <f>IF(AND(ISNUMBER(Z38),ISNUMBER(AD38)),Z38-AD38,"")</f>
        <v/>
      </c>
      <c r="AF38" s="10">
        <f>IF(AND(ISNUMBER(Z38),ISNUMBER(AD38)),Z38+AD38,"")</f>
        <v/>
      </c>
      <c r="AG38" s="12" t="n"/>
      <c r="AH38" s="3" t="n"/>
      <c r="AI38" s="3" t="n"/>
      <c r="AJ38" s="1" t="n"/>
      <c r="AK38" s="10" t="n"/>
      <c r="AL38" s="10" t="n"/>
      <c r="AM38" s="10" t="n"/>
      <c r="AN38" s="3">
        <f>IFERROR(AVERAGEIF(Transform!$A$4:$A$1004,Transform!AI30,Transform!$B$4:$S$1004),"")</f>
        <v/>
      </c>
      <c r="AO38" s="3">
        <f>IFERROR(VAR(FILTER(Transform!$B$4:$S$1004,Transform!$A$4:$A$1004=Transform!AI30)),"")</f>
        <v/>
      </c>
      <c r="AP38" s="3">
        <f>IF(ISNUMBER(AO38),SQRT(AO38),"")</f>
        <v/>
      </c>
      <c r="AQ38" s="1">
        <f>COUNT(FILTER(Transform!$B$4:$S$1004,Transform!$A$4:$A$1004=Transform!AI30))</f>
        <v/>
      </c>
      <c r="AR38" s="10">
        <f>IF(AND(ISNUMBER(AP38),AQ38&gt;0),CONFIDENCE($D$2,AP38,AQ38),"")</f>
        <v/>
      </c>
      <c r="AS38" s="10">
        <f>IF(AND(ISNUMBER(AN38),ISNUMBER(AR38)),AN38-AR38,"")</f>
        <v/>
      </c>
      <c r="AT38" s="10">
        <f>IF(AND(ISNUMBER(AN38),ISNUMBER(AR38)),AN38+AR38,"")</f>
        <v/>
      </c>
    </row>
    <row r="39">
      <c r="K39" s="1" t="n"/>
      <c r="L39" s="3">
        <f>IFERROR(AVERAGEIF(Transform!$A$4:$A$1004,Transform!AI31,Transform!$V$4:$V$1004),"")</f>
        <v/>
      </c>
      <c r="M39" s="3">
        <f>IFERROR(VAR(FILTER(Transform!$V$4:$V$1004,Transform!$A$4:$A$1004=Transform!AI31)),"")</f>
        <v/>
      </c>
      <c r="N39" s="3">
        <f>IF(ISNUMBER(M39),SQRT(M39),"")</f>
        <v/>
      </c>
      <c r="O39" s="1">
        <f>COUNT(FILTER(Transform!$V$4:$V$1004,Transform!$A$4:$A$1004=Transform!AI31))</f>
        <v/>
      </c>
      <c r="P39" s="10">
        <f>IF(AND(ISNUMBER(N39),O39&gt;0),CONFIDENCE($D$2,N39,O39),"")</f>
        <v/>
      </c>
      <c r="Q39" s="10">
        <f>IF(AND(ISNUMBER(L39),ISNUMBER(P39)),L39-P39,"")</f>
        <v/>
      </c>
      <c r="R39" s="10">
        <f>IF(AND(ISNUMBER(L39),ISNUMBER(P39)),L39+P39,"")</f>
        <v/>
      </c>
      <c r="S39" s="3">
        <f>IFERROR(AVERAGEIF(Transform!$A$4:$A$1004,Transform!AI31,Transform!$W$4:$W$1004),"")</f>
        <v/>
      </c>
      <c r="T39" s="3">
        <f>IFERROR(VAR(FILTER(Transform!$W$4:$W$1004,Transform!$A$4:$A$1004=Transform!AI31)),"")</f>
        <v/>
      </c>
      <c r="U39" s="3">
        <f>IF(ISNUMBER(T39),SQRT(T39),"")</f>
        <v/>
      </c>
      <c r="V39" s="1">
        <f>COUNT(FILTER(Transform!$W$4:$W$1004,Transform!$A$4:$A$1004=Transform!AI31))</f>
        <v/>
      </c>
      <c r="W39" s="10">
        <f>IF(AND(ISNUMBER(U39),V39&gt;0),CONFIDENCE($D$2,U39,V39),"")</f>
        <v/>
      </c>
      <c r="X39" s="10">
        <f>IF(AND(ISNUMBER(S39),ISNUMBER(W39)),S39-W39,"")</f>
        <v/>
      </c>
      <c r="Y39" s="10">
        <f>IF(AND(ISNUMBER(S39),ISNUMBER(W39)),S39+W39,"")</f>
        <v/>
      </c>
      <c r="Z39" s="3">
        <f>IFERROR(AVERAGEIF(Transform!$A$4:$A$1004,Transform!AI31,Transform!$X$4:$X$1004),"")</f>
        <v/>
      </c>
      <c r="AA39" s="3">
        <f>IFERROR(VAR(FILTER(Transform!$X$4:$X$1004,Transform!$A$4:$A$1004=Transform!AI31)),"")</f>
        <v/>
      </c>
      <c r="AB39" s="3">
        <f>IF(ISNUMBER(AA39),SQRT(AA39),"")</f>
        <v/>
      </c>
      <c r="AC39" s="1">
        <f>COUNT(FILTER(Transform!$X$4:$X$1004,Transform!$A$4:$A$1004=Transform!AI31))</f>
        <v/>
      </c>
      <c r="AD39" s="10">
        <f>IF(AND(ISNUMBER(AB39),AC39&gt;0),CONFIDENCE($D$2,AB39,AC39),"")</f>
        <v/>
      </c>
      <c r="AE39" s="10">
        <f>IF(AND(ISNUMBER(Z39),ISNUMBER(AD39)),Z39-AD39,"")</f>
        <v/>
      </c>
      <c r="AF39" s="10">
        <f>IF(AND(ISNUMBER(Z39),ISNUMBER(AD39)),Z39+AD39,"")</f>
        <v/>
      </c>
      <c r="AG39" s="12" t="n"/>
      <c r="AH39" s="3" t="n"/>
      <c r="AI39" s="3" t="n"/>
      <c r="AJ39" s="1" t="n"/>
      <c r="AK39" s="10" t="n"/>
      <c r="AL39" s="10" t="n"/>
      <c r="AM39" s="10" t="n"/>
      <c r="AN39" s="3">
        <f>IFERROR(AVERAGEIF(Transform!$A$4:$A$1004,Transform!AI31,Transform!$B$4:$S$1004),"")</f>
        <v/>
      </c>
      <c r="AO39" s="3">
        <f>IFERROR(VAR(FILTER(Transform!$B$4:$S$1004,Transform!$A$4:$A$1004=Transform!AI31)),"")</f>
        <v/>
      </c>
      <c r="AP39" s="3">
        <f>IF(ISNUMBER(AO39),SQRT(AO39),"")</f>
        <v/>
      </c>
      <c r="AQ39" s="1">
        <f>COUNT(FILTER(Transform!$B$4:$S$1004,Transform!$A$4:$A$1004=Transform!AI31))</f>
        <v/>
      </c>
      <c r="AR39" s="10">
        <f>IF(AND(ISNUMBER(AP39),AQ39&gt;0),CONFIDENCE($D$2,AP39,AQ39),"")</f>
        <v/>
      </c>
      <c r="AS39" s="10">
        <f>IF(AND(ISNUMBER(AN39),ISNUMBER(AR39)),AN39-AR39,"")</f>
        <v/>
      </c>
      <c r="AT39" s="10">
        <f>IF(AND(ISNUMBER(AN39),ISNUMBER(AR39)),AN39+AR39,"")</f>
        <v/>
      </c>
    </row>
    <row r="40">
      <c r="K40" s="1" t="n"/>
      <c r="L40" s="3">
        <f>IFERROR(AVERAGEIF(Transform!$A$4:$A$1004,Transform!AI32,Transform!$V$4:$V$1004),"")</f>
        <v/>
      </c>
      <c r="M40" s="3">
        <f>IFERROR(VAR(FILTER(Transform!$V$4:$V$1004,Transform!$A$4:$A$1004=Transform!AI32)),"")</f>
        <v/>
      </c>
      <c r="N40" s="3">
        <f>IF(ISNUMBER(M40),SQRT(M40),"")</f>
        <v/>
      </c>
      <c r="O40" s="1">
        <f>COUNT(FILTER(Transform!$V$4:$V$1004,Transform!$A$4:$A$1004=Transform!AI32))</f>
        <v/>
      </c>
      <c r="P40" s="10">
        <f>IF(AND(ISNUMBER(N40),O40&gt;0),CONFIDENCE($D$2,N40,O40),"")</f>
        <v/>
      </c>
      <c r="Q40" s="10">
        <f>IF(AND(ISNUMBER(L40),ISNUMBER(P40)),L40-P40,"")</f>
        <v/>
      </c>
      <c r="R40" s="10">
        <f>IF(AND(ISNUMBER(L40),ISNUMBER(P40)),L40+P40,"")</f>
        <v/>
      </c>
      <c r="S40" s="3">
        <f>IFERROR(AVERAGEIF(Transform!$A$4:$A$1004,Transform!AI32,Transform!$W$4:$W$1004),"")</f>
        <v/>
      </c>
      <c r="T40" s="3">
        <f>IFERROR(VAR(FILTER(Transform!$W$4:$W$1004,Transform!$A$4:$A$1004=Transform!AI32)),"")</f>
        <v/>
      </c>
      <c r="U40" s="3">
        <f>IF(ISNUMBER(T40),SQRT(T40),"")</f>
        <v/>
      </c>
      <c r="V40" s="1">
        <f>COUNT(FILTER(Transform!$W$4:$W$1004,Transform!$A$4:$A$1004=Transform!AI32))</f>
        <v/>
      </c>
      <c r="W40" s="10">
        <f>IF(AND(ISNUMBER(U40),V40&gt;0),CONFIDENCE($D$2,U40,V40),"")</f>
        <v/>
      </c>
      <c r="X40" s="10">
        <f>IF(AND(ISNUMBER(S40),ISNUMBER(W40)),S40-W40,"")</f>
        <v/>
      </c>
      <c r="Y40" s="10">
        <f>IF(AND(ISNUMBER(S40),ISNUMBER(W40)),S40+W40,"")</f>
        <v/>
      </c>
      <c r="Z40" s="3">
        <f>IFERROR(AVERAGEIF(Transform!$A$4:$A$1004,Transform!AI32,Transform!$X$4:$X$1004),"")</f>
        <v/>
      </c>
      <c r="AA40" s="3">
        <f>IFERROR(VAR(FILTER(Transform!$X$4:$X$1004,Transform!$A$4:$A$1004=Transform!AI32)),"")</f>
        <v/>
      </c>
      <c r="AB40" s="3">
        <f>IF(ISNUMBER(AA40),SQRT(AA40),"")</f>
        <v/>
      </c>
      <c r="AC40" s="1">
        <f>COUNT(FILTER(Transform!$X$4:$X$1004,Transform!$A$4:$A$1004=Transform!AI32))</f>
        <v/>
      </c>
      <c r="AD40" s="10">
        <f>IF(AND(ISNUMBER(AB40),AC40&gt;0),CONFIDENCE($D$2,AB40,AC40),"")</f>
        <v/>
      </c>
      <c r="AE40" s="10">
        <f>IF(AND(ISNUMBER(Z40),ISNUMBER(AD40)),Z40-AD40,"")</f>
        <v/>
      </c>
      <c r="AF40" s="10">
        <f>IF(AND(ISNUMBER(Z40),ISNUMBER(AD40)),Z40+AD40,"")</f>
        <v/>
      </c>
      <c r="AG40" s="12" t="n"/>
      <c r="AH40" s="3" t="n"/>
      <c r="AI40" s="3" t="n"/>
      <c r="AJ40" s="1" t="n"/>
      <c r="AK40" s="10" t="n"/>
      <c r="AL40" s="10" t="n"/>
      <c r="AM40" s="10" t="n"/>
      <c r="AN40" s="3">
        <f>IFERROR(AVERAGEIF(Transform!$A$4:$A$1004,Transform!AI32,Transform!$B$4:$S$1004),"")</f>
        <v/>
      </c>
      <c r="AO40" s="3">
        <f>IFERROR(VAR(FILTER(Transform!$B$4:$S$1004,Transform!$A$4:$A$1004=Transform!AI32)),"")</f>
        <v/>
      </c>
      <c r="AP40" s="3">
        <f>IF(ISNUMBER(AO40),SQRT(AO40),"")</f>
        <v/>
      </c>
      <c r="AQ40" s="1">
        <f>COUNT(FILTER(Transform!$B$4:$S$1004,Transform!$A$4:$A$1004=Transform!AI32))</f>
        <v/>
      </c>
      <c r="AR40" s="10">
        <f>IF(AND(ISNUMBER(AP40),AQ40&gt;0),CONFIDENCE($D$2,AP40,AQ40),"")</f>
        <v/>
      </c>
      <c r="AS40" s="10">
        <f>IF(AND(ISNUMBER(AN40),ISNUMBER(AR40)),AN40-AR40,"")</f>
        <v/>
      </c>
      <c r="AT40" s="10">
        <f>IF(AND(ISNUMBER(AN40),ISNUMBER(AR40)),AN40+AR40,"")</f>
        <v/>
      </c>
    </row>
    <row r="41">
      <c r="K41" s="1" t="n"/>
      <c r="L41" s="3">
        <f>IFERROR(AVERAGEIF(Transform!$A$4:$A$1004,Transform!AI33,Transform!$V$4:$V$1004),"")</f>
        <v/>
      </c>
      <c r="M41" s="3">
        <f>IFERROR(VAR(FILTER(Transform!$V$4:$V$1004,Transform!$A$4:$A$1004=Transform!AI33)),"")</f>
        <v/>
      </c>
      <c r="N41" s="3">
        <f>IF(ISNUMBER(M41),SQRT(M41),"")</f>
        <v/>
      </c>
      <c r="O41" s="1">
        <f>COUNT(FILTER(Transform!$V$4:$V$1004,Transform!$A$4:$A$1004=Transform!AI33))</f>
        <v/>
      </c>
      <c r="P41" s="10">
        <f>IF(AND(ISNUMBER(N41),O41&gt;0),CONFIDENCE($D$2,N41,O41),"")</f>
        <v/>
      </c>
      <c r="Q41" s="10">
        <f>IF(AND(ISNUMBER(L41),ISNUMBER(P41)),L41-P41,"")</f>
        <v/>
      </c>
      <c r="R41" s="10">
        <f>IF(AND(ISNUMBER(L41),ISNUMBER(P41)),L41+P41,"")</f>
        <v/>
      </c>
      <c r="S41" s="3">
        <f>IFERROR(AVERAGEIF(Transform!$A$4:$A$1004,Transform!AI33,Transform!$W$4:$W$1004),"")</f>
        <v/>
      </c>
      <c r="T41" s="3">
        <f>IFERROR(VAR(FILTER(Transform!$W$4:$W$1004,Transform!$A$4:$A$1004=Transform!AI33)),"")</f>
        <v/>
      </c>
      <c r="U41" s="3">
        <f>IF(ISNUMBER(T41),SQRT(T41),"")</f>
        <v/>
      </c>
      <c r="V41" s="1">
        <f>COUNT(FILTER(Transform!$W$4:$W$1004,Transform!$A$4:$A$1004=Transform!AI33))</f>
        <v/>
      </c>
      <c r="W41" s="10">
        <f>IF(AND(ISNUMBER(U41),V41&gt;0),CONFIDENCE($D$2,U41,V41),"")</f>
        <v/>
      </c>
      <c r="X41" s="10">
        <f>IF(AND(ISNUMBER(S41),ISNUMBER(W41)),S41-W41,"")</f>
        <v/>
      </c>
      <c r="Y41" s="10">
        <f>IF(AND(ISNUMBER(S41),ISNUMBER(W41)),S41+W41,"")</f>
        <v/>
      </c>
      <c r="Z41" s="3">
        <f>IFERROR(AVERAGEIF(Transform!$A$4:$A$1004,Transform!AI33,Transform!$X$4:$X$1004),"")</f>
        <v/>
      </c>
      <c r="AA41" s="3">
        <f>IFERROR(VAR(FILTER(Transform!$X$4:$X$1004,Transform!$A$4:$A$1004=Transform!AI33)),"")</f>
        <v/>
      </c>
      <c r="AB41" s="3">
        <f>IF(ISNUMBER(AA41),SQRT(AA41),"")</f>
        <v/>
      </c>
      <c r="AC41" s="1">
        <f>COUNT(FILTER(Transform!$X$4:$X$1004,Transform!$A$4:$A$1004=Transform!AI33))</f>
        <v/>
      </c>
      <c r="AD41" s="10">
        <f>IF(AND(ISNUMBER(AB41),AC41&gt;0),CONFIDENCE($D$2,AB41,AC41),"")</f>
        <v/>
      </c>
      <c r="AE41" s="10">
        <f>IF(AND(ISNUMBER(Z41),ISNUMBER(AD41)),Z41-AD41,"")</f>
        <v/>
      </c>
      <c r="AF41" s="10">
        <f>IF(AND(ISNUMBER(Z41),ISNUMBER(AD41)),Z41+AD41,"")</f>
        <v/>
      </c>
      <c r="AG41" s="12" t="n"/>
      <c r="AH41" s="3" t="n"/>
      <c r="AI41" s="3" t="n"/>
      <c r="AJ41" s="1" t="n"/>
      <c r="AK41" s="10" t="n"/>
      <c r="AL41" s="10" t="n"/>
      <c r="AM41" s="10" t="n"/>
      <c r="AN41" s="3">
        <f>IFERROR(AVERAGEIF(Transform!$A$4:$A$1004,Transform!AI33,Transform!$B$4:$S$1004),"")</f>
        <v/>
      </c>
      <c r="AO41" s="3">
        <f>IFERROR(VAR(FILTER(Transform!$B$4:$S$1004,Transform!$A$4:$A$1004=Transform!AI33)),"")</f>
        <v/>
      </c>
      <c r="AP41" s="3">
        <f>IF(ISNUMBER(AO41),SQRT(AO41),"")</f>
        <v/>
      </c>
      <c r="AQ41" s="1">
        <f>COUNT(FILTER(Transform!$B$4:$S$1004,Transform!$A$4:$A$1004=Transform!AI33))</f>
        <v/>
      </c>
      <c r="AR41" s="10">
        <f>IF(AND(ISNUMBER(AP41),AQ41&gt;0),CONFIDENCE($D$2,AP41,AQ41),"")</f>
        <v/>
      </c>
      <c r="AS41" s="10">
        <f>IF(AND(ISNUMBER(AN41),ISNUMBER(AR41)),AN41-AR41,"")</f>
        <v/>
      </c>
      <c r="AT41" s="10">
        <f>IF(AND(ISNUMBER(AN41),ISNUMBER(AR41)),AN41+AR41,"")</f>
        <v/>
      </c>
    </row>
    <row r="42">
      <c r="K42" s="1" t="n"/>
      <c r="L42" s="3">
        <f>IFERROR(AVERAGEIF(Transform!$A$4:$A$1004,Transform!AI34,Transform!$V$4:$V$1004),"")</f>
        <v/>
      </c>
      <c r="M42" s="3">
        <f>IFERROR(VAR(FILTER(Transform!$V$4:$V$1004,Transform!$A$4:$A$1004=Transform!AI34)),"")</f>
        <v/>
      </c>
      <c r="N42" s="3">
        <f>IF(ISNUMBER(M42),SQRT(M42),"")</f>
        <v/>
      </c>
      <c r="O42" s="1">
        <f>COUNT(FILTER(Transform!$V$4:$V$1004,Transform!$A$4:$A$1004=Transform!AI34))</f>
        <v/>
      </c>
      <c r="P42" s="10">
        <f>IF(AND(ISNUMBER(N42),O42&gt;0),CONFIDENCE($D$2,N42,O42),"")</f>
        <v/>
      </c>
      <c r="Q42" s="10">
        <f>IF(AND(ISNUMBER(L42),ISNUMBER(P42)),L42-P42,"")</f>
        <v/>
      </c>
      <c r="R42" s="10">
        <f>IF(AND(ISNUMBER(L42),ISNUMBER(P42)),L42+P42,"")</f>
        <v/>
      </c>
      <c r="S42" s="3">
        <f>IFERROR(AVERAGEIF(Transform!$A$4:$A$1004,Transform!AI34,Transform!$W$4:$W$1004),"")</f>
        <v/>
      </c>
      <c r="T42" s="3">
        <f>IFERROR(VAR(FILTER(Transform!$W$4:$W$1004,Transform!$A$4:$A$1004=Transform!AI34)),"")</f>
        <v/>
      </c>
      <c r="U42" s="3">
        <f>IF(ISNUMBER(T42),SQRT(T42),"")</f>
        <v/>
      </c>
      <c r="V42" s="1">
        <f>COUNT(FILTER(Transform!$W$4:$W$1004,Transform!$A$4:$A$1004=Transform!AI34))</f>
        <v/>
      </c>
      <c r="W42" s="10">
        <f>IF(AND(ISNUMBER(U42),V42&gt;0),CONFIDENCE($D$2,U42,V42),"")</f>
        <v/>
      </c>
      <c r="X42" s="10">
        <f>IF(AND(ISNUMBER(S42),ISNUMBER(W42)),S42-W42,"")</f>
        <v/>
      </c>
      <c r="Y42" s="10">
        <f>IF(AND(ISNUMBER(S42),ISNUMBER(W42)),S42+W42,"")</f>
        <v/>
      </c>
      <c r="Z42" s="3">
        <f>IFERROR(AVERAGEIF(Transform!$A$4:$A$1004,Transform!AI34,Transform!$X$4:$X$1004),"")</f>
        <v/>
      </c>
      <c r="AA42" s="3">
        <f>IFERROR(VAR(FILTER(Transform!$X$4:$X$1004,Transform!$A$4:$A$1004=Transform!AI34)),"")</f>
        <v/>
      </c>
      <c r="AB42" s="3">
        <f>IF(ISNUMBER(AA42),SQRT(AA42),"")</f>
        <v/>
      </c>
      <c r="AC42" s="1">
        <f>COUNT(FILTER(Transform!$X$4:$X$1004,Transform!$A$4:$A$1004=Transform!AI34))</f>
        <v/>
      </c>
      <c r="AD42" s="10">
        <f>IF(AND(ISNUMBER(AB42),AC42&gt;0),CONFIDENCE($D$2,AB42,AC42),"")</f>
        <v/>
      </c>
      <c r="AE42" s="10">
        <f>IF(AND(ISNUMBER(Z42),ISNUMBER(AD42)),Z42-AD42,"")</f>
        <v/>
      </c>
      <c r="AF42" s="10">
        <f>IF(AND(ISNUMBER(Z42),ISNUMBER(AD42)),Z42+AD42,"")</f>
        <v/>
      </c>
      <c r="AG42" s="12" t="n"/>
      <c r="AH42" s="3" t="n"/>
      <c r="AI42" s="3" t="n"/>
      <c r="AJ42" s="1" t="n"/>
      <c r="AK42" s="10" t="n"/>
      <c r="AL42" s="10" t="n"/>
      <c r="AM42" s="10" t="n"/>
      <c r="AN42" s="3">
        <f>IFERROR(AVERAGEIF(Transform!$A$4:$A$1004,Transform!AI34,Transform!$B$4:$S$1004),"")</f>
        <v/>
      </c>
      <c r="AO42" s="3">
        <f>IFERROR(VAR(FILTER(Transform!$B$4:$S$1004,Transform!$A$4:$A$1004=Transform!AI34)),"")</f>
        <v/>
      </c>
      <c r="AP42" s="3">
        <f>IF(ISNUMBER(AO42),SQRT(AO42),"")</f>
        <v/>
      </c>
      <c r="AQ42" s="1">
        <f>COUNT(FILTER(Transform!$B$4:$S$1004,Transform!$A$4:$A$1004=Transform!AI34))</f>
        <v/>
      </c>
      <c r="AR42" s="10">
        <f>IF(AND(ISNUMBER(AP42),AQ42&gt;0),CONFIDENCE($D$2,AP42,AQ42),"")</f>
        <v/>
      </c>
      <c r="AS42" s="10">
        <f>IF(AND(ISNUMBER(AN42),ISNUMBER(AR42)),AN42-AR42,"")</f>
        <v/>
      </c>
      <c r="AT42" s="10">
        <f>IF(AND(ISNUMBER(AN42),ISNUMBER(AR42)),AN42+AR42,"")</f>
        <v/>
      </c>
    </row>
    <row r="43">
      <c r="K43" s="1" t="n"/>
      <c r="L43" s="3">
        <f>IFERROR(AVERAGEIF(Transform!$A$4:$A$1004,Transform!AI35,Transform!$V$4:$V$1004),"")</f>
        <v/>
      </c>
      <c r="M43" s="3">
        <f>IFERROR(VAR(FILTER(Transform!$V$4:$V$1004,Transform!$A$4:$A$1004=Transform!AI35)),"")</f>
        <v/>
      </c>
      <c r="N43" s="3">
        <f>IF(ISNUMBER(M43),SQRT(M43),"")</f>
        <v/>
      </c>
      <c r="O43" s="1">
        <f>COUNT(FILTER(Transform!$V$4:$V$1004,Transform!$A$4:$A$1004=Transform!AI35))</f>
        <v/>
      </c>
      <c r="P43" s="10">
        <f>IF(AND(ISNUMBER(N43),O43&gt;0),CONFIDENCE($D$2,N43,O43),"")</f>
        <v/>
      </c>
      <c r="Q43" s="10">
        <f>IF(AND(ISNUMBER(L43),ISNUMBER(P43)),L43-P43,"")</f>
        <v/>
      </c>
      <c r="R43" s="10">
        <f>IF(AND(ISNUMBER(L43),ISNUMBER(P43)),L43+P43,"")</f>
        <v/>
      </c>
      <c r="S43" s="3">
        <f>IFERROR(AVERAGEIF(Transform!$A$4:$A$1004,Transform!AI35,Transform!$W$4:$W$1004),"")</f>
        <v/>
      </c>
      <c r="T43" s="3">
        <f>IFERROR(VAR(FILTER(Transform!$W$4:$W$1004,Transform!$A$4:$A$1004=Transform!AI35)),"")</f>
        <v/>
      </c>
      <c r="U43" s="3">
        <f>IF(ISNUMBER(T43),SQRT(T43),"")</f>
        <v/>
      </c>
      <c r="V43" s="1">
        <f>COUNT(FILTER(Transform!$W$4:$W$1004,Transform!$A$4:$A$1004=Transform!AI35))</f>
        <v/>
      </c>
      <c r="W43" s="10">
        <f>IF(AND(ISNUMBER(U43),V43&gt;0),CONFIDENCE($D$2,U43,V43),"")</f>
        <v/>
      </c>
      <c r="X43" s="10">
        <f>IF(AND(ISNUMBER(S43),ISNUMBER(W43)),S43-W43,"")</f>
        <v/>
      </c>
      <c r="Y43" s="10">
        <f>IF(AND(ISNUMBER(S43),ISNUMBER(W43)),S43+W43,"")</f>
        <v/>
      </c>
      <c r="Z43" s="3">
        <f>IFERROR(AVERAGEIF(Transform!$A$4:$A$1004,Transform!AI35,Transform!$X$4:$X$1004),"")</f>
        <v/>
      </c>
      <c r="AA43" s="3">
        <f>IFERROR(VAR(FILTER(Transform!$X$4:$X$1004,Transform!$A$4:$A$1004=Transform!AI35)),"")</f>
        <v/>
      </c>
      <c r="AB43" s="3">
        <f>IF(ISNUMBER(AA43),SQRT(AA43),"")</f>
        <v/>
      </c>
      <c r="AC43" s="1">
        <f>COUNT(FILTER(Transform!$X$4:$X$1004,Transform!$A$4:$A$1004=Transform!AI35))</f>
        <v/>
      </c>
      <c r="AD43" s="10">
        <f>IF(AND(ISNUMBER(AB43),AC43&gt;0),CONFIDENCE($D$2,AB43,AC43),"")</f>
        <v/>
      </c>
      <c r="AE43" s="10">
        <f>IF(AND(ISNUMBER(Z43),ISNUMBER(AD43)),Z43-AD43,"")</f>
        <v/>
      </c>
      <c r="AF43" s="10">
        <f>IF(AND(ISNUMBER(Z43),ISNUMBER(AD43)),Z43+AD43,"")</f>
        <v/>
      </c>
      <c r="AG43" s="12" t="n"/>
      <c r="AH43" s="3" t="n"/>
      <c r="AI43" s="3" t="n"/>
      <c r="AJ43" s="1" t="n"/>
      <c r="AK43" s="10" t="n"/>
      <c r="AL43" s="10" t="n"/>
      <c r="AM43" s="10" t="n"/>
      <c r="AN43" s="3">
        <f>IFERROR(AVERAGEIF(Transform!$A$4:$A$1004,Transform!AI35,Transform!$B$4:$S$1004),"")</f>
        <v/>
      </c>
      <c r="AO43" s="3">
        <f>IFERROR(VAR(FILTER(Transform!$B$4:$S$1004,Transform!$A$4:$A$1004=Transform!AI35)),"")</f>
        <v/>
      </c>
      <c r="AP43" s="3">
        <f>IF(ISNUMBER(AO43),SQRT(AO43),"")</f>
        <v/>
      </c>
      <c r="AQ43" s="1">
        <f>COUNT(FILTER(Transform!$B$4:$S$1004,Transform!$A$4:$A$1004=Transform!AI35))</f>
        <v/>
      </c>
      <c r="AR43" s="10">
        <f>IF(AND(ISNUMBER(AP43),AQ43&gt;0),CONFIDENCE($D$2,AP43,AQ43),"")</f>
        <v/>
      </c>
      <c r="AS43" s="10">
        <f>IF(AND(ISNUMBER(AN43),ISNUMBER(AR43)),AN43-AR43,"")</f>
        <v/>
      </c>
      <c r="AT43" s="10">
        <f>IF(AND(ISNUMBER(AN43),ISNUMBER(AR43)),AN43+AR43,"")</f>
        <v/>
      </c>
    </row>
    <row r="44">
      <c r="K44" s="1" t="n"/>
      <c r="L44" s="3">
        <f>IFERROR(AVERAGEIF(Transform!$A$4:$A$1004,Transform!AI36,Transform!$V$4:$V$1004),"")</f>
        <v/>
      </c>
      <c r="M44" s="3">
        <f>IFERROR(VAR(FILTER(Transform!$V$4:$V$1004,Transform!$A$4:$A$1004=Transform!AI36)),"")</f>
        <v/>
      </c>
      <c r="N44" s="3">
        <f>IF(ISNUMBER(M44),SQRT(M44),"")</f>
        <v/>
      </c>
      <c r="O44" s="1">
        <f>COUNT(FILTER(Transform!$V$4:$V$1004,Transform!$A$4:$A$1004=Transform!AI36))</f>
        <v/>
      </c>
      <c r="P44" s="10">
        <f>IF(AND(ISNUMBER(N44),O44&gt;0),CONFIDENCE($D$2,N44,O44),"")</f>
        <v/>
      </c>
      <c r="Q44" s="10">
        <f>IF(AND(ISNUMBER(L44),ISNUMBER(P44)),L44-P44,"")</f>
        <v/>
      </c>
      <c r="R44" s="10">
        <f>IF(AND(ISNUMBER(L44),ISNUMBER(P44)),L44+P44,"")</f>
        <v/>
      </c>
      <c r="S44" s="3">
        <f>IFERROR(AVERAGEIF(Transform!$A$4:$A$1004,Transform!AI36,Transform!$W$4:$W$1004),"")</f>
        <v/>
      </c>
      <c r="T44" s="3">
        <f>IFERROR(VAR(FILTER(Transform!$W$4:$W$1004,Transform!$A$4:$A$1004=Transform!AI36)),"")</f>
        <v/>
      </c>
      <c r="U44" s="3">
        <f>IF(ISNUMBER(T44),SQRT(T44),"")</f>
        <v/>
      </c>
      <c r="V44" s="1">
        <f>COUNT(FILTER(Transform!$W$4:$W$1004,Transform!$A$4:$A$1004=Transform!AI36))</f>
        <v/>
      </c>
      <c r="W44" s="10">
        <f>IF(AND(ISNUMBER(U44),V44&gt;0),CONFIDENCE($D$2,U44,V44),"")</f>
        <v/>
      </c>
      <c r="X44" s="10">
        <f>IF(AND(ISNUMBER(S44),ISNUMBER(W44)),S44-W44,"")</f>
        <v/>
      </c>
      <c r="Y44" s="10">
        <f>IF(AND(ISNUMBER(S44),ISNUMBER(W44)),S44+W44,"")</f>
        <v/>
      </c>
      <c r="Z44" s="3">
        <f>IFERROR(AVERAGEIF(Transform!$A$4:$A$1004,Transform!AI36,Transform!$X$4:$X$1004),"")</f>
        <v/>
      </c>
      <c r="AA44" s="3">
        <f>IFERROR(VAR(FILTER(Transform!$X$4:$X$1004,Transform!$A$4:$A$1004=Transform!AI36)),"")</f>
        <v/>
      </c>
      <c r="AB44" s="3">
        <f>IF(ISNUMBER(AA44),SQRT(AA44),"")</f>
        <v/>
      </c>
      <c r="AC44" s="1">
        <f>COUNT(FILTER(Transform!$X$4:$X$1004,Transform!$A$4:$A$1004=Transform!AI36))</f>
        <v/>
      </c>
      <c r="AD44" s="10">
        <f>IF(AND(ISNUMBER(AB44),AC44&gt;0),CONFIDENCE($D$2,AB44,AC44),"")</f>
        <v/>
      </c>
      <c r="AE44" s="10">
        <f>IF(AND(ISNUMBER(Z44),ISNUMBER(AD44)),Z44-AD44,"")</f>
        <v/>
      </c>
      <c r="AF44" s="10">
        <f>IF(AND(ISNUMBER(Z44),ISNUMBER(AD44)),Z44+AD44,"")</f>
        <v/>
      </c>
      <c r="AG44" s="12" t="n"/>
      <c r="AH44" s="3" t="n"/>
      <c r="AI44" s="3" t="n"/>
      <c r="AJ44" s="1" t="n"/>
      <c r="AK44" s="10" t="n"/>
      <c r="AL44" s="10" t="n"/>
      <c r="AM44" s="10" t="n"/>
      <c r="AN44" s="3">
        <f>IFERROR(AVERAGEIF(Transform!$A$4:$A$1004,Transform!AI36,Transform!$B$4:$S$1004),"")</f>
        <v/>
      </c>
      <c r="AO44" s="3">
        <f>IFERROR(VAR(FILTER(Transform!$B$4:$S$1004,Transform!$A$4:$A$1004=Transform!AI36)),"")</f>
        <v/>
      </c>
      <c r="AP44" s="3">
        <f>IF(ISNUMBER(AO44),SQRT(AO44),"")</f>
        <v/>
      </c>
      <c r="AQ44" s="1">
        <f>COUNT(FILTER(Transform!$B$4:$S$1004,Transform!$A$4:$A$1004=Transform!AI36))</f>
        <v/>
      </c>
      <c r="AR44" s="10">
        <f>IF(AND(ISNUMBER(AP44),AQ44&gt;0),CONFIDENCE($D$2,AP44,AQ44),"")</f>
        <v/>
      </c>
      <c r="AS44" s="10">
        <f>IF(AND(ISNUMBER(AN44),ISNUMBER(AR44)),AN44-AR44,"")</f>
        <v/>
      </c>
      <c r="AT44" s="10">
        <f>IF(AND(ISNUMBER(AN44),ISNUMBER(AR44)),AN44+AR44,"")</f>
        <v/>
      </c>
    </row>
    <row r="45">
      <c r="K45" s="1" t="n"/>
      <c r="L45" s="3">
        <f>IFERROR(AVERAGEIF(Transform!$A$4:$A$1004,Transform!AI37,Transform!$V$4:$V$1004),"")</f>
        <v/>
      </c>
      <c r="M45" s="3">
        <f>IFERROR(VAR(FILTER(Transform!$V$4:$V$1004,Transform!$A$4:$A$1004=Transform!AI37)),"")</f>
        <v/>
      </c>
      <c r="N45" s="3">
        <f>IF(ISNUMBER(M45),SQRT(M45),"")</f>
        <v/>
      </c>
      <c r="O45" s="1">
        <f>COUNT(FILTER(Transform!$V$4:$V$1004,Transform!$A$4:$A$1004=Transform!AI37))</f>
        <v/>
      </c>
      <c r="P45" s="10">
        <f>IF(AND(ISNUMBER(N45),O45&gt;0),CONFIDENCE($D$2,N45,O45),"")</f>
        <v/>
      </c>
      <c r="Q45" s="10">
        <f>IF(AND(ISNUMBER(L45),ISNUMBER(P45)),L45-P45,"")</f>
        <v/>
      </c>
      <c r="R45" s="10">
        <f>IF(AND(ISNUMBER(L45),ISNUMBER(P45)),L45+P45,"")</f>
        <v/>
      </c>
      <c r="S45" s="3">
        <f>IFERROR(AVERAGEIF(Transform!$A$4:$A$1004,Transform!AI37,Transform!$W$4:$W$1004),"")</f>
        <v/>
      </c>
      <c r="T45" s="3">
        <f>IFERROR(VAR(FILTER(Transform!$W$4:$W$1004,Transform!$A$4:$A$1004=Transform!AI37)),"")</f>
        <v/>
      </c>
      <c r="U45" s="3">
        <f>IF(ISNUMBER(T45),SQRT(T45),"")</f>
        <v/>
      </c>
      <c r="V45" s="1">
        <f>COUNT(FILTER(Transform!$W$4:$W$1004,Transform!$A$4:$A$1004=Transform!AI37))</f>
        <v/>
      </c>
      <c r="W45" s="10">
        <f>IF(AND(ISNUMBER(U45),V45&gt;0),CONFIDENCE($D$2,U45,V45),"")</f>
        <v/>
      </c>
      <c r="X45" s="10">
        <f>IF(AND(ISNUMBER(S45),ISNUMBER(W45)),S45-W45,"")</f>
        <v/>
      </c>
      <c r="Y45" s="10">
        <f>IF(AND(ISNUMBER(S45),ISNUMBER(W45)),S45+W45,"")</f>
        <v/>
      </c>
      <c r="Z45" s="3">
        <f>IFERROR(AVERAGEIF(Transform!$A$4:$A$1004,Transform!AI37,Transform!$X$4:$X$1004),"")</f>
        <v/>
      </c>
      <c r="AA45" s="3">
        <f>IFERROR(VAR(FILTER(Transform!$X$4:$X$1004,Transform!$A$4:$A$1004=Transform!AI37)),"")</f>
        <v/>
      </c>
      <c r="AB45" s="3">
        <f>IF(ISNUMBER(AA45),SQRT(AA45),"")</f>
        <v/>
      </c>
      <c r="AC45" s="1">
        <f>COUNT(FILTER(Transform!$X$4:$X$1004,Transform!$A$4:$A$1004=Transform!AI37))</f>
        <v/>
      </c>
      <c r="AD45" s="10">
        <f>IF(AND(ISNUMBER(AB45),AC45&gt;0),CONFIDENCE($D$2,AB45,AC45),"")</f>
        <v/>
      </c>
      <c r="AE45" s="10">
        <f>IF(AND(ISNUMBER(Z45),ISNUMBER(AD45)),Z45-AD45,"")</f>
        <v/>
      </c>
      <c r="AF45" s="10">
        <f>IF(AND(ISNUMBER(Z45),ISNUMBER(AD45)),Z45+AD45,"")</f>
        <v/>
      </c>
      <c r="AG45" s="12" t="n"/>
      <c r="AH45" s="3" t="n"/>
      <c r="AI45" s="3" t="n"/>
      <c r="AJ45" s="1" t="n"/>
      <c r="AK45" s="10" t="n"/>
      <c r="AL45" s="10" t="n"/>
      <c r="AM45" s="10" t="n"/>
      <c r="AN45" s="3">
        <f>IFERROR(AVERAGEIF(Transform!$A$4:$A$1004,Transform!AI37,Transform!$B$4:$S$1004),"")</f>
        <v/>
      </c>
      <c r="AO45" s="3">
        <f>IFERROR(VAR(FILTER(Transform!$B$4:$S$1004,Transform!$A$4:$A$1004=Transform!AI37)),"")</f>
        <v/>
      </c>
      <c r="AP45" s="3">
        <f>IF(ISNUMBER(AO45),SQRT(AO45),"")</f>
        <v/>
      </c>
      <c r="AQ45" s="1">
        <f>COUNT(FILTER(Transform!$B$4:$S$1004,Transform!$A$4:$A$1004=Transform!AI37))</f>
        <v/>
      </c>
      <c r="AR45" s="10">
        <f>IF(AND(ISNUMBER(AP45),AQ45&gt;0),CONFIDENCE($D$2,AP45,AQ45),"")</f>
        <v/>
      </c>
      <c r="AS45" s="10">
        <f>IF(AND(ISNUMBER(AN45),ISNUMBER(AR45)),AN45-AR45,"")</f>
        <v/>
      </c>
      <c r="AT45" s="10">
        <f>IF(AND(ISNUMBER(AN45),ISNUMBER(AR45)),AN45+AR45,"")</f>
        <v/>
      </c>
    </row>
    <row r="46">
      <c r="K46" s="1" t="n"/>
      <c r="L46" s="3">
        <f>IFERROR(AVERAGEIF(Transform!$A$4:$A$1004,Transform!AI38,Transform!$V$4:$V$1004),"")</f>
        <v/>
      </c>
      <c r="M46" s="3">
        <f>IFERROR(VAR(FILTER(Transform!$V$4:$V$1004,Transform!$A$4:$A$1004=Transform!AI38)),"")</f>
        <v/>
      </c>
      <c r="N46" s="3">
        <f>IF(ISNUMBER(M46),SQRT(M46),"")</f>
        <v/>
      </c>
      <c r="O46" s="1">
        <f>COUNT(FILTER(Transform!$V$4:$V$1004,Transform!$A$4:$A$1004=Transform!AI38))</f>
        <v/>
      </c>
      <c r="P46" s="10">
        <f>IF(AND(ISNUMBER(N46),O46&gt;0),CONFIDENCE($D$2,N46,O46),"")</f>
        <v/>
      </c>
      <c r="Q46" s="10">
        <f>IF(AND(ISNUMBER(L46),ISNUMBER(P46)),L46-P46,"")</f>
        <v/>
      </c>
      <c r="R46" s="10">
        <f>IF(AND(ISNUMBER(L46),ISNUMBER(P46)),L46+P46,"")</f>
        <v/>
      </c>
      <c r="S46" s="3">
        <f>IFERROR(AVERAGEIF(Transform!$A$4:$A$1004,Transform!AI38,Transform!$W$4:$W$1004),"")</f>
        <v/>
      </c>
      <c r="T46" s="3">
        <f>IFERROR(VAR(FILTER(Transform!$W$4:$W$1004,Transform!$A$4:$A$1004=Transform!AI38)),"")</f>
        <v/>
      </c>
      <c r="U46" s="3">
        <f>IF(ISNUMBER(T46),SQRT(T46),"")</f>
        <v/>
      </c>
      <c r="V46" s="1">
        <f>COUNT(FILTER(Transform!$W$4:$W$1004,Transform!$A$4:$A$1004=Transform!AI38))</f>
        <v/>
      </c>
      <c r="W46" s="10">
        <f>IF(AND(ISNUMBER(U46),V46&gt;0),CONFIDENCE($D$2,U46,V46),"")</f>
        <v/>
      </c>
      <c r="X46" s="10">
        <f>IF(AND(ISNUMBER(S46),ISNUMBER(W46)),S46-W46,"")</f>
        <v/>
      </c>
      <c r="Y46" s="10">
        <f>IF(AND(ISNUMBER(S46),ISNUMBER(W46)),S46+W46,"")</f>
        <v/>
      </c>
      <c r="Z46" s="3">
        <f>IFERROR(AVERAGEIF(Transform!$A$4:$A$1004,Transform!AI38,Transform!$X$4:$X$1004),"")</f>
        <v/>
      </c>
      <c r="AA46" s="3">
        <f>IFERROR(VAR(FILTER(Transform!$X$4:$X$1004,Transform!$A$4:$A$1004=Transform!AI38)),"")</f>
        <v/>
      </c>
      <c r="AB46" s="3">
        <f>IF(ISNUMBER(AA46),SQRT(AA46),"")</f>
        <v/>
      </c>
      <c r="AC46" s="1">
        <f>COUNT(FILTER(Transform!$X$4:$X$1004,Transform!$A$4:$A$1004=Transform!AI38))</f>
        <v/>
      </c>
      <c r="AD46" s="10">
        <f>IF(AND(ISNUMBER(AB46),AC46&gt;0),CONFIDENCE($D$2,AB46,AC46),"")</f>
        <v/>
      </c>
      <c r="AE46" s="10">
        <f>IF(AND(ISNUMBER(Z46),ISNUMBER(AD46)),Z46-AD46,"")</f>
        <v/>
      </c>
      <c r="AF46" s="10">
        <f>IF(AND(ISNUMBER(Z46),ISNUMBER(AD46)),Z46+AD46,"")</f>
        <v/>
      </c>
      <c r="AG46" s="12" t="n"/>
      <c r="AH46" s="3" t="n"/>
      <c r="AI46" s="3" t="n"/>
      <c r="AJ46" s="1" t="n"/>
      <c r="AK46" s="10" t="n"/>
      <c r="AL46" s="10" t="n"/>
      <c r="AM46" s="10" t="n"/>
      <c r="AN46" s="3">
        <f>IFERROR(AVERAGEIF(Transform!$A$4:$A$1004,Transform!AI38,Transform!$B$4:$S$1004),"")</f>
        <v/>
      </c>
      <c r="AO46" s="3">
        <f>IFERROR(VAR(FILTER(Transform!$B$4:$S$1004,Transform!$A$4:$A$1004=Transform!AI38)),"")</f>
        <v/>
      </c>
      <c r="AP46" s="3">
        <f>IF(ISNUMBER(AO46),SQRT(AO46),"")</f>
        <v/>
      </c>
      <c r="AQ46" s="1">
        <f>COUNT(FILTER(Transform!$B$4:$S$1004,Transform!$A$4:$A$1004=Transform!AI38))</f>
        <v/>
      </c>
      <c r="AR46" s="10">
        <f>IF(AND(ISNUMBER(AP46),AQ46&gt;0),CONFIDENCE($D$2,AP46,AQ46),"")</f>
        <v/>
      </c>
      <c r="AS46" s="10">
        <f>IF(AND(ISNUMBER(AN46),ISNUMBER(AR46)),AN46-AR46,"")</f>
        <v/>
      </c>
      <c r="AT46" s="10">
        <f>IF(AND(ISNUMBER(AN46),ISNUMBER(AR46)),AN46+AR46,"")</f>
        <v/>
      </c>
    </row>
    <row r="47">
      <c r="K47" s="1" t="n"/>
      <c r="L47" s="3">
        <f>IFERROR(AVERAGEIF(Transform!$A$4:$A$1004,Transform!AI39,Transform!$V$4:$V$1004),"")</f>
        <v/>
      </c>
      <c r="M47" s="3">
        <f>IFERROR(VAR(FILTER(Transform!$V$4:$V$1004,Transform!$A$4:$A$1004=Transform!AI39)),"")</f>
        <v/>
      </c>
      <c r="N47" s="3">
        <f>IF(ISNUMBER(M47),SQRT(M47),"")</f>
        <v/>
      </c>
      <c r="O47" s="1">
        <f>COUNT(FILTER(Transform!$V$4:$V$1004,Transform!$A$4:$A$1004=Transform!AI39))</f>
        <v/>
      </c>
      <c r="P47" s="10">
        <f>IF(AND(ISNUMBER(N47),O47&gt;0),CONFIDENCE($D$2,N47,O47),"")</f>
        <v/>
      </c>
      <c r="Q47" s="10">
        <f>IF(AND(ISNUMBER(L47),ISNUMBER(P47)),L47-P47,"")</f>
        <v/>
      </c>
      <c r="R47" s="10">
        <f>IF(AND(ISNUMBER(L47),ISNUMBER(P47)),L47+P47,"")</f>
        <v/>
      </c>
      <c r="S47" s="3">
        <f>IFERROR(AVERAGEIF(Transform!$A$4:$A$1004,Transform!AI39,Transform!$W$4:$W$1004),"")</f>
        <v/>
      </c>
      <c r="T47" s="3">
        <f>IFERROR(VAR(FILTER(Transform!$W$4:$W$1004,Transform!$A$4:$A$1004=Transform!AI39)),"")</f>
        <v/>
      </c>
      <c r="U47" s="3">
        <f>IF(ISNUMBER(T47),SQRT(T47),"")</f>
        <v/>
      </c>
      <c r="V47" s="1">
        <f>COUNT(FILTER(Transform!$W$4:$W$1004,Transform!$A$4:$A$1004=Transform!AI39))</f>
        <v/>
      </c>
      <c r="W47" s="10">
        <f>IF(AND(ISNUMBER(U47),V47&gt;0),CONFIDENCE($D$2,U47,V47),"")</f>
        <v/>
      </c>
      <c r="X47" s="10">
        <f>IF(AND(ISNUMBER(S47),ISNUMBER(W47)),S47-W47,"")</f>
        <v/>
      </c>
      <c r="Y47" s="10">
        <f>IF(AND(ISNUMBER(S47),ISNUMBER(W47)),S47+W47,"")</f>
        <v/>
      </c>
      <c r="Z47" s="3">
        <f>IFERROR(AVERAGEIF(Transform!$A$4:$A$1004,Transform!AI39,Transform!$X$4:$X$1004),"")</f>
        <v/>
      </c>
      <c r="AA47" s="3">
        <f>IFERROR(VAR(FILTER(Transform!$X$4:$X$1004,Transform!$A$4:$A$1004=Transform!AI39)),"")</f>
        <v/>
      </c>
      <c r="AB47" s="3">
        <f>IF(ISNUMBER(AA47),SQRT(AA47),"")</f>
        <v/>
      </c>
      <c r="AC47" s="1">
        <f>COUNT(FILTER(Transform!$X$4:$X$1004,Transform!$A$4:$A$1004=Transform!AI39))</f>
        <v/>
      </c>
      <c r="AD47" s="10">
        <f>IF(AND(ISNUMBER(AB47),AC47&gt;0),CONFIDENCE($D$2,AB47,AC47),"")</f>
        <v/>
      </c>
      <c r="AE47" s="10">
        <f>IF(AND(ISNUMBER(Z47),ISNUMBER(AD47)),Z47-AD47,"")</f>
        <v/>
      </c>
      <c r="AF47" s="10">
        <f>IF(AND(ISNUMBER(Z47),ISNUMBER(AD47)),Z47+AD47,"")</f>
        <v/>
      </c>
      <c r="AG47" s="12" t="n"/>
      <c r="AH47" s="3" t="n"/>
      <c r="AI47" s="3" t="n"/>
      <c r="AJ47" s="1" t="n"/>
      <c r="AK47" s="10" t="n"/>
      <c r="AL47" s="10" t="n"/>
      <c r="AM47" s="10" t="n"/>
      <c r="AN47" s="3">
        <f>IFERROR(AVERAGEIF(Transform!$A$4:$A$1004,Transform!AI39,Transform!$B$4:$S$1004),"")</f>
        <v/>
      </c>
      <c r="AO47" s="3">
        <f>IFERROR(VAR(FILTER(Transform!$B$4:$S$1004,Transform!$A$4:$A$1004=Transform!AI39)),"")</f>
        <v/>
      </c>
      <c r="AP47" s="3">
        <f>IF(ISNUMBER(AO47),SQRT(AO47),"")</f>
        <v/>
      </c>
      <c r="AQ47" s="1">
        <f>COUNT(FILTER(Transform!$B$4:$S$1004,Transform!$A$4:$A$1004=Transform!AI39))</f>
        <v/>
      </c>
      <c r="AR47" s="10">
        <f>IF(AND(ISNUMBER(AP47),AQ47&gt;0),CONFIDENCE($D$2,AP47,AQ47),"")</f>
        <v/>
      </c>
      <c r="AS47" s="10">
        <f>IF(AND(ISNUMBER(AN47),ISNUMBER(AR47)),AN47-AR47,"")</f>
        <v/>
      </c>
      <c r="AT47" s="10">
        <f>IF(AND(ISNUMBER(AN47),ISNUMBER(AR47)),AN47+AR47,"")</f>
        <v/>
      </c>
    </row>
    <row r="48">
      <c r="K48" s="1" t="n"/>
      <c r="L48" s="3">
        <f>IFERROR(AVERAGEIF(Transform!$A$4:$A$1004,Transform!AI40,Transform!$V$4:$V$1004),"")</f>
        <v/>
      </c>
      <c r="M48" s="3">
        <f>IFERROR(VAR(FILTER(Transform!$V$4:$V$1004,Transform!$A$4:$A$1004=Transform!AI40)),"")</f>
        <v/>
      </c>
      <c r="N48" s="3">
        <f>IF(ISNUMBER(M48),SQRT(M48),"")</f>
        <v/>
      </c>
      <c r="O48" s="1">
        <f>COUNT(FILTER(Transform!$V$4:$V$1004,Transform!$A$4:$A$1004=Transform!AI40))</f>
        <v/>
      </c>
      <c r="P48" s="10">
        <f>IF(AND(ISNUMBER(N48),O48&gt;0),CONFIDENCE($D$2,N48,O48),"")</f>
        <v/>
      </c>
      <c r="Q48" s="10">
        <f>IF(AND(ISNUMBER(L48),ISNUMBER(P48)),L48-P48,"")</f>
        <v/>
      </c>
      <c r="R48" s="10">
        <f>IF(AND(ISNUMBER(L48),ISNUMBER(P48)),L48+P48,"")</f>
        <v/>
      </c>
      <c r="S48" s="3">
        <f>IFERROR(AVERAGEIF(Transform!$A$4:$A$1004,Transform!AI40,Transform!$W$4:$W$1004),"")</f>
        <v/>
      </c>
      <c r="T48" s="3">
        <f>IFERROR(VAR(FILTER(Transform!$W$4:$W$1004,Transform!$A$4:$A$1004=Transform!AI40)),"")</f>
        <v/>
      </c>
      <c r="U48" s="3">
        <f>IF(ISNUMBER(T48),SQRT(T48),"")</f>
        <v/>
      </c>
      <c r="V48" s="1">
        <f>COUNT(FILTER(Transform!$W$4:$W$1004,Transform!$A$4:$A$1004=Transform!AI40))</f>
        <v/>
      </c>
      <c r="W48" s="10">
        <f>IF(AND(ISNUMBER(U48),V48&gt;0),CONFIDENCE($D$2,U48,V48),"")</f>
        <v/>
      </c>
      <c r="X48" s="10">
        <f>IF(AND(ISNUMBER(S48),ISNUMBER(W48)),S48-W48,"")</f>
        <v/>
      </c>
      <c r="Y48" s="10">
        <f>IF(AND(ISNUMBER(S48),ISNUMBER(W48)),S48+W48,"")</f>
        <v/>
      </c>
      <c r="Z48" s="3">
        <f>IFERROR(AVERAGEIF(Transform!$A$4:$A$1004,Transform!AI40,Transform!$X$4:$X$1004),"")</f>
        <v/>
      </c>
      <c r="AA48" s="3">
        <f>IFERROR(VAR(FILTER(Transform!$X$4:$X$1004,Transform!$A$4:$A$1004=Transform!AI40)),"")</f>
        <v/>
      </c>
      <c r="AB48" s="3">
        <f>IF(ISNUMBER(AA48),SQRT(AA48),"")</f>
        <v/>
      </c>
      <c r="AC48" s="1">
        <f>COUNT(FILTER(Transform!$X$4:$X$1004,Transform!$A$4:$A$1004=Transform!AI40))</f>
        <v/>
      </c>
      <c r="AD48" s="10">
        <f>IF(AND(ISNUMBER(AB48),AC48&gt;0),CONFIDENCE($D$2,AB48,AC48),"")</f>
        <v/>
      </c>
      <c r="AE48" s="10">
        <f>IF(AND(ISNUMBER(Z48),ISNUMBER(AD48)),Z48-AD48,"")</f>
        <v/>
      </c>
      <c r="AF48" s="10">
        <f>IF(AND(ISNUMBER(Z48),ISNUMBER(AD48)),Z48+AD48,"")</f>
        <v/>
      </c>
      <c r="AG48" s="12" t="n"/>
      <c r="AH48" s="3" t="n"/>
      <c r="AI48" s="3" t="n"/>
      <c r="AJ48" s="1" t="n"/>
      <c r="AK48" s="10" t="n"/>
      <c r="AL48" s="10" t="n"/>
      <c r="AM48" s="10" t="n"/>
      <c r="AN48" s="3">
        <f>IFERROR(AVERAGEIF(Transform!$A$4:$A$1004,Transform!AI40,Transform!$B$4:$S$1004),"")</f>
        <v/>
      </c>
      <c r="AO48" s="3">
        <f>IFERROR(VAR(FILTER(Transform!$B$4:$S$1004,Transform!$A$4:$A$1004=Transform!AI40)),"")</f>
        <v/>
      </c>
      <c r="AP48" s="3">
        <f>IF(ISNUMBER(AO48),SQRT(AO48),"")</f>
        <v/>
      </c>
      <c r="AQ48" s="1">
        <f>COUNT(FILTER(Transform!$B$4:$S$1004,Transform!$A$4:$A$1004=Transform!AI40))</f>
        <v/>
      </c>
      <c r="AR48" s="10">
        <f>IF(AND(ISNUMBER(AP48),AQ48&gt;0),CONFIDENCE($D$2,AP48,AQ48),"")</f>
        <v/>
      </c>
      <c r="AS48" s="10">
        <f>IF(AND(ISNUMBER(AN48),ISNUMBER(AR48)),AN48-AR48,"")</f>
        <v/>
      </c>
      <c r="AT48" s="10">
        <f>IF(AND(ISNUMBER(AN48),ISNUMBER(AR48)),AN48+AR48,"")</f>
        <v/>
      </c>
    </row>
    <row r="49">
      <c r="K49" s="1" t="n"/>
      <c r="L49" s="3">
        <f>IFERROR(AVERAGEIF(Transform!$A$4:$A$1004,Transform!AI41,Transform!$V$4:$V$1004),"")</f>
        <v/>
      </c>
      <c r="M49" s="3">
        <f>IFERROR(VAR(FILTER(Transform!$V$4:$V$1004,Transform!$A$4:$A$1004=Transform!AI41)),"")</f>
        <v/>
      </c>
      <c r="N49" s="3">
        <f>IF(ISNUMBER(M49),SQRT(M49),"")</f>
        <v/>
      </c>
      <c r="O49" s="1">
        <f>COUNT(FILTER(Transform!$V$4:$V$1004,Transform!$A$4:$A$1004=Transform!AI41))</f>
        <v/>
      </c>
      <c r="P49" s="10">
        <f>IF(AND(ISNUMBER(N49),O49&gt;0),CONFIDENCE($D$2,N49,O49),"")</f>
        <v/>
      </c>
      <c r="Q49" s="10">
        <f>IF(AND(ISNUMBER(L49),ISNUMBER(P49)),L49-P49,"")</f>
        <v/>
      </c>
      <c r="R49" s="10">
        <f>IF(AND(ISNUMBER(L49),ISNUMBER(P49)),L49+P49,"")</f>
        <v/>
      </c>
      <c r="S49" s="3">
        <f>IFERROR(AVERAGEIF(Transform!$A$4:$A$1004,Transform!AI41,Transform!$W$4:$W$1004),"")</f>
        <v/>
      </c>
      <c r="T49" s="3">
        <f>IFERROR(VAR(FILTER(Transform!$W$4:$W$1004,Transform!$A$4:$A$1004=Transform!AI41)),"")</f>
        <v/>
      </c>
      <c r="U49" s="3">
        <f>IF(ISNUMBER(T49),SQRT(T49),"")</f>
        <v/>
      </c>
      <c r="V49" s="1">
        <f>COUNT(FILTER(Transform!$W$4:$W$1004,Transform!$A$4:$A$1004=Transform!AI41))</f>
        <v/>
      </c>
      <c r="W49" s="10">
        <f>IF(AND(ISNUMBER(U49),V49&gt;0),CONFIDENCE($D$2,U49,V49),"")</f>
        <v/>
      </c>
      <c r="X49" s="10">
        <f>IF(AND(ISNUMBER(S49),ISNUMBER(W49)),S49-W49,"")</f>
        <v/>
      </c>
      <c r="Y49" s="10">
        <f>IF(AND(ISNUMBER(S49),ISNUMBER(W49)),S49+W49,"")</f>
        <v/>
      </c>
      <c r="Z49" s="3">
        <f>IFERROR(AVERAGEIF(Transform!$A$4:$A$1004,Transform!AI41,Transform!$X$4:$X$1004),"")</f>
        <v/>
      </c>
      <c r="AA49" s="3">
        <f>IFERROR(VAR(FILTER(Transform!$X$4:$X$1004,Transform!$A$4:$A$1004=Transform!AI41)),"")</f>
        <v/>
      </c>
      <c r="AB49" s="3">
        <f>IF(ISNUMBER(AA49),SQRT(AA49),"")</f>
        <v/>
      </c>
      <c r="AC49" s="1">
        <f>COUNT(FILTER(Transform!$X$4:$X$1004,Transform!$A$4:$A$1004=Transform!AI41))</f>
        <v/>
      </c>
      <c r="AD49" s="10">
        <f>IF(AND(ISNUMBER(AB49),AC49&gt;0),CONFIDENCE($D$2,AB49,AC49),"")</f>
        <v/>
      </c>
      <c r="AE49" s="10">
        <f>IF(AND(ISNUMBER(Z49),ISNUMBER(AD49)),Z49-AD49,"")</f>
        <v/>
      </c>
      <c r="AF49" s="10">
        <f>IF(AND(ISNUMBER(Z49),ISNUMBER(AD49)),Z49+AD49,"")</f>
        <v/>
      </c>
      <c r="AG49" s="12" t="n"/>
      <c r="AH49" s="3" t="n"/>
      <c r="AI49" s="3" t="n"/>
      <c r="AJ49" s="1" t="n"/>
      <c r="AK49" s="10" t="n"/>
      <c r="AL49" s="10" t="n"/>
      <c r="AM49" s="10" t="n"/>
      <c r="AN49" s="3">
        <f>IFERROR(AVERAGEIF(Transform!$A$4:$A$1004,Transform!AI41,Transform!$B$4:$S$1004),"")</f>
        <v/>
      </c>
      <c r="AO49" s="3">
        <f>IFERROR(VAR(FILTER(Transform!$B$4:$S$1004,Transform!$A$4:$A$1004=Transform!AI41)),"")</f>
        <v/>
      </c>
      <c r="AP49" s="3">
        <f>IF(ISNUMBER(AO49),SQRT(AO49),"")</f>
        <v/>
      </c>
      <c r="AQ49" s="1">
        <f>COUNT(FILTER(Transform!$B$4:$S$1004,Transform!$A$4:$A$1004=Transform!AI41))</f>
        <v/>
      </c>
      <c r="AR49" s="10">
        <f>IF(AND(ISNUMBER(AP49),AQ49&gt;0),CONFIDENCE($D$2,AP49,AQ49),"")</f>
        <v/>
      </c>
      <c r="AS49" s="10">
        <f>IF(AND(ISNUMBER(AN49),ISNUMBER(AR49)),AN49-AR49,"")</f>
        <v/>
      </c>
      <c r="AT49" s="10">
        <f>IF(AND(ISNUMBER(AN49),ISNUMBER(AR49)),AN49+AR49,"")</f>
        <v/>
      </c>
    </row>
    <row r="50">
      <c r="K50" s="1" t="n"/>
      <c r="L50" s="3">
        <f>IFERROR(AVERAGEIF(Transform!$A$4:$A$1004,Transform!AI42,Transform!$V$4:$V$1004),"")</f>
        <v/>
      </c>
      <c r="M50" s="3">
        <f>IFERROR(VAR(FILTER(Transform!$V$4:$V$1004,Transform!$A$4:$A$1004=Transform!AI42)),"")</f>
        <v/>
      </c>
      <c r="N50" s="3">
        <f>IF(ISNUMBER(M50),SQRT(M50),"")</f>
        <v/>
      </c>
      <c r="O50" s="1">
        <f>COUNT(FILTER(Transform!$V$4:$V$1004,Transform!$A$4:$A$1004=Transform!AI42))</f>
        <v/>
      </c>
      <c r="P50" s="10">
        <f>IF(AND(ISNUMBER(N50),O50&gt;0),CONFIDENCE($D$2,N50,O50),"")</f>
        <v/>
      </c>
      <c r="Q50" s="10">
        <f>IF(AND(ISNUMBER(L50),ISNUMBER(P50)),L50-P50,"")</f>
        <v/>
      </c>
      <c r="R50" s="10">
        <f>IF(AND(ISNUMBER(L50),ISNUMBER(P50)),L50+P50,"")</f>
        <v/>
      </c>
      <c r="S50" s="3">
        <f>IFERROR(AVERAGEIF(Transform!$A$4:$A$1004,Transform!AI42,Transform!$W$4:$W$1004),"")</f>
        <v/>
      </c>
      <c r="T50" s="3">
        <f>IFERROR(VAR(FILTER(Transform!$W$4:$W$1004,Transform!$A$4:$A$1004=Transform!AI42)),"")</f>
        <v/>
      </c>
      <c r="U50" s="3">
        <f>IF(ISNUMBER(T50),SQRT(T50),"")</f>
        <v/>
      </c>
      <c r="V50" s="1">
        <f>COUNT(FILTER(Transform!$W$4:$W$1004,Transform!$A$4:$A$1004=Transform!AI42))</f>
        <v/>
      </c>
      <c r="W50" s="10">
        <f>IF(AND(ISNUMBER(U50),V50&gt;0),CONFIDENCE($D$2,U50,V50),"")</f>
        <v/>
      </c>
      <c r="X50" s="10">
        <f>IF(AND(ISNUMBER(S50),ISNUMBER(W50)),S50-W50,"")</f>
        <v/>
      </c>
      <c r="Y50" s="10">
        <f>IF(AND(ISNUMBER(S50),ISNUMBER(W50)),S50+W50,"")</f>
        <v/>
      </c>
      <c r="Z50" s="3">
        <f>IFERROR(AVERAGEIF(Transform!$A$4:$A$1004,Transform!AI42,Transform!$X$4:$X$1004),"")</f>
        <v/>
      </c>
      <c r="AA50" s="3">
        <f>IFERROR(VAR(FILTER(Transform!$X$4:$X$1004,Transform!$A$4:$A$1004=Transform!AI42)),"")</f>
        <v/>
      </c>
      <c r="AB50" s="3">
        <f>IF(ISNUMBER(AA50),SQRT(AA50),"")</f>
        <v/>
      </c>
      <c r="AC50" s="1">
        <f>COUNT(FILTER(Transform!$X$4:$X$1004,Transform!$A$4:$A$1004=Transform!AI42))</f>
        <v/>
      </c>
      <c r="AD50" s="10">
        <f>IF(AND(ISNUMBER(AB50),AC50&gt;0),CONFIDENCE($D$2,AB50,AC50),"")</f>
        <v/>
      </c>
      <c r="AE50" s="10">
        <f>IF(AND(ISNUMBER(Z50),ISNUMBER(AD50)),Z50-AD50,"")</f>
        <v/>
      </c>
      <c r="AF50" s="10">
        <f>IF(AND(ISNUMBER(Z50),ISNUMBER(AD50)),Z50+AD50,"")</f>
        <v/>
      </c>
      <c r="AG50" s="12" t="n"/>
      <c r="AH50" s="3" t="n"/>
      <c r="AI50" s="3" t="n"/>
      <c r="AJ50" s="1" t="n"/>
      <c r="AK50" s="10" t="n"/>
      <c r="AL50" s="10" t="n"/>
      <c r="AM50" s="10" t="n"/>
      <c r="AN50" s="3">
        <f>IFERROR(AVERAGEIF(Transform!$A$4:$A$1004,Transform!AI42,Transform!$B$4:$S$1004),"")</f>
        <v/>
      </c>
      <c r="AO50" s="3">
        <f>IFERROR(VAR(FILTER(Transform!$B$4:$S$1004,Transform!$A$4:$A$1004=Transform!AI42)),"")</f>
        <v/>
      </c>
      <c r="AP50" s="3">
        <f>IF(ISNUMBER(AO50),SQRT(AO50),"")</f>
        <v/>
      </c>
      <c r="AQ50" s="1">
        <f>COUNT(FILTER(Transform!$B$4:$S$1004,Transform!$A$4:$A$1004=Transform!AI42))</f>
        <v/>
      </c>
      <c r="AR50" s="10">
        <f>IF(AND(ISNUMBER(AP50),AQ50&gt;0),CONFIDENCE($D$2,AP50,AQ50),"")</f>
        <v/>
      </c>
      <c r="AS50" s="10">
        <f>IF(AND(ISNUMBER(AN50),ISNUMBER(AR50)),AN50-AR50,"")</f>
        <v/>
      </c>
      <c r="AT50" s="10">
        <f>IF(AND(ISNUMBER(AN50),ISNUMBER(AR50)),AN50+AR50,"")</f>
        <v/>
      </c>
    </row>
    <row r="51">
      <c r="K51" s="1" t="n"/>
      <c r="L51" s="3">
        <f>IFERROR(AVERAGEIF(Transform!$A$4:$A$1004,Transform!AI43,Transform!$V$4:$V$1004),"")</f>
        <v/>
      </c>
      <c r="M51" s="3">
        <f>IFERROR(VAR(FILTER(Transform!$V$4:$V$1004,Transform!$A$4:$A$1004=Transform!AI43)),"")</f>
        <v/>
      </c>
      <c r="N51" s="3">
        <f>IF(ISNUMBER(M51),SQRT(M51),"")</f>
        <v/>
      </c>
      <c r="O51" s="1">
        <f>COUNT(FILTER(Transform!$V$4:$V$1004,Transform!$A$4:$A$1004=Transform!AI43))</f>
        <v/>
      </c>
      <c r="P51" s="10">
        <f>IF(AND(ISNUMBER(N51),O51&gt;0),CONFIDENCE($D$2,N51,O51),"")</f>
        <v/>
      </c>
      <c r="Q51" s="10">
        <f>IF(AND(ISNUMBER(L51),ISNUMBER(P51)),L51-P51,"")</f>
        <v/>
      </c>
      <c r="R51" s="10">
        <f>IF(AND(ISNUMBER(L51),ISNUMBER(P51)),L51+P51,"")</f>
        <v/>
      </c>
      <c r="S51" s="3">
        <f>IFERROR(AVERAGEIF(Transform!$A$4:$A$1004,Transform!AI43,Transform!$W$4:$W$1004),"")</f>
        <v/>
      </c>
      <c r="T51" s="3">
        <f>IFERROR(VAR(FILTER(Transform!$W$4:$W$1004,Transform!$A$4:$A$1004=Transform!AI43)),"")</f>
        <v/>
      </c>
      <c r="U51" s="3">
        <f>IF(ISNUMBER(T51),SQRT(T51),"")</f>
        <v/>
      </c>
      <c r="V51" s="1">
        <f>COUNT(FILTER(Transform!$W$4:$W$1004,Transform!$A$4:$A$1004=Transform!AI43))</f>
        <v/>
      </c>
      <c r="W51" s="10">
        <f>IF(AND(ISNUMBER(U51),V51&gt;0),CONFIDENCE($D$2,U51,V51),"")</f>
        <v/>
      </c>
      <c r="X51" s="10">
        <f>IF(AND(ISNUMBER(S51),ISNUMBER(W51)),S51-W51,"")</f>
        <v/>
      </c>
      <c r="Y51" s="10">
        <f>IF(AND(ISNUMBER(S51),ISNUMBER(W51)),S51+W51,"")</f>
        <v/>
      </c>
      <c r="Z51" s="3">
        <f>IFERROR(AVERAGEIF(Transform!$A$4:$A$1004,Transform!AI43,Transform!$X$4:$X$1004),"")</f>
        <v/>
      </c>
      <c r="AA51" s="3">
        <f>IFERROR(VAR(FILTER(Transform!$X$4:$X$1004,Transform!$A$4:$A$1004=Transform!AI43)),"")</f>
        <v/>
      </c>
      <c r="AB51" s="3">
        <f>IF(ISNUMBER(AA51),SQRT(AA51),"")</f>
        <v/>
      </c>
      <c r="AC51" s="1">
        <f>COUNT(FILTER(Transform!$X$4:$X$1004,Transform!$A$4:$A$1004=Transform!AI43))</f>
        <v/>
      </c>
      <c r="AD51" s="10">
        <f>IF(AND(ISNUMBER(AB51),AC51&gt;0),CONFIDENCE($D$2,AB51,AC51),"")</f>
        <v/>
      </c>
      <c r="AE51" s="10">
        <f>IF(AND(ISNUMBER(Z51),ISNUMBER(AD51)),Z51-AD51,"")</f>
        <v/>
      </c>
      <c r="AF51" s="10">
        <f>IF(AND(ISNUMBER(Z51),ISNUMBER(AD51)),Z51+AD51,"")</f>
        <v/>
      </c>
      <c r="AG51" s="12" t="n"/>
      <c r="AH51" s="3" t="n"/>
      <c r="AI51" s="3" t="n"/>
      <c r="AJ51" s="1" t="n"/>
      <c r="AK51" s="10" t="n"/>
      <c r="AL51" s="10" t="n"/>
      <c r="AM51" s="10" t="n"/>
      <c r="AN51" s="3">
        <f>IFERROR(AVERAGEIF(Transform!$A$4:$A$1004,Transform!AI43,Transform!$B$4:$S$1004),"")</f>
        <v/>
      </c>
      <c r="AO51" s="3">
        <f>IFERROR(VAR(FILTER(Transform!$B$4:$S$1004,Transform!$A$4:$A$1004=Transform!AI43)),"")</f>
        <v/>
      </c>
      <c r="AP51" s="3">
        <f>IF(ISNUMBER(AO51),SQRT(AO51),"")</f>
        <v/>
      </c>
      <c r="AQ51" s="1">
        <f>COUNT(FILTER(Transform!$B$4:$S$1004,Transform!$A$4:$A$1004=Transform!AI43))</f>
        <v/>
      </c>
      <c r="AR51" s="10">
        <f>IF(AND(ISNUMBER(AP51),AQ51&gt;0),CONFIDENCE($D$2,AP51,AQ51),"")</f>
        <v/>
      </c>
      <c r="AS51" s="10">
        <f>IF(AND(ISNUMBER(AN51),ISNUMBER(AR51)),AN51-AR51,"")</f>
        <v/>
      </c>
      <c r="AT51" s="10">
        <f>IF(AND(ISNUMBER(AN51),ISNUMBER(AR51)),AN51+AR51,"")</f>
        <v/>
      </c>
    </row>
    <row r="52">
      <c r="K52" s="1" t="n"/>
      <c r="L52" s="3">
        <f>IFERROR(AVERAGEIF(Transform!$A$4:$A$1004,Transform!AI44,Transform!$V$4:$V$1004),"")</f>
        <v/>
      </c>
      <c r="M52" s="3">
        <f>IFERROR(VAR(FILTER(Transform!$V$4:$V$1004,Transform!$A$4:$A$1004=Transform!AI44)),"")</f>
        <v/>
      </c>
      <c r="N52" s="3">
        <f>IF(ISNUMBER(M52),SQRT(M52),"")</f>
        <v/>
      </c>
      <c r="O52" s="1">
        <f>COUNT(FILTER(Transform!$V$4:$V$1004,Transform!$A$4:$A$1004=Transform!AI44))</f>
        <v/>
      </c>
      <c r="P52" s="10">
        <f>IF(AND(ISNUMBER(N52),O52&gt;0),CONFIDENCE($D$2,N52,O52),"")</f>
        <v/>
      </c>
      <c r="Q52" s="10">
        <f>IF(AND(ISNUMBER(L52),ISNUMBER(P52)),L52-P52,"")</f>
        <v/>
      </c>
      <c r="R52" s="10">
        <f>IF(AND(ISNUMBER(L52),ISNUMBER(P52)),L52+P52,"")</f>
        <v/>
      </c>
      <c r="S52" s="3">
        <f>IFERROR(AVERAGEIF(Transform!$A$4:$A$1004,Transform!AI44,Transform!$W$4:$W$1004),"")</f>
        <v/>
      </c>
      <c r="T52" s="3">
        <f>IFERROR(VAR(FILTER(Transform!$W$4:$W$1004,Transform!$A$4:$A$1004=Transform!AI44)),"")</f>
        <v/>
      </c>
      <c r="U52" s="3">
        <f>IF(ISNUMBER(T52),SQRT(T52),"")</f>
        <v/>
      </c>
      <c r="V52" s="1">
        <f>COUNT(FILTER(Transform!$W$4:$W$1004,Transform!$A$4:$A$1004=Transform!AI44))</f>
        <v/>
      </c>
      <c r="W52" s="10">
        <f>IF(AND(ISNUMBER(U52),V52&gt;0),CONFIDENCE($D$2,U52,V52),"")</f>
        <v/>
      </c>
      <c r="X52" s="10">
        <f>IF(AND(ISNUMBER(S52),ISNUMBER(W52)),S52-W52,"")</f>
        <v/>
      </c>
      <c r="Y52" s="10">
        <f>IF(AND(ISNUMBER(S52),ISNUMBER(W52)),S52+W52,"")</f>
        <v/>
      </c>
      <c r="Z52" s="3">
        <f>IFERROR(AVERAGEIF(Transform!$A$4:$A$1004,Transform!AI44,Transform!$X$4:$X$1004),"")</f>
        <v/>
      </c>
      <c r="AA52" s="3">
        <f>IFERROR(VAR(FILTER(Transform!$X$4:$X$1004,Transform!$A$4:$A$1004=Transform!AI44)),"")</f>
        <v/>
      </c>
      <c r="AB52" s="3">
        <f>IF(ISNUMBER(AA52),SQRT(AA52),"")</f>
        <v/>
      </c>
      <c r="AC52" s="1">
        <f>COUNT(FILTER(Transform!$X$4:$X$1004,Transform!$A$4:$A$1004=Transform!AI44))</f>
        <v/>
      </c>
      <c r="AD52" s="10">
        <f>IF(AND(ISNUMBER(AB52),AC52&gt;0),CONFIDENCE($D$2,AB52,AC52),"")</f>
        <v/>
      </c>
      <c r="AE52" s="10">
        <f>IF(AND(ISNUMBER(Z52),ISNUMBER(AD52)),Z52-AD52,"")</f>
        <v/>
      </c>
      <c r="AF52" s="10">
        <f>IF(AND(ISNUMBER(Z52),ISNUMBER(AD52)),Z52+AD52,"")</f>
        <v/>
      </c>
      <c r="AG52" s="12" t="n"/>
      <c r="AH52" s="3" t="n"/>
      <c r="AI52" s="3" t="n"/>
      <c r="AJ52" s="1" t="n"/>
      <c r="AK52" s="10" t="n"/>
      <c r="AL52" s="10" t="n"/>
      <c r="AM52" s="10" t="n"/>
      <c r="AN52" s="3">
        <f>IFERROR(AVERAGEIF(Transform!$A$4:$A$1004,Transform!AI44,Transform!$B$4:$S$1004),"")</f>
        <v/>
      </c>
      <c r="AO52" s="3">
        <f>IFERROR(VAR(FILTER(Transform!$B$4:$S$1004,Transform!$A$4:$A$1004=Transform!AI44)),"")</f>
        <v/>
      </c>
      <c r="AP52" s="3">
        <f>IF(ISNUMBER(AO52),SQRT(AO52),"")</f>
        <v/>
      </c>
      <c r="AQ52" s="1">
        <f>COUNT(FILTER(Transform!$B$4:$S$1004,Transform!$A$4:$A$1004=Transform!AI44))</f>
        <v/>
      </c>
      <c r="AR52" s="10">
        <f>IF(AND(ISNUMBER(AP52),AQ52&gt;0),CONFIDENCE($D$2,AP52,AQ52),"")</f>
        <v/>
      </c>
      <c r="AS52" s="10">
        <f>IF(AND(ISNUMBER(AN52),ISNUMBER(AR52)),AN52-AR52,"")</f>
        <v/>
      </c>
      <c r="AT52" s="10">
        <f>IF(AND(ISNUMBER(AN52),ISNUMBER(AR52)),AN52+AR52,"")</f>
        <v/>
      </c>
    </row>
    <row r="53">
      <c r="K53" s="1" t="n"/>
      <c r="L53" s="3">
        <f>IFERROR(AVERAGEIF(Transform!$A$4:$A$1004,Transform!AI45,Transform!$V$4:$V$1004),"")</f>
        <v/>
      </c>
      <c r="M53" s="3">
        <f>IFERROR(VAR(FILTER(Transform!$V$4:$V$1004,Transform!$A$4:$A$1004=Transform!AI45)),"")</f>
        <v/>
      </c>
      <c r="N53" s="3">
        <f>IF(ISNUMBER(M53),SQRT(M53),"")</f>
        <v/>
      </c>
      <c r="O53" s="1">
        <f>COUNT(FILTER(Transform!$V$4:$V$1004,Transform!$A$4:$A$1004=Transform!AI45))</f>
        <v/>
      </c>
      <c r="P53" s="10">
        <f>IF(AND(ISNUMBER(N53),O53&gt;0),CONFIDENCE($D$2,N53,O53),"")</f>
        <v/>
      </c>
      <c r="Q53" s="10">
        <f>IF(AND(ISNUMBER(L53),ISNUMBER(P53)),L53-P53,"")</f>
        <v/>
      </c>
      <c r="R53" s="10">
        <f>IF(AND(ISNUMBER(L53),ISNUMBER(P53)),L53+P53,"")</f>
        <v/>
      </c>
      <c r="S53" s="3">
        <f>IFERROR(AVERAGEIF(Transform!$A$4:$A$1004,Transform!AI45,Transform!$W$4:$W$1004),"")</f>
        <v/>
      </c>
      <c r="T53" s="3">
        <f>IFERROR(VAR(FILTER(Transform!$W$4:$W$1004,Transform!$A$4:$A$1004=Transform!AI45)),"")</f>
        <v/>
      </c>
      <c r="U53" s="3">
        <f>IF(ISNUMBER(T53),SQRT(T53),"")</f>
        <v/>
      </c>
      <c r="V53" s="1">
        <f>COUNT(FILTER(Transform!$W$4:$W$1004,Transform!$A$4:$A$1004=Transform!AI45))</f>
        <v/>
      </c>
      <c r="W53" s="10">
        <f>IF(AND(ISNUMBER(U53),V53&gt;0),CONFIDENCE($D$2,U53,V53),"")</f>
        <v/>
      </c>
      <c r="X53" s="10">
        <f>IF(AND(ISNUMBER(S53),ISNUMBER(W53)),S53-W53,"")</f>
        <v/>
      </c>
      <c r="Y53" s="10">
        <f>IF(AND(ISNUMBER(S53),ISNUMBER(W53)),S53+W53,"")</f>
        <v/>
      </c>
      <c r="Z53" s="3">
        <f>IFERROR(AVERAGEIF(Transform!$A$4:$A$1004,Transform!AI45,Transform!$X$4:$X$1004),"")</f>
        <v/>
      </c>
      <c r="AA53" s="3">
        <f>IFERROR(VAR(FILTER(Transform!$X$4:$X$1004,Transform!$A$4:$A$1004=Transform!AI45)),"")</f>
        <v/>
      </c>
      <c r="AB53" s="3">
        <f>IF(ISNUMBER(AA53),SQRT(AA53),"")</f>
        <v/>
      </c>
      <c r="AC53" s="1">
        <f>COUNT(FILTER(Transform!$X$4:$X$1004,Transform!$A$4:$A$1004=Transform!AI45))</f>
        <v/>
      </c>
      <c r="AD53" s="10">
        <f>IF(AND(ISNUMBER(AB53),AC53&gt;0),CONFIDENCE($D$2,AB53,AC53),"")</f>
        <v/>
      </c>
      <c r="AE53" s="10">
        <f>IF(AND(ISNUMBER(Z53),ISNUMBER(AD53)),Z53-AD53,"")</f>
        <v/>
      </c>
      <c r="AF53" s="10">
        <f>IF(AND(ISNUMBER(Z53),ISNUMBER(AD53)),Z53+AD53,"")</f>
        <v/>
      </c>
      <c r="AG53" s="12" t="n"/>
      <c r="AH53" s="3" t="n"/>
      <c r="AI53" s="3" t="n"/>
      <c r="AJ53" s="1" t="n"/>
      <c r="AK53" s="10" t="n"/>
      <c r="AL53" s="10" t="n"/>
      <c r="AM53" s="10" t="n"/>
      <c r="AN53" s="3">
        <f>IFERROR(AVERAGEIF(Transform!$A$4:$A$1004,Transform!AI45,Transform!$B$4:$S$1004),"")</f>
        <v/>
      </c>
      <c r="AO53" s="3">
        <f>IFERROR(VAR(FILTER(Transform!$B$4:$S$1004,Transform!$A$4:$A$1004=Transform!AI45)),"")</f>
        <v/>
      </c>
      <c r="AP53" s="3">
        <f>IF(ISNUMBER(AO53),SQRT(AO53),"")</f>
        <v/>
      </c>
      <c r="AQ53" s="1">
        <f>COUNT(FILTER(Transform!$B$4:$S$1004,Transform!$A$4:$A$1004=Transform!AI45))</f>
        <v/>
      </c>
      <c r="AR53" s="10">
        <f>IF(AND(ISNUMBER(AP53),AQ53&gt;0),CONFIDENCE($D$2,AP53,AQ53),"")</f>
        <v/>
      </c>
      <c r="AS53" s="10">
        <f>IF(AND(ISNUMBER(AN53),ISNUMBER(AR53)),AN53-AR53,"")</f>
        <v/>
      </c>
      <c r="AT53" s="10">
        <f>IF(AND(ISNUMBER(AN53),ISNUMBER(AR53)),AN53+AR53,"")</f>
        <v/>
      </c>
    </row>
    <row r="54">
      <c r="K54" s="1" t="n"/>
      <c r="L54" s="3">
        <f>IFERROR(AVERAGEIF(Transform!$A$4:$A$1004,Transform!AI46,Transform!$V$4:$V$1004),"")</f>
        <v/>
      </c>
      <c r="M54" s="3">
        <f>IFERROR(VAR(FILTER(Transform!$V$4:$V$1004,Transform!$A$4:$A$1004=Transform!AI46)),"")</f>
        <v/>
      </c>
      <c r="N54" s="3">
        <f>IF(ISNUMBER(M54),SQRT(M54),"")</f>
        <v/>
      </c>
      <c r="O54" s="1">
        <f>COUNT(FILTER(Transform!$V$4:$V$1004,Transform!$A$4:$A$1004=Transform!AI46))</f>
        <v/>
      </c>
      <c r="P54" s="10">
        <f>IF(AND(ISNUMBER(N54),O54&gt;0),CONFIDENCE($D$2,N54,O54),"")</f>
        <v/>
      </c>
      <c r="Q54" s="10">
        <f>IF(AND(ISNUMBER(L54),ISNUMBER(P54)),L54-P54,"")</f>
        <v/>
      </c>
      <c r="R54" s="10">
        <f>IF(AND(ISNUMBER(L54),ISNUMBER(P54)),L54+P54,"")</f>
        <v/>
      </c>
      <c r="S54" s="3">
        <f>IFERROR(AVERAGEIF(Transform!$A$4:$A$1004,Transform!AI46,Transform!$W$4:$W$1004),"")</f>
        <v/>
      </c>
      <c r="T54" s="3">
        <f>IFERROR(VAR(FILTER(Transform!$W$4:$W$1004,Transform!$A$4:$A$1004=Transform!AI46)),"")</f>
        <v/>
      </c>
      <c r="U54" s="3">
        <f>IF(ISNUMBER(T54),SQRT(T54),"")</f>
        <v/>
      </c>
      <c r="V54" s="1">
        <f>COUNT(FILTER(Transform!$W$4:$W$1004,Transform!$A$4:$A$1004=Transform!AI46))</f>
        <v/>
      </c>
      <c r="W54" s="10">
        <f>IF(AND(ISNUMBER(U54),V54&gt;0),CONFIDENCE($D$2,U54,V54),"")</f>
        <v/>
      </c>
      <c r="X54" s="10">
        <f>IF(AND(ISNUMBER(S54),ISNUMBER(W54)),S54-W54,"")</f>
        <v/>
      </c>
      <c r="Y54" s="10">
        <f>IF(AND(ISNUMBER(S54),ISNUMBER(W54)),S54+W54,"")</f>
        <v/>
      </c>
      <c r="Z54" s="3">
        <f>IFERROR(AVERAGEIF(Transform!$A$4:$A$1004,Transform!AI46,Transform!$X$4:$X$1004),"")</f>
        <v/>
      </c>
      <c r="AA54" s="3">
        <f>IFERROR(VAR(FILTER(Transform!$X$4:$X$1004,Transform!$A$4:$A$1004=Transform!AI46)),"")</f>
        <v/>
      </c>
      <c r="AB54" s="3">
        <f>IF(ISNUMBER(AA54),SQRT(AA54),"")</f>
        <v/>
      </c>
      <c r="AC54" s="1">
        <f>COUNT(FILTER(Transform!$X$4:$X$1004,Transform!$A$4:$A$1004=Transform!AI46))</f>
        <v/>
      </c>
      <c r="AD54" s="10">
        <f>IF(AND(ISNUMBER(AB54),AC54&gt;0),CONFIDENCE($D$2,AB54,AC54),"")</f>
        <v/>
      </c>
      <c r="AE54" s="10">
        <f>IF(AND(ISNUMBER(Z54),ISNUMBER(AD54)),Z54-AD54,"")</f>
        <v/>
      </c>
      <c r="AF54" s="10">
        <f>IF(AND(ISNUMBER(Z54),ISNUMBER(AD54)),Z54+AD54,"")</f>
        <v/>
      </c>
      <c r="AG54" s="12" t="n"/>
      <c r="AH54" s="3" t="n"/>
      <c r="AI54" s="3" t="n"/>
      <c r="AJ54" s="1" t="n"/>
      <c r="AK54" s="10" t="n"/>
      <c r="AL54" s="10" t="n"/>
      <c r="AM54" s="10" t="n"/>
      <c r="AN54" s="3">
        <f>IFERROR(AVERAGEIF(Transform!$A$4:$A$1004,Transform!AI46,Transform!$B$4:$S$1004),"")</f>
        <v/>
      </c>
      <c r="AO54" s="3">
        <f>IFERROR(VAR(FILTER(Transform!$B$4:$S$1004,Transform!$A$4:$A$1004=Transform!AI46)),"")</f>
        <v/>
      </c>
      <c r="AP54" s="3">
        <f>IF(ISNUMBER(AO54),SQRT(AO54),"")</f>
        <v/>
      </c>
      <c r="AQ54" s="1">
        <f>COUNT(FILTER(Transform!$B$4:$S$1004,Transform!$A$4:$A$1004=Transform!AI46))</f>
        <v/>
      </c>
      <c r="AR54" s="10">
        <f>IF(AND(ISNUMBER(AP54),AQ54&gt;0),CONFIDENCE($D$2,AP54,AQ54),"")</f>
        <v/>
      </c>
      <c r="AS54" s="10">
        <f>IF(AND(ISNUMBER(AN54),ISNUMBER(AR54)),AN54-AR54,"")</f>
        <v/>
      </c>
      <c r="AT54" s="10">
        <f>IF(AND(ISNUMBER(AN54),ISNUMBER(AR54)),AN54+AR54,"")</f>
        <v/>
      </c>
    </row>
    <row r="55">
      <c r="K55" s="1" t="n"/>
      <c r="L55" s="3">
        <f>IFERROR(AVERAGEIF(Transform!$A$4:$A$1004,Transform!AI47,Transform!$V$4:$V$1004),"")</f>
        <v/>
      </c>
      <c r="M55" s="3">
        <f>IFERROR(VAR(FILTER(Transform!$V$4:$V$1004,Transform!$A$4:$A$1004=Transform!AI47)),"")</f>
        <v/>
      </c>
      <c r="N55" s="3">
        <f>IF(ISNUMBER(M55),SQRT(M55),"")</f>
        <v/>
      </c>
      <c r="O55" s="1">
        <f>COUNT(FILTER(Transform!$V$4:$V$1004,Transform!$A$4:$A$1004=Transform!AI47))</f>
        <v/>
      </c>
      <c r="P55" s="10">
        <f>IF(AND(ISNUMBER(N55),O55&gt;0),CONFIDENCE($D$2,N55,O55),"")</f>
        <v/>
      </c>
      <c r="Q55" s="10">
        <f>IF(AND(ISNUMBER(L55),ISNUMBER(P55)),L55-P55,"")</f>
        <v/>
      </c>
      <c r="R55" s="10">
        <f>IF(AND(ISNUMBER(L55),ISNUMBER(P55)),L55+P55,"")</f>
        <v/>
      </c>
      <c r="S55" s="3">
        <f>IFERROR(AVERAGEIF(Transform!$A$4:$A$1004,Transform!AI47,Transform!$W$4:$W$1004),"")</f>
        <v/>
      </c>
      <c r="T55" s="3">
        <f>IFERROR(VAR(FILTER(Transform!$W$4:$W$1004,Transform!$A$4:$A$1004=Transform!AI47)),"")</f>
        <v/>
      </c>
      <c r="U55" s="3">
        <f>IF(ISNUMBER(T55),SQRT(T55),"")</f>
        <v/>
      </c>
      <c r="V55" s="1">
        <f>COUNT(FILTER(Transform!$W$4:$W$1004,Transform!$A$4:$A$1004=Transform!AI47))</f>
        <v/>
      </c>
      <c r="W55" s="10">
        <f>IF(AND(ISNUMBER(U55),V55&gt;0),CONFIDENCE($D$2,U55,V55),"")</f>
        <v/>
      </c>
      <c r="X55" s="10">
        <f>IF(AND(ISNUMBER(S55),ISNUMBER(W55)),S55-W55,"")</f>
        <v/>
      </c>
      <c r="Y55" s="10">
        <f>IF(AND(ISNUMBER(S55),ISNUMBER(W55)),S55+W55,"")</f>
        <v/>
      </c>
      <c r="Z55" s="3">
        <f>IFERROR(AVERAGEIF(Transform!$A$4:$A$1004,Transform!AI47,Transform!$X$4:$X$1004),"")</f>
        <v/>
      </c>
      <c r="AA55" s="3">
        <f>IFERROR(VAR(FILTER(Transform!$X$4:$X$1004,Transform!$A$4:$A$1004=Transform!AI47)),"")</f>
        <v/>
      </c>
      <c r="AB55" s="3">
        <f>IF(ISNUMBER(AA55),SQRT(AA55),"")</f>
        <v/>
      </c>
      <c r="AC55" s="1">
        <f>COUNT(FILTER(Transform!$X$4:$X$1004,Transform!$A$4:$A$1004=Transform!AI47))</f>
        <v/>
      </c>
      <c r="AD55" s="10">
        <f>IF(AND(ISNUMBER(AB55),AC55&gt;0),CONFIDENCE($D$2,AB55,AC55),"")</f>
        <v/>
      </c>
      <c r="AE55" s="10">
        <f>IF(AND(ISNUMBER(Z55),ISNUMBER(AD55)),Z55-AD55,"")</f>
        <v/>
      </c>
      <c r="AF55" s="10">
        <f>IF(AND(ISNUMBER(Z55),ISNUMBER(AD55)),Z55+AD55,"")</f>
        <v/>
      </c>
      <c r="AG55" s="12" t="n"/>
      <c r="AH55" s="3" t="n"/>
      <c r="AI55" s="3" t="n"/>
      <c r="AJ55" s="1" t="n"/>
      <c r="AK55" s="10" t="n"/>
      <c r="AL55" s="10" t="n"/>
      <c r="AM55" s="10" t="n"/>
      <c r="AN55" s="3">
        <f>IFERROR(AVERAGEIF(Transform!$A$4:$A$1004,Transform!AI47,Transform!$B$4:$S$1004),"")</f>
        <v/>
      </c>
      <c r="AO55" s="3">
        <f>IFERROR(VAR(FILTER(Transform!$B$4:$S$1004,Transform!$A$4:$A$1004=Transform!AI47)),"")</f>
        <v/>
      </c>
      <c r="AP55" s="3">
        <f>IF(ISNUMBER(AO55),SQRT(AO55),"")</f>
        <v/>
      </c>
      <c r="AQ55" s="1">
        <f>COUNT(FILTER(Transform!$B$4:$S$1004,Transform!$A$4:$A$1004=Transform!AI47))</f>
        <v/>
      </c>
      <c r="AR55" s="10">
        <f>IF(AND(ISNUMBER(AP55),AQ55&gt;0),CONFIDENCE($D$2,AP55,AQ55),"")</f>
        <v/>
      </c>
      <c r="AS55" s="10">
        <f>IF(AND(ISNUMBER(AN55),ISNUMBER(AR55)),AN55-AR55,"")</f>
        <v/>
      </c>
      <c r="AT55" s="10">
        <f>IF(AND(ISNUMBER(AN55),ISNUMBER(AR55)),AN55+AR55,"")</f>
        <v/>
      </c>
    </row>
    <row r="56">
      <c r="K56" s="1" t="n"/>
      <c r="L56" s="3">
        <f>IFERROR(AVERAGEIF(Transform!$A$4:$A$1004,Transform!AI48,Transform!$V$4:$V$1004),"")</f>
        <v/>
      </c>
      <c r="M56" s="3">
        <f>IFERROR(VAR(FILTER(Transform!$V$4:$V$1004,Transform!$A$4:$A$1004=Transform!AI48)),"")</f>
        <v/>
      </c>
      <c r="N56" s="3">
        <f>IF(ISNUMBER(M56),SQRT(M56),"")</f>
        <v/>
      </c>
      <c r="O56" s="1">
        <f>COUNT(FILTER(Transform!$V$4:$V$1004,Transform!$A$4:$A$1004=Transform!AI48))</f>
        <v/>
      </c>
      <c r="P56" s="10">
        <f>IF(AND(ISNUMBER(N56),O56&gt;0),CONFIDENCE($D$2,N56,O56),"")</f>
        <v/>
      </c>
      <c r="Q56" s="10">
        <f>IF(AND(ISNUMBER(L56),ISNUMBER(P56)),L56-P56,"")</f>
        <v/>
      </c>
      <c r="R56" s="10">
        <f>IF(AND(ISNUMBER(L56),ISNUMBER(P56)),L56+P56,"")</f>
        <v/>
      </c>
      <c r="S56" s="3">
        <f>IFERROR(AVERAGEIF(Transform!$A$4:$A$1004,Transform!AI48,Transform!$W$4:$W$1004),"")</f>
        <v/>
      </c>
      <c r="T56" s="3">
        <f>IFERROR(VAR(FILTER(Transform!$W$4:$W$1004,Transform!$A$4:$A$1004=Transform!AI48)),"")</f>
        <v/>
      </c>
      <c r="U56" s="3">
        <f>IF(ISNUMBER(T56),SQRT(T56),"")</f>
        <v/>
      </c>
      <c r="V56" s="1">
        <f>COUNT(FILTER(Transform!$W$4:$W$1004,Transform!$A$4:$A$1004=Transform!AI48))</f>
        <v/>
      </c>
      <c r="W56" s="10">
        <f>IF(AND(ISNUMBER(U56),V56&gt;0),CONFIDENCE($D$2,U56,V56),"")</f>
        <v/>
      </c>
      <c r="X56" s="10">
        <f>IF(AND(ISNUMBER(S56),ISNUMBER(W56)),S56-W56,"")</f>
        <v/>
      </c>
      <c r="Y56" s="10">
        <f>IF(AND(ISNUMBER(S56),ISNUMBER(W56)),S56+W56,"")</f>
        <v/>
      </c>
      <c r="Z56" s="3">
        <f>IFERROR(AVERAGEIF(Transform!$A$4:$A$1004,Transform!AI48,Transform!$X$4:$X$1004),"")</f>
        <v/>
      </c>
      <c r="AA56" s="3">
        <f>IFERROR(VAR(FILTER(Transform!$X$4:$X$1004,Transform!$A$4:$A$1004=Transform!AI48)),"")</f>
        <v/>
      </c>
      <c r="AB56" s="3">
        <f>IF(ISNUMBER(AA56),SQRT(AA56),"")</f>
        <v/>
      </c>
      <c r="AC56" s="1">
        <f>COUNT(FILTER(Transform!$X$4:$X$1004,Transform!$A$4:$A$1004=Transform!AI48))</f>
        <v/>
      </c>
      <c r="AD56" s="10">
        <f>IF(AND(ISNUMBER(AB56),AC56&gt;0),CONFIDENCE($D$2,AB56,AC56),"")</f>
        <v/>
      </c>
      <c r="AE56" s="10">
        <f>IF(AND(ISNUMBER(Z56),ISNUMBER(AD56)),Z56-AD56,"")</f>
        <v/>
      </c>
      <c r="AF56" s="10">
        <f>IF(AND(ISNUMBER(Z56),ISNUMBER(AD56)),Z56+AD56,"")</f>
        <v/>
      </c>
      <c r="AG56" s="12" t="n"/>
      <c r="AH56" s="3" t="n"/>
      <c r="AI56" s="3" t="n"/>
      <c r="AJ56" s="1" t="n"/>
      <c r="AK56" s="10" t="n"/>
      <c r="AL56" s="10" t="n"/>
      <c r="AM56" s="10" t="n"/>
      <c r="AN56" s="3">
        <f>IFERROR(AVERAGEIF(Transform!$A$4:$A$1004,Transform!AI48,Transform!$B$4:$S$1004),"")</f>
        <v/>
      </c>
      <c r="AO56" s="3">
        <f>IFERROR(VAR(FILTER(Transform!$B$4:$S$1004,Transform!$A$4:$A$1004=Transform!AI48)),"")</f>
        <v/>
      </c>
      <c r="AP56" s="3">
        <f>IF(ISNUMBER(AO56),SQRT(AO56),"")</f>
        <v/>
      </c>
      <c r="AQ56" s="1">
        <f>COUNT(FILTER(Transform!$B$4:$S$1004,Transform!$A$4:$A$1004=Transform!AI48))</f>
        <v/>
      </c>
      <c r="AR56" s="10">
        <f>IF(AND(ISNUMBER(AP56),AQ56&gt;0),CONFIDENCE($D$2,AP56,AQ56),"")</f>
        <v/>
      </c>
      <c r="AS56" s="10">
        <f>IF(AND(ISNUMBER(AN56),ISNUMBER(AR56)),AN56-AR56,"")</f>
        <v/>
      </c>
      <c r="AT56" s="10">
        <f>IF(AND(ISNUMBER(AN56),ISNUMBER(AR56)),AN56+AR56,"")</f>
        <v/>
      </c>
    </row>
    <row r="57">
      <c r="K57" s="1" t="n"/>
      <c r="L57" s="3">
        <f>IFERROR(AVERAGEIF(Transform!$A$4:$A$1004,Transform!AI49,Transform!$V$4:$V$1004),"")</f>
        <v/>
      </c>
      <c r="M57" s="3">
        <f>IFERROR(VAR(FILTER(Transform!$V$4:$V$1004,Transform!$A$4:$A$1004=Transform!AI49)),"")</f>
        <v/>
      </c>
      <c r="N57" s="3">
        <f>IF(ISNUMBER(M57),SQRT(M57),"")</f>
        <v/>
      </c>
      <c r="O57" s="1">
        <f>COUNT(FILTER(Transform!$V$4:$V$1004,Transform!$A$4:$A$1004=Transform!AI49))</f>
        <v/>
      </c>
      <c r="P57" s="10">
        <f>IF(AND(ISNUMBER(N57),O57&gt;0),CONFIDENCE($D$2,N57,O57),"")</f>
        <v/>
      </c>
      <c r="Q57" s="10">
        <f>IF(AND(ISNUMBER(L57),ISNUMBER(P57)),L57-P57,"")</f>
        <v/>
      </c>
      <c r="R57" s="10">
        <f>IF(AND(ISNUMBER(L57),ISNUMBER(P57)),L57+P57,"")</f>
        <v/>
      </c>
      <c r="S57" s="3">
        <f>IFERROR(AVERAGEIF(Transform!$A$4:$A$1004,Transform!AI49,Transform!$W$4:$W$1004),"")</f>
        <v/>
      </c>
      <c r="T57" s="3">
        <f>IFERROR(VAR(FILTER(Transform!$W$4:$W$1004,Transform!$A$4:$A$1004=Transform!AI49)),"")</f>
        <v/>
      </c>
      <c r="U57" s="3">
        <f>IF(ISNUMBER(T57),SQRT(T57),"")</f>
        <v/>
      </c>
      <c r="V57" s="1">
        <f>COUNT(FILTER(Transform!$W$4:$W$1004,Transform!$A$4:$A$1004=Transform!AI49))</f>
        <v/>
      </c>
      <c r="W57" s="10">
        <f>IF(AND(ISNUMBER(U57),V57&gt;0),CONFIDENCE($D$2,U57,V57),"")</f>
        <v/>
      </c>
      <c r="X57" s="10">
        <f>IF(AND(ISNUMBER(S57),ISNUMBER(W57)),S57-W57,"")</f>
        <v/>
      </c>
      <c r="Y57" s="10">
        <f>IF(AND(ISNUMBER(S57),ISNUMBER(W57)),S57+W57,"")</f>
        <v/>
      </c>
      <c r="Z57" s="3">
        <f>IFERROR(AVERAGEIF(Transform!$A$4:$A$1004,Transform!AI49,Transform!$X$4:$X$1004),"")</f>
        <v/>
      </c>
      <c r="AA57" s="3">
        <f>IFERROR(VAR(FILTER(Transform!$X$4:$X$1004,Transform!$A$4:$A$1004=Transform!AI49)),"")</f>
        <v/>
      </c>
      <c r="AB57" s="3">
        <f>IF(ISNUMBER(AA57),SQRT(AA57),"")</f>
        <v/>
      </c>
      <c r="AC57" s="1">
        <f>COUNT(FILTER(Transform!$X$4:$X$1004,Transform!$A$4:$A$1004=Transform!AI49))</f>
        <v/>
      </c>
      <c r="AD57" s="10">
        <f>IF(AND(ISNUMBER(AB57),AC57&gt;0),CONFIDENCE($D$2,AB57,AC57),"")</f>
        <v/>
      </c>
      <c r="AE57" s="10">
        <f>IF(AND(ISNUMBER(Z57),ISNUMBER(AD57)),Z57-AD57,"")</f>
        <v/>
      </c>
      <c r="AF57" s="10">
        <f>IF(AND(ISNUMBER(Z57),ISNUMBER(AD57)),Z57+AD57,"")</f>
        <v/>
      </c>
      <c r="AG57" s="12" t="n"/>
      <c r="AH57" s="3" t="n"/>
      <c r="AI57" s="3" t="n"/>
      <c r="AJ57" s="1" t="n"/>
      <c r="AK57" s="10" t="n"/>
      <c r="AL57" s="10" t="n"/>
      <c r="AM57" s="10" t="n"/>
      <c r="AN57" s="3">
        <f>IFERROR(AVERAGEIF(Transform!$A$4:$A$1004,Transform!AI49,Transform!$B$4:$S$1004),"")</f>
        <v/>
      </c>
      <c r="AO57" s="3">
        <f>IFERROR(VAR(FILTER(Transform!$B$4:$S$1004,Transform!$A$4:$A$1004=Transform!AI49)),"")</f>
        <v/>
      </c>
      <c r="AP57" s="3">
        <f>IF(ISNUMBER(AO57),SQRT(AO57),"")</f>
        <v/>
      </c>
      <c r="AQ57" s="1">
        <f>COUNT(FILTER(Transform!$B$4:$S$1004,Transform!$A$4:$A$1004=Transform!AI49))</f>
        <v/>
      </c>
      <c r="AR57" s="10">
        <f>IF(AND(ISNUMBER(AP57),AQ57&gt;0),CONFIDENCE($D$2,AP57,AQ57),"")</f>
        <v/>
      </c>
      <c r="AS57" s="10">
        <f>IF(AND(ISNUMBER(AN57),ISNUMBER(AR57)),AN57-AR57,"")</f>
        <v/>
      </c>
      <c r="AT57" s="10">
        <f>IF(AND(ISNUMBER(AN57),ISNUMBER(AR57)),AN57+AR57,"")</f>
        <v/>
      </c>
    </row>
    <row r="58">
      <c r="K58" s="1" t="n"/>
      <c r="L58" s="3">
        <f>IFERROR(AVERAGEIF(Transform!$A$4:$A$1004,Transform!AI50,Transform!$V$4:$V$1004),"")</f>
        <v/>
      </c>
      <c r="M58" s="3">
        <f>IFERROR(VAR(FILTER(Transform!$V$4:$V$1004,Transform!$A$4:$A$1004=Transform!AI50)),"")</f>
        <v/>
      </c>
      <c r="N58" s="3">
        <f>IF(ISNUMBER(M58),SQRT(M58),"")</f>
        <v/>
      </c>
      <c r="O58" s="1">
        <f>COUNT(FILTER(Transform!$V$4:$V$1004,Transform!$A$4:$A$1004=Transform!AI50))</f>
        <v/>
      </c>
      <c r="P58" s="10">
        <f>IF(AND(ISNUMBER(N58),O58&gt;0),CONFIDENCE($D$2,N58,O58),"")</f>
        <v/>
      </c>
      <c r="Q58" s="10">
        <f>IF(AND(ISNUMBER(L58),ISNUMBER(P58)),L58-P58,"")</f>
        <v/>
      </c>
      <c r="R58" s="10">
        <f>IF(AND(ISNUMBER(L58),ISNUMBER(P58)),L58+P58,"")</f>
        <v/>
      </c>
      <c r="S58" s="3">
        <f>IFERROR(AVERAGEIF(Transform!$A$4:$A$1004,Transform!AI50,Transform!$W$4:$W$1004),"")</f>
        <v/>
      </c>
      <c r="T58" s="3">
        <f>IFERROR(VAR(FILTER(Transform!$W$4:$W$1004,Transform!$A$4:$A$1004=Transform!AI50)),"")</f>
        <v/>
      </c>
      <c r="U58" s="3">
        <f>IF(ISNUMBER(T58),SQRT(T58),"")</f>
        <v/>
      </c>
      <c r="V58" s="1">
        <f>COUNT(FILTER(Transform!$W$4:$W$1004,Transform!$A$4:$A$1004=Transform!AI50))</f>
        <v/>
      </c>
      <c r="W58" s="10">
        <f>IF(AND(ISNUMBER(U58),V58&gt;0),CONFIDENCE($D$2,U58,V58),"")</f>
        <v/>
      </c>
      <c r="X58" s="10">
        <f>IF(AND(ISNUMBER(S58),ISNUMBER(W58)),S58-W58,"")</f>
        <v/>
      </c>
      <c r="Y58" s="10">
        <f>IF(AND(ISNUMBER(S58),ISNUMBER(W58)),S58+W58,"")</f>
        <v/>
      </c>
      <c r="Z58" s="3">
        <f>IFERROR(AVERAGEIF(Transform!$A$4:$A$1004,Transform!AI50,Transform!$X$4:$X$1004),"")</f>
        <v/>
      </c>
      <c r="AA58" s="3">
        <f>IFERROR(VAR(FILTER(Transform!$X$4:$X$1004,Transform!$A$4:$A$1004=Transform!AI50)),"")</f>
        <v/>
      </c>
      <c r="AB58" s="3">
        <f>IF(ISNUMBER(AA58),SQRT(AA58),"")</f>
        <v/>
      </c>
      <c r="AC58" s="1">
        <f>COUNT(FILTER(Transform!$X$4:$X$1004,Transform!$A$4:$A$1004=Transform!AI50))</f>
        <v/>
      </c>
      <c r="AD58" s="10">
        <f>IF(AND(ISNUMBER(AB58),AC58&gt;0),CONFIDENCE($D$2,AB58,AC58),"")</f>
        <v/>
      </c>
      <c r="AE58" s="10">
        <f>IF(AND(ISNUMBER(Z58),ISNUMBER(AD58)),Z58-AD58,"")</f>
        <v/>
      </c>
      <c r="AF58" s="10">
        <f>IF(AND(ISNUMBER(Z58),ISNUMBER(AD58)),Z58+AD58,"")</f>
        <v/>
      </c>
      <c r="AG58" s="12" t="n"/>
      <c r="AH58" s="3" t="n"/>
      <c r="AI58" s="3" t="n"/>
      <c r="AJ58" s="1" t="n"/>
      <c r="AK58" s="10" t="n"/>
      <c r="AL58" s="10" t="n"/>
      <c r="AM58" s="10" t="n"/>
      <c r="AN58" s="3">
        <f>IFERROR(AVERAGEIF(Transform!$A$4:$A$1004,Transform!AI50,Transform!$B$4:$S$1004),"")</f>
        <v/>
      </c>
      <c r="AO58" s="3">
        <f>IFERROR(VAR(FILTER(Transform!$B$4:$S$1004,Transform!$A$4:$A$1004=Transform!AI50)),"")</f>
        <v/>
      </c>
      <c r="AP58" s="3">
        <f>IF(ISNUMBER(AO58),SQRT(AO58),"")</f>
        <v/>
      </c>
      <c r="AQ58" s="1">
        <f>COUNT(FILTER(Transform!$B$4:$S$1004,Transform!$A$4:$A$1004=Transform!AI50))</f>
        <v/>
      </c>
      <c r="AR58" s="10">
        <f>IF(AND(ISNUMBER(AP58),AQ58&gt;0),CONFIDENCE($D$2,AP58,AQ58),"")</f>
        <v/>
      </c>
      <c r="AS58" s="10">
        <f>IF(AND(ISNUMBER(AN58),ISNUMBER(AR58)),AN58-AR58,"")</f>
        <v/>
      </c>
      <c r="AT58" s="10">
        <f>IF(AND(ISNUMBER(AN58),ISNUMBER(AR58)),AN58+AR58,"")</f>
        <v/>
      </c>
    </row>
    <row r="59">
      <c r="K59" s="1" t="n"/>
      <c r="L59" s="3">
        <f>IFERROR(AVERAGEIF(Transform!$A$4:$A$1004,Transform!AI51,Transform!$V$4:$V$1004),"")</f>
        <v/>
      </c>
      <c r="M59" s="3">
        <f>IFERROR(VAR(FILTER(Transform!$V$4:$V$1004,Transform!$A$4:$A$1004=Transform!AI51)),"")</f>
        <v/>
      </c>
      <c r="N59" s="3">
        <f>IF(ISNUMBER(M59),SQRT(M59),"")</f>
        <v/>
      </c>
      <c r="O59" s="1">
        <f>COUNT(FILTER(Transform!$V$4:$V$1004,Transform!$A$4:$A$1004=Transform!AI51))</f>
        <v/>
      </c>
      <c r="P59" s="10">
        <f>IF(AND(ISNUMBER(N59),O59&gt;0),CONFIDENCE($D$2,N59,O59),"")</f>
        <v/>
      </c>
      <c r="Q59" s="10">
        <f>IF(AND(ISNUMBER(L59),ISNUMBER(P59)),L59-P59,"")</f>
        <v/>
      </c>
      <c r="R59" s="10">
        <f>IF(AND(ISNUMBER(L59),ISNUMBER(P59)),L59+P59,"")</f>
        <v/>
      </c>
      <c r="S59" s="3">
        <f>IFERROR(AVERAGEIF(Transform!$A$4:$A$1004,Transform!AI51,Transform!$W$4:$W$1004),"")</f>
        <v/>
      </c>
      <c r="T59" s="3">
        <f>IFERROR(VAR(FILTER(Transform!$W$4:$W$1004,Transform!$A$4:$A$1004=Transform!AI51)),"")</f>
        <v/>
      </c>
      <c r="U59" s="3">
        <f>IF(ISNUMBER(T59),SQRT(T59),"")</f>
        <v/>
      </c>
      <c r="V59" s="1">
        <f>COUNT(FILTER(Transform!$W$4:$W$1004,Transform!$A$4:$A$1004=Transform!AI51))</f>
        <v/>
      </c>
      <c r="W59" s="10">
        <f>IF(AND(ISNUMBER(U59),V59&gt;0),CONFIDENCE($D$2,U59,V59),"")</f>
        <v/>
      </c>
      <c r="X59" s="10">
        <f>IF(AND(ISNUMBER(S59),ISNUMBER(W59)),S59-W59,"")</f>
        <v/>
      </c>
      <c r="Y59" s="10">
        <f>IF(AND(ISNUMBER(S59),ISNUMBER(W59)),S59+W59,"")</f>
        <v/>
      </c>
      <c r="Z59" s="3">
        <f>IFERROR(AVERAGEIF(Transform!$A$4:$A$1004,Transform!AI51,Transform!$X$4:$X$1004),"")</f>
        <v/>
      </c>
      <c r="AA59" s="3">
        <f>IFERROR(VAR(FILTER(Transform!$X$4:$X$1004,Transform!$A$4:$A$1004=Transform!AI51)),"")</f>
        <v/>
      </c>
      <c r="AB59" s="3">
        <f>IF(ISNUMBER(AA59),SQRT(AA59),"")</f>
        <v/>
      </c>
      <c r="AC59" s="1">
        <f>COUNT(FILTER(Transform!$X$4:$X$1004,Transform!$A$4:$A$1004=Transform!AI51))</f>
        <v/>
      </c>
      <c r="AD59" s="10">
        <f>IF(AND(ISNUMBER(AB59),AC59&gt;0),CONFIDENCE($D$2,AB59,AC59),"")</f>
        <v/>
      </c>
      <c r="AE59" s="10">
        <f>IF(AND(ISNUMBER(Z59),ISNUMBER(AD59)),Z59-AD59,"")</f>
        <v/>
      </c>
      <c r="AF59" s="10">
        <f>IF(AND(ISNUMBER(Z59),ISNUMBER(AD59)),Z59+AD59,"")</f>
        <v/>
      </c>
      <c r="AG59" s="12" t="n"/>
      <c r="AH59" s="3" t="n"/>
      <c r="AI59" s="3" t="n"/>
      <c r="AJ59" s="1" t="n"/>
      <c r="AK59" s="10" t="n"/>
      <c r="AL59" s="10" t="n"/>
      <c r="AM59" s="10" t="n"/>
      <c r="AN59" s="3">
        <f>IFERROR(AVERAGEIF(Transform!$A$4:$A$1004,Transform!AI51,Transform!$B$4:$S$1004),"")</f>
        <v/>
      </c>
      <c r="AO59" s="3">
        <f>IFERROR(VAR(FILTER(Transform!$B$4:$S$1004,Transform!$A$4:$A$1004=Transform!AI51)),"")</f>
        <v/>
      </c>
      <c r="AP59" s="3">
        <f>IF(ISNUMBER(AO59),SQRT(AO59),"")</f>
        <v/>
      </c>
      <c r="AQ59" s="1">
        <f>COUNT(FILTER(Transform!$B$4:$S$1004,Transform!$A$4:$A$1004=Transform!AI51))</f>
        <v/>
      </c>
      <c r="AR59" s="10">
        <f>IF(AND(ISNUMBER(AP59),AQ59&gt;0),CONFIDENCE($D$2,AP59,AQ59),"")</f>
        <v/>
      </c>
      <c r="AS59" s="10">
        <f>IF(AND(ISNUMBER(AN59),ISNUMBER(AR59)),AN59-AR59,"")</f>
        <v/>
      </c>
      <c r="AT59" s="10">
        <f>IF(AND(ISNUMBER(AN59),ISNUMBER(AR59)),AN59+AR59,"")</f>
        <v/>
      </c>
    </row>
    <row r="60">
      <c r="K60" s="1" t="n"/>
      <c r="L60" s="3">
        <f>IFERROR(AVERAGEIF(Transform!$A$4:$A$1004,Transform!AI52,Transform!$V$4:$V$1004),"")</f>
        <v/>
      </c>
      <c r="M60" s="3">
        <f>IFERROR(VAR(FILTER(Transform!$V$4:$V$1004,Transform!$A$4:$A$1004=Transform!AI52)),"")</f>
        <v/>
      </c>
      <c r="N60" s="3">
        <f>IF(ISNUMBER(M60),SQRT(M60),"")</f>
        <v/>
      </c>
      <c r="O60" s="1">
        <f>COUNT(FILTER(Transform!$V$4:$V$1004,Transform!$A$4:$A$1004=Transform!AI52))</f>
        <v/>
      </c>
      <c r="P60" s="10">
        <f>IF(AND(ISNUMBER(N60),O60&gt;0),CONFIDENCE($D$2,N60,O60),"")</f>
        <v/>
      </c>
      <c r="Q60" s="10">
        <f>IF(AND(ISNUMBER(L60),ISNUMBER(P60)),L60-P60,"")</f>
        <v/>
      </c>
      <c r="R60" s="10">
        <f>IF(AND(ISNUMBER(L60),ISNUMBER(P60)),L60+P60,"")</f>
        <v/>
      </c>
      <c r="S60" s="3">
        <f>IFERROR(AVERAGEIF(Transform!$A$4:$A$1004,Transform!AI52,Transform!$W$4:$W$1004),"")</f>
        <v/>
      </c>
      <c r="T60" s="3">
        <f>IFERROR(VAR(FILTER(Transform!$W$4:$W$1004,Transform!$A$4:$A$1004=Transform!AI52)),"")</f>
        <v/>
      </c>
      <c r="U60" s="3">
        <f>IF(ISNUMBER(T60),SQRT(T60),"")</f>
        <v/>
      </c>
      <c r="V60" s="1">
        <f>COUNT(FILTER(Transform!$W$4:$W$1004,Transform!$A$4:$A$1004=Transform!AI52))</f>
        <v/>
      </c>
      <c r="W60" s="10">
        <f>IF(AND(ISNUMBER(U60),V60&gt;0),CONFIDENCE($D$2,U60,V60),"")</f>
        <v/>
      </c>
      <c r="X60" s="10">
        <f>IF(AND(ISNUMBER(S60),ISNUMBER(W60)),S60-W60,"")</f>
        <v/>
      </c>
      <c r="Y60" s="10">
        <f>IF(AND(ISNUMBER(S60),ISNUMBER(W60)),S60+W60,"")</f>
        <v/>
      </c>
      <c r="Z60" s="3">
        <f>IFERROR(AVERAGEIF(Transform!$A$4:$A$1004,Transform!AI52,Transform!$X$4:$X$1004),"")</f>
        <v/>
      </c>
      <c r="AA60" s="3">
        <f>IFERROR(VAR(FILTER(Transform!$X$4:$X$1004,Transform!$A$4:$A$1004=Transform!AI52)),"")</f>
        <v/>
      </c>
      <c r="AB60" s="3">
        <f>IF(ISNUMBER(AA60),SQRT(AA60),"")</f>
        <v/>
      </c>
      <c r="AC60" s="1">
        <f>COUNT(FILTER(Transform!$X$4:$X$1004,Transform!$A$4:$A$1004=Transform!AI52))</f>
        <v/>
      </c>
      <c r="AD60" s="10">
        <f>IF(AND(ISNUMBER(AB60),AC60&gt;0),CONFIDENCE($D$2,AB60,AC60),"")</f>
        <v/>
      </c>
      <c r="AE60" s="10">
        <f>IF(AND(ISNUMBER(Z60),ISNUMBER(AD60)),Z60-AD60,"")</f>
        <v/>
      </c>
      <c r="AF60" s="10">
        <f>IF(AND(ISNUMBER(Z60),ISNUMBER(AD60)),Z60+AD60,"")</f>
        <v/>
      </c>
      <c r="AG60" s="12" t="n"/>
      <c r="AH60" s="3" t="n"/>
      <c r="AI60" s="3" t="n"/>
      <c r="AJ60" s="1" t="n"/>
      <c r="AK60" s="10" t="n"/>
      <c r="AL60" s="10" t="n"/>
      <c r="AM60" s="10" t="n"/>
      <c r="AN60" s="3">
        <f>IFERROR(AVERAGEIF(Transform!$A$4:$A$1004,Transform!AI52,Transform!$B$4:$S$1004),"")</f>
        <v/>
      </c>
      <c r="AO60" s="3">
        <f>IFERROR(VAR(FILTER(Transform!$B$4:$S$1004,Transform!$A$4:$A$1004=Transform!AI52)),"")</f>
        <v/>
      </c>
      <c r="AP60" s="3">
        <f>IF(ISNUMBER(AO60),SQRT(AO60),"")</f>
        <v/>
      </c>
      <c r="AQ60" s="1">
        <f>COUNT(FILTER(Transform!$B$4:$S$1004,Transform!$A$4:$A$1004=Transform!AI52))</f>
        <v/>
      </c>
      <c r="AR60" s="10">
        <f>IF(AND(ISNUMBER(AP60),AQ60&gt;0),CONFIDENCE($D$2,AP60,AQ60),"")</f>
        <v/>
      </c>
      <c r="AS60" s="10">
        <f>IF(AND(ISNUMBER(AN60),ISNUMBER(AR60)),AN60-AR60,"")</f>
        <v/>
      </c>
      <c r="AT60" s="10">
        <f>IF(AND(ISNUMBER(AN60),ISNUMBER(AR60)),AN60+AR60,"")</f>
        <v/>
      </c>
    </row>
    <row r="61">
      <c r="K61" s="1" t="n"/>
      <c r="L61" s="3">
        <f>IFERROR(AVERAGEIF(Transform!$A$4:$A$1004,Transform!AI53,Transform!$V$4:$V$1004),"")</f>
        <v/>
      </c>
      <c r="M61" s="3">
        <f>IFERROR(VAR(FILTER(Transform!$V$4:$V$1004,Transform!$A$4:$A$1004=Transform!AI53)),"")</f>
        <v/>
      </c>
      <c r="N61" s="3">
        <f>IF(ISNUMBER(M61),SQRT(M61),"")</f>
        <v/>
      </c>
      <c r="O61" s="1">
        <f>COUNT(FILTER(Transform!$V$4:$V$1004,Transform!$A$4:$A$1004=Transform!AI53))</f>
        <v/>
      </c>
      <c r="P61" s="10">
        <f>IF(AND(ISNUMBER(N61),O61&gt;0),CONFIDENCE($D$2,N61,O61),"")</f>
        <v/>
      </c>
      <c r="Q61" s="10">
        <f>IF(AND(ISNUMBER(L61),ISNUMBER(P61)),L61-P61,"")</f>
        <v/>
      </c>
      <c r="R61" s="10">
        <f>IF(AND(ISNUMBER(L61),ISNUMBER(P61)),L61+P61,"")</f>
        <v/>
      </c>
      <c r="S61" s="3">
        <f>IFERROR(AVERAGEIF(Transform!$A$4:$A$1004,Transform!AI53,Transform!$W$4:$W$1004),"")</f>
        <v/>
      </c>
      <c r="T61" s="3">
        <f>IFERROR(VAR(FILTER(Transform!$W$4:$W$1004,Transform!$A$4:$A$1004=Transform!AI53)),"")</f>
        <v/>
      </c>
      <c r="U61" s="3">
        <f>IF(ISNUMBER(T61),SQRT(T61),"")</f>
        <v/>
      </c>
      <c r="V61" s="1">
        <f>COUNT(FILTER(Transform!$W$4:$W$1004,Transform!$A$4:$A$1004=Transform!AI53))</f>
        <v/>
      </c>
      <c r="W61" s="10">
        <f>IF(AND(ISNUMBER(U61),V61&gt;0),CONFIDENCE($D$2,U61,V61),"")</f>
        <v/>
      </c>
      <c r="X61" s="10">
        <f>IF(AND(ISNUMBER(S61),ISNUMBER(W61)),S61-W61,"")</f>
        <v/>
      </c>
      <c r="Y61" s="10">
        <f>IF(AND(ISNUMBER(S61),ISNUMBER(W61)),S61+W61,"")</f>
        <v/>
      </c>
      <c r="Z61" s="3">
        <f>IFERROR(AVERAGEIF(Transform!$A$4:$A$1004,Transform!AI53,Transform!$X$4:$X$1004),"")</f>
        <v/>
      </c>
      <c r="AA61" s="3">
        <f>IFERROR(VAR(FILTER(Transform!$X$4:$X$1004,Transform!$A$4:$A$1004=Transform!AI53)),"")</f>
        <v/>
      </c>
      <c r="AB61" s="3">
        <f>IF(ISNUMBER(AA61),SQRT(AA61),"")</f>
        <v/>
      </c>
      <c r="AC61" s="1">
        <f>COUNT(FILTER(Transform!$X$4:$X$1004,Transform!$A$4:$A$1004=Transform!AI53))</f>
        <v/>
      </c>
      <c r="AD61" s="10">
        <f>IF(AND(ISNUMBER(AB61),AC61&gt;0),CONFIDENCE($D$2,AB61,AC61),"")</f>
        <v/>
      </c>
      <c r="AE61" s="10">
        <f>IF(AND(ISNUMBER(Z61),ISNUMBER(AD61)),Z61-AD61,"")</f>
        <v/>
      </c>
      <c r="AF61" s="10">
        <f>IF(AND(ISNUMBER(Z61),ISNUMBER(AD61)),Z61+AD61,"")</f>
        <v/>
      </c>
      <c r="AG61" s="12" t="n"/>
      <c r="AH61" s="3" t="n"/>
      <c r="AI61" s="3" t="n"/>
      <c r="AJ61" s="1" t="n"/>
      <c r="AK61" s="10" t="n"/>
      <c r="AL61" s="10" t="n"/>
      <c r="AM61" s="10" t="n"/>
      <c r="AN61" s="3">
        <f>IFERROR(AVERAGEIF(Transform!$A$4:$A$1004,Transform!AI53,Transform!$B$4:$S$1004),"")</f>
        <v/>
      </c>
      <c r="AO61" s="3">
        <f>IFERROR(VAR(FILTER(Transform!$B$4:$S$1004,Transform!$A$4:$A$1004=Transform!AI53)),"")</f>
        <v/>
      </c>
      <c r="AP61" s="3">
        <f>IF(ISNUMBER(AO61),SQRT(AO61),"")</f>
        <v/>
      </c>
      <c r="AQ61" s="1">
        <f>COUNT(FILTER(Transform!$B$4:$S$1004,Transform!$A$4:$A$1004=Transform!AI53))</f>
        <v/>
      </c>
      <c r="AR61" s="10">
        <f>IF(AND(ISNUMBER(AP61),AQ61&gt;0),CONFIDENCE($D$2,AP61,AQ61),"")</f>
        <v/>
      </c>
      <c r="AS61" s="10">
        <f>IF(AND(ISNUMBER(AN61),ISNUMBER(AR61)),AN61-AR61,"")</f>
        <v/>
      </c>
      <c r="AT61" s="10">
        <f>IF(AND(ISNUMBER(AN61),ISNUMBER(AR61)),AN61+AR61,"")</f>
        <v/>
      </c>
    </row>
    <row r="62">
      <c r="K62" s="1" t="n"/>
      <c r="L62" s="3">
        <f>IFERROR(AVERAGEIF(Transform!$A$4:$A$1004,Transform!AI54,Transform!$V$4:$V$1004),"")</f>
        <v/>
      </c>
      <c r="M62" s="3">
        <f>IFERROR(VAR(FILTER(Transform!$V$4:$V$1004,Transform!$A$4:$A$1004=Transform!AI54)),"")</f>
        <v/>
      </c>
      <c r="N62" s="3">
        <f>IF(ISNUMBER(M62),SQRT(M62),"")</f>
        <v/>
      </c>
      <c r="O62" s="1">
        <f>COUNT(FILTER(Transform!$V$4:$V$1004,Transform!$A$4:$A$1004=Transform!AI54))</f>
        <v/>
      </c>
      <c r="P62" s="10">
        <f>IF(AND(ISNUMBER(N62),O62&gt;0),CONFIDENCE($D$2,N62,O62),"")</f>
        <v/>
      </c>
      <c r="Q62" s="10">
        <f>IF(AND(ISNUMBER(L62),ISNUMBER(P62)),L62-P62,"")</f>
        <v/>
      </c>
      <c r="R62" s="10">
        <f>IF(AND(ISNUMBER(L62),ISNUMBER(P62)),L62+P62,"")</f>
        <v/>
      </c>
      <c r="S62" s="3">
        <f>IFERROR(AVERAGEIF(Transform!$A$4:$A$1004,Transform!AI54,Transform!$W$4:$W$1004),"")</f>
        <v/>
      </c>
      <c r="T62" s="3">
        <f>IFERROR(VAR(FILTER(Transform!$W$4:$W$1004,Transform!$A$4:$A$1004=Transform!AI54)),"")</f>
        <v/>
      </c>
      <c r="U62" s="3">
        <f>IF(ISNUMBER(T62),SQRT(T62),"")</f>
        <v/>
      </c>
      <c r="V62" s="1">
        <f>COUNT(FILTER(Transform!$W$4:$W$1004,Transform!$A$4:$A$1004=Transform!AI54))</f>
        <v/>
      </c>
      <c r="W62" s="10">
        <f>IF(AND(ISNUMBER(U62),V62&gt;0),CONFIDENCE($D$2,U62,V62),"")</f>
        <v/>
      </c>
      <c r="X62" s="10">
        <f>IF(AND(ISNUMBER(S62),ISNUMBER(W62)),S62-W62,"")</f>
        <v/>
      </c>
      <c r="Y62" s="10">
        <f>IF(AND(ISNUMBER(S62),ISNUMBER(W62)),S62+W62,"")</f>
        <v/>
      </c>
      <c r="Z62" s="3">
        <f>IFERROR(AVERAGEIF(Transform!$A$4:$A$1004,Transform!AI54,Transform!$X$4:$X$1004),"")</f>
        <v/>
      </c>
      <c r="AA62" s="3">
        <f>IFERROR(VAR(FILTER(Transform!$X$4:$X$1004,Transform!$A$4:$A$1004=Transform!AI54)),"")</f>
        <v/>
      </c>
      <c r="AB62" s="3">
        <f>IF(ISNUMBER(AA62),SQRT(AA62),"")</f>
        <v/>
      </c>
      <c r="AC62" s="1">
        <f>COUNT(FILTER(Transform!$X$4:$X$1004,Transform!$A$4:$A$1004=Transform!AI54))</f>
        <v/>
      </c>
      <c r="AD62" s="10">
        <f>IF(AND(ISNUMBER(AB62),AC62&gt;0),CONFIDENCE($D$2,AB62,AC62),"")</f>
        <v/>
      </c>
      <c r="AE62" s="10">
        <f>IF(AND(ISNUMBER(Z62),ISNUMBER(AD62)),Z62-AD62,"")</f>
        <v/>
      </c>
      <c r="AF62" s="10">
        <f>IF(AND(ISNUMBER(Z62),ISNUMBER(AD62)),Z62+AD62,"")</f>
        <v/>
      </c>
      <c r="AG62" s="12" t="n"/>
      <c r="AH62" s="3" t="n"/>
      <c r="AI62" s="3" t="n"/>
      <c r="AJ62" s="1" t="n"/>
      <c r="AK62" s="10" t="n"/>
      <c r="AL62" s="10" t="n"/>
      <c r="AM62" s="10" t="n"/>
      <c r="AN62" s="3">
        <f>IFERROR(AVERAGEIF(Transform!$A$4:$A$1004,Transform!AI54,Transform!$B$4:$S$1004),"")</f>
        <v/>
      </c>
      <c r="AO62" s="3">
        <f>IFERROR(VAR(FILTER(Transform!$B$4:$S$1004,Transform!$A$4:$A$1004=Transform!AI54)),"")</f>
        <v/>
      </c>
      <c r="AP62" s="3">
        <f>IF(ISNUMBER(AO62),SQRT(AO62),"")</f>
        <v/>
      </c>
      <c r="AQ62" s="1">
        <f>COUNT(FILTER(Transform!$B$4:$S$1004,Transform!$A$4:$A$1004=Transform!AI54))</f>
        <v/>
      </c>
      <c r="AR62" s="10">
        <f>IF(AND(ISNUMBER(AP62),AQ62&gt;0),CONFIDENCE($D$2,AP62,AQ62),"")</f>
        <v/>
      </c>
      <c r="AS62" s="10">
        <f>IF(AND(ISNUMBER(AN62),ISNUMBER(AR62)),AN62-AR62,"")</f>
        <v/>
      </c>
      <c r="AT62" s="10">
        <f>IF(AND(ISNUMBER(AN62),ISNUMBER(AR62)),AN62+AR62,"")</f>
        <v/>
      </c>
    </row>
  </sheetData>
  <mergeCells count="11">
    <mergeCell ref="G4:H4"/>
    <mergeCell ref="A3:H3"/>
    <mergeCell ref="Q3:R3"/>
    <mergeCell ref="AS11:AT11"/>
    <mergeCell ref="Q11:R11"/>
    <mergeCell ref="X11:Y11"/>
    <mergeCell ref="AL11:AM11"/>
    <mergeCell ref="K2:R2"/>
    <mergeCell ref="A1:R1"/>
    <mergeCell ref="AE11:AF11"/>
    <mergeCell ref="K10:AT10"/>
  </mergeCells>
  <conditionalFormatting sqref="B5:B22">
    <cfRule type="iconSet" priority="11">
      <iconSet iconSet="3Flags">
        <cfvo type="percent" val="0"/>
        <cfvo type="num" val="2.5"/>
        <cfvo type="num" val="3.5"/>
      </iconSet>
    </cfRule>
  </conditionalFormatting>
  <conditionalFormatting sqref="L4:L8">
    <cfRule type="iconSet" priority="12">
      <iconSet iconSet="3Flags">
        <cfvo type="percent" val="0"/>
        <cfvo type="num" val="2.5"/>
        <cfvo type="num" val="3.5"/>
      </iconSet>
    </cfRule>
  </conditionalFormatting>
  <conditionalFormatting sqref="L12:L62">
    <cfRule type="iconSet" priority="5">
      <iconSet iconSet="3Flags">
        <cfvo type="percent" val="0"/>
        <cfvo type="num" val="2.5"/>
        <cfvo type="num" val="3.5"/>
      </iconSet>
    </cfRule>
  </conditionalFormatting>
  <conditionalFormatting sqref="S12:S62">
    <cfRule type="iconSet" priority="4">
      <iconSet iconSet="3Flags">
        <cfvo type="percent" val="0"/>
        <cfvo type="num" val="2.5"/>
        <cfvo type="num" val="3.5"/>
      </iconSet>
    </cfRule>
  </conditionalFormatting>
  <conditionalFormatting sqref="Z12:Z62">
    <cfRule type="iconSet" priority="3">
      <iconSet iconSet="3Flags">
        <cfvo type="percent" val="0"/>
        <cfvo type="num" val="2.5"/>
        <cfvo type="num" val="3.5"/>
      </iconSet>
    </cfRule>
  </conditionalFormatting>
  <conditionalFormatting sqref="AG12:AG62">
    <cfRule type="iconSet" priority="2">
      <iconSet iconSet="3Flags">
        <cfvo type="percent" val="0"/>
        <cfvo type="num" val="2.5"/>
        <cfvo type="num" val="3.5"/>
      </iconSet>
    </cfRule>
  </conditionalFormatting>
  <conditionalFormatting sqref="AN12:AN62">
    <cfRule type="iconSet" priority="1">
      <iconSet iconSet="3Flags">
        <cfvo type="percent" val="0"/>
        <cfvo type="num" val="2.5"/>
        <cfvo type="num" val="3.5"/>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B595129-5654-684A-B612-F2790EAB121A}">
          <x14:formula1>
            <xm:f>Mapping!D3:D9</xm:f>
          </x14:formula1>
          <xm:sqref>B2</xm:sqref>
        </x14:dataValidation>
      </x14:dataValidations>
    </ext>
  </extLst>
</worksheet>
</file>

<file path=xl/worksheets/sheet7.xml><?xml version="1.0" encoding="utf-8"?>
<worksheet xmlns="http://schemas.openxmlformats.org/spreadsheetml/2006/main">
  <sheetPr codeName="Sheet8">
    <outlinePr summaryBelow="1" summaryRight="1"/>
    <pageSetUpPr/>
  </sheetPr>
  <dimension ref="A1:G20"/>
  <sheetViews>
    <sheetView workbookViewId="0">
      <selection activeCell="H20" sqref="H20"/>
    </sheetView>
  </sheetViews>
  <sheetFormatPr baseColWidth="10" defaultRowHeight="15"/>
  <sheetData>
    <row r="1" ht="163" customHeight="1" thickBot="1" thickTop="1">
      <c r="A1" s="88" t="inlineStr">
        <is>
          <t xml:space="preserve">Answer Distributions 
This sheet provides a breakdown of response patterns for each XEQ item.
Each row corresponds to one questionnaire item.This view helps you identify patterns or anomalies in how different stakeholders responded to specific questions.
</t>
        </is>
      </c>
      <c r="B1" s="72" t="n"/>
      <c r="C1" s="72" t="n"/>
      <c r="D1" s="72" t="n"/>
      <c r="E1" s="72" t="n"/>
      <c r="F1" s="72" t="n"/>
      <c r="G1" s="73" t="n"/>
    </row>
    <row r="2" ht="16" customHeight="1" thickTop="1">
      <c r="A2" s="7" t="inlineStr">
        <is>
          <t>Item</t>
        </is>
      </c>
      <c r="B2" s="7" t="n">
        <v>1</v>
      </c>
      <c r="C2" s="7" t="n">
        <v>2</v>
      </c>
      <c r="D2" s="7" t="n">
        <v>3</v>
      </c>
      <c r="E2" s="7" t="n">
        <v>4</v>
      </c>
      <c r="F2" s="7" t="n">
        <v>5</v>
      </c>
      <c r="G2" s="7" t="inlineStr">
        <is>
          <t>Dimension</t>
        </is>
      </c>
    </row>
    <row r="3">
      <c r="A3" s="1" t="n">
        <v>1</v>
      </c>
      <c r="B3" s="1">
        <f>COUNTIF(INDEX(Transform!$B$4:$Z$1004, , ROW(A1)), "1")</f>
        <v/>
      </c>
      <c r="C3" s="1">
        <f>COUNTIF(INDEX(Transform!$B$4:$Z$1004, , ROW(A1)), "2")</f>
        <v/>
      </c>
      <c r="D3" s="1">
        <f>COUNTIF(INDEX(Transform!$B$4:$Z$1004, , ROW(A1)), "3")</f>
        <v/>
      </c>
      <c r="E3" s="1">
        <f>COUNTIF(INDEX(Transform!$B$4:$Z$1004, , ROW(A1)), "4")</f>
        <v/>
      </c>
      <c r="F3" s="1">
        <f>COUNTIF(INDEX(Transform!$B$4:$Z$1004, , ROW(A1)), "5")</f>
        <v/>
      </c>
      <c r="G3" s="1">
        <f>_xlfn.XLOOKUP(A3, Mapping!A:A, Mapping!B:B, "Unknown")</f>
        <v/>
      </c>
    </row>
    <row r="4">
      <c r="A4" s="1" t="n">
        <v>2</v>
      </c>
      <c r="B4" s="1">
        <f>COUNTIF(INDEX(Transform!$B$4:$Z$1004, , ROW(A2)), "1")</f>
        <v/>
      </c>
      <c r="C4" s="1">
        <f>COUNTIF(INDEX(Transform!$B$4:$Z$1004, , ROW(A2)), "2")</f>
        <v/>
      </c>
      <c r="D4" s="1">
        <f>COUNTIF(INDEX(Transform!$B$4:$Z$1004, , ROW(A2)), "3")</f>
        <v/>
      </c>
      <c r="E4" s="1">
        <f>COUNTIF(INDEX(Transform!$B$4:$Z$1004, , ROW(A2)), "4")</f>
        <v/>
      </c>
      <c r="F4" s="1">
        <f>COUNTIF(INDEX(Transform!$B$4:$Z$1004, , ROW(A2)), "5")</f>
        <v/>
      </c>
      <c r="G4" s="1">
        <f>_xlfn.XLOOKUP(A4, Mapping!A:A, Mapping!B:B, "Unknown")</f>
        <v/>
      </c>
    </row>
    <row r="5">
      <c r="A5" s="1" t="n">
        <v>3</v>
      </c>
      <c r="B5" s="1">
        <f>COUNTIF(INDEX(Transform!$B$4:$Z$1004, , ROW(A3)), "1")</f>
        <v/>
      </c>
      <c r="C5" s="1">
        <f>COUNTIF(INDEX(Transform!$B$4:$Z$1004, , ROW(A3)), "2")</f>
        <v/>
      </c>
      <c r="D5" s="1">
        <f>COUNTIF(INDEX(Transform!$B$4:$Z$1004, , ROW(A3)), "3")</f>
        <v/>
      </c>
      <c r="E5" s="1">
        <f>COUNTIF(INDEX(Transform!$B$4:$Z$1004, , ROW(A3)), "4")</f>
        <v/>
      </c>
      <c r="F5" s="1">
        <f>COUNTIF(INDEX(Transform!$B$4:$Z$1004, , ROW(A3)), "5")</f>
        <v/>
      </c>
      <c r="G5" s="1">
        <f>_xlfn.XLOOKUP(A5, Mapping!A:A, Mapping!B:B, "Unknown")</f>
        <v/>
      </c>
    </row>
    <row r="6">
      <c r="A6" s="1" t="n">
        <v>4</v>
      </c>
      <c r="B6" s="1">
        <f>COUNTIF(INDEX(Transform!$B$4:$Z$1004, , ROW(A4)), "1")</f>
        <v/>
      </c>
      <c r="C6" s="1">
        <f>COUNTIF(INDEX(Transform!$B$4:$Z$1004, , ROW(A4)), "2")</f>
        <v/>
      </c>
      <c r="D6" s="1">
        <f>COUNTIF(INDEX(Transform!$B$4:$Z$1004, , ROW(A4)), "3")</f>
        <v/>
      </c>
      <c r="E6" s="1">
        <f>COUNTIF(INDEX(Transform!$B$4:$Z$1004, , ROW(A4)), "4")</f>
        <v/>
      </c>
      <c r="F6" s="1">
        <f>COUNTIF(INDEX(Transform!$B$4:$Z$1004, , ROW(A4)), "5")</f>
        <v/>
      </c>
      <c r="G6" s="1">
        <f>_xlfn.XLOOKUP(A6, Mapping!A:A, Mapping!B:B, "Unknown")</f>
        <v/>
      </c>
    </row>
    <row r="7">
      <c r="A7" s="1" t="n">
        <v>5</v>
      </c>
      <c r="B7" s="1">
        <f>COUNTIF(INDEX(Transform!$B$4:$Z$1004, , ROW(A5)), "1")</f>
        <v/>
      </c>
      <c r="C7" s="1">
        <f>COUNTIF(INDEX(Transform!$B$4:$Z$1004, , ROW(A5)), "2")</f>
        <v/>
      </c>
      <c r="D7" s="1">
        <f>COUNTIF(INDEX(Transform!$B$4:$Z$1004, , ROW(A5)), "3")</f>
        <v/>
      </c>
      <c r="E7" s="1">
        <f>COUNTIF(INDEX(Transform!$B$4:$Z$1004, , ROW(A5)), "4")</f>
        <v/>
      </c>
      <c r="F7" s="1">
        <f>COUNTIF(INDEX(Transform!$B$4:$Z$1004, , ROW(A5)), "5")</f>
        <v/>
      </c>
      <c r="G7" s="1">
        <f>_xlfn.XLOOKUP(A7, Mapping!A:A, Mapping!B:B, "Unknown")</f>
        <v/>
      </c>
    </row>
    <row r="8">
      <c r="A8" s="1" t="n">
        <v>6</v>
      </c>
      <c r="B8" s="1">
        <f>COUNTIF(INDEX(Transform!$B$4:$Z$1004, , ROW(A6)), "1")</f>
        <v/>
      </c>
      <c r="C8" s="1">
        <f>COUNTIF(INDEX(Transform!$B$4:$Z$1004, , ROW(A6)), "2")</f>
        <v/>
      </c>
      <c r="D8" s="1">
        <f>COUNTIF(INDEX(Transform!$B$4:$Z$1004, , ROW(A6)), "3")</f>
        <v/>
      </c>
      <c r="E8" s="1">
        <f>COUNTIF(INDEX(Transform!$B$4:$Z$1004, , ROW(A6)), "4")</f>
        <v/>
      </c>
      <c r="F8" s="1">
        <f>COUNTIF(INDEX(Transform!$B$4:$Z$1004, , ROW(A6)), "5")</f>
        <v/>
      </c>
      <c r="G8" s="1">
        <f>_xlfn.XLOOKUP(A8, Mapping!A:A, Mapping!B:B, "Unknown")</f>
        <v/>
      </c>
    </row>
    <row r="9">
      <c r="A9" s="1" t="n">
        <v>7</v>
      </c>
      <c r="B9" s="1">
        <f>COUNTIF(INDEX(Transform!$B$4:$Z$1004, , ROW(A7)), "1")</f>
        <v/>
      </c>
      <c r="C9" s="1">
        <f>COUNTIF(INDEX(Transform!$B$4:$Z$1004, , ROW(A7)), "2")</f>
        <v/>
      </c>
      <c r="D9" s="1">
        <f>COUNTIF(INDEX(Transform!$B$4:$Z$1004, , ROW(A7)), "3")</f>
        <v/>
      </c>
      <c r="E9" s="1">
        <f>COUNTIF(INDEX(Transform!$B$4:$Z$1004, , ROW(A7)), "4")</f>
        <v/>
      </c>
      <c r="F9" s="1">
        <f>COUNTIF(INDEX(Transform!$B$4:$Z$1004, , ROW(A7)), "5")</f>
        <v/>
      </c>
      <c r="G9" s="1">
        <f>_xlfn.XLOOKUP(A9, Mapping!A:A, Mapping!B:B, "Unknown")</f>
        <v/>
      </c>
    </row>
    <row r="10">
      <c r="A10" s="1" t="n">
        <v>8</v>
      </c>
      <c r="B10" s="1">
        <f>COUNTIF(INDEX(Transform!$B$4:$Z$1004, , ROW(A8)), "1")</f>
        <v/>
      </c>
      <c r="C10" s="1">
        <f>COUNTIF(INDEX(Transform!$B$4:$Z$1004, , ROW(A8)), "2")</f>
        <v/>
      </c>
      <c r="D10" s="1">
        <f>COUNTIF(INDEX(Transform!$B$4:$Z$1004, , ROW(A8)), "3")</f>
        <v/>
      </c>
      <c r="E10" s="1">
        <f>COUNTIF(INDEX(Transform!$B$4:$Z$1004, , ROW(A8)), "4")</f>
        <v/>
      </c>
      <c r="F10" s="1">
        <f>COUNTIF(INDEX(Transform!$B$4:$Z$1004, , ROW(A8)), "5")</f>
        <v/>
      </c>
      <c r="G10" s="1">
        <f>_xlfn.XLOOKUP(A10, Mapping!A:A, Mapping!B:B, "Unknown")</f>
        <v/>
      </c>
    </row>
    <row r="11">
      <c r="A11" s="1" t="n">
        <v>9</v>
      </c>
      <c r="B11" s="1">
        <f>COUNTIF(INDEX(Transform!$B$4:$Z$1004, , ROW(A9)), "1")</f>
        <v/>
      </c>
      <c r="C11" s="1">
        <f>COUNTIF(INDEX(Transform!$B$4:$Z$1004, , ROW(A9)), "2")</f>
        <v/>
      </c>
      <c r="D11" s="1">
        <f>COUNTIF(INDEX(Transform!$B$4:$Z$1004, , ROW(A9)), "3")</f>
        <v/>
      </c>
      <c r="E11" s="1">
        <f>COUNTIF(INDEX(Transform!$B$4:$Z$1004, , ROW(A9)), "4")</f>
        <v/>
      </c>
      <c r="F11" s="1">
        <f>COUNTIF(INDEX(Transform!$B$4:$Z$1004, , ROW(A9)), "5")</f>
        <v/>
      </c>
      <c r="G11" s="1">
        <f>_xlfn.XLOOKUP(A11, Mapping!A:A, Mapping!B:B, "Unknown")</f>
        <v/>
      </c>
    </row>
    <row r="12">
      <c r="A12" s="1" t="n">
        <v>10</v>
      </c>
      <c r="B12" s="1">
        <f>COUNTIF(INDEX(Transform!$B$4:$Z$1004, , ROW(A10)), "1")</f>
        <v/>
      </c>
      <c r="C12" s="1">
        <f>COUNTIF(INDEX(Transform!$B$4:$Z$1004, , ROW(A10)), "2")</f>
        <v/>
      </c>
      <c r="D12" s="1">
        <f>COUNTIF(INDEX(Transform!$B$4:$Z$1004, , ROW(A10)), "3")</f>
        <v/>
      </c>
      <c r="E12" s="1">
        <f>COUNTIF(INDEX(Transform!$B$4:$Z$1004, , ROW(A10)), "4")</f>
        <v/>
      </c>
      <c r="F12" s="1">
        <f>COUNTIF(INDEX(Transform!$B$4:$Z$1004, , ROW(A10)), "5")</f>
        <v/>
      </c>
      <c r="G12" s="1">
        <f>_xlfn.XLOOKUP(A12, Mapping!A:A, Mapping!B:B, "Unknown")</f>
        <v/>
      </c>
    </row>
    <row r="13">
      <c r="A13" s="1" t="n">
        <v>11</v>
      </c>
      <c r="B13" s="1">
        <f>COUNTIF(INDEX(Transform!$B$4:$Z$1004, , ROW(A11)), "1")</f>
        <v/>
      </c>
      <c r="C13" s="1">
        <f>COUNTIF(INDEX(Transform!$B$4:$Z$1004, , ROW(A11)), "2")</f>
        <v/>
      </c>
      <c r="D13" s="1">
        <f>COUNTIF(INDEX(Transform!$B$4:$Z$1004, , ROW(A11)), "3")</f>
        <v/>
      </c>
      <c r="E13" s="1">
        <f>COUNTIF(INDEX(Transform!$B$4:$Z$1004, , ROW(A11)), "4")</f>
        <v/>
      </c>
      <c r="F13" s="1">
        <f>COUNTIF(INDEX(Transform!$B$4:$Z$1004, , ROW(A11)), "5")</f>
        <v/>
      </c>
      <c r="G13" s="1">
        <f>_xlfn.XLOOKUP(A13, Mapping!A:A, Mapping!B:B, "Unknown")</f>
        <v/>
      </c>
    </row>
    <row r="14">
      <c r="A14" s="1" t="n">
        <v>12</v>
      </c>
      <c r="B14" s="1">
        <f>COUNTIF(INDEX(Transform!$B$4:$Z$1004, , ROW(A12)), "1")</f>
        <v/>
      </c>
      <c r="C14" s="1">
        <f>COUNTIF(INDEX(Transform!$B$4:$Z$1004, , ROW(A12)), "2")</f>
        <v/>
      </c>
      <c r="D14" s="1">
        <f>COUNTIF(INDEX(Transform!$B$4:$Z$1004, , ROW(A12)), "3")</f>
        <v/>
      </c>
      <c r="E14" s="1">
        <f>COUNTIF(INDEX(Transform!$B$4:$Z$1004, , ROW(A12)), "4")</f>
        <v/>
      </c>
      <c r="F14" s="1">
        <f>COUNTIF(INDEX(Transform!$B$4:$Z$1004, , ROW(A12)), "5")</f>
        <v/>
      </c>
      <c r="G14" s="1">
        <f>_xlfn.XLOOKUP(A14, Mapping!A:A, Mapping!B:B, "Unknown")</f>
        <v/>
      </c>
    </row>
    <row r="15">
      <c r="A15" s="1" t="n">
        <v>13</v>
      </c>
      <c r="B15" s="1">
        <f>COUNTIF(INDEX(Transform!$B$4:$Z$1004, , ROW(A13)), "1")</f>
        <v/>
      </c>
      <c r="C15" s="1">
        <f>COUNTIF(INDEX(Transform!$B$4:$Z$1004, , ROW(A13)), "2")</f>
        <v/>
      </c>
      <c r="D15" s="1">
        <f>COUNTIF(INDEX(Transform!$B$4:$Z$1004, , ROW(A13)), "3")</f>
        <v/>
      </c>
      <c r="E15" s="1">
        <f>COUNTIF(INDEX(Transform!$B$4:$Z$1004, , ROW(A13)), "4")</f>
        <v/>
      </c>
      <c r="F15" s="1">
        <f>COUNTIF(INDEX(Transform!$B$4:$Z$1004, , ROW(A13)), "5")</f>
        <v/>
      </c>
      <c r="G15" s="1">
        <f>_xlfn.XLOOKUP(A15, Mapping!A:A, Mapping!B:B, "Unknown")</f>
        <v/>
      </c>
    </row>
    <row r="16">
      <c r="A16" s="1" t="n">
        <v>14</v>
      </c>
      <c r="B16" s="1">
        <f>COUNTIF(INDEX(Transform!$B$4:$Z$1004, , ROW(A14)), "1")</f>
        <v/>
      </c>
      <c r="C16" s="1">
        <f>COUNTIF(INDEX(Transform!$B$4:$Z$1004, , ROW(A14)), "2")</f>
        <v/>
      </c>
      <c r="D16" s="1">
        <f>COUNTIF(INDEX(Transform!$B$4:$Z$1004, , ROW(A14)), "3")</f>
        <v/>
      </c>
      <c r="E16" s="1">
        <f>COUNTIF(INDEX(Transform!$B$4:$Z$1004, , ROW(A14)), "4")</f>
        <v/>
      </c>
      <c r="F16" s="1">
        <f>COUNTIF(INDEX(Transform!$B$4:$Z$1004, , ROW(A14)), "5")</f>
        <v/>
      </c>
      <c r="G16" s="1">
        <f>_xlfn.XLOOKUP(A16, Mapping!A:A, Mapping!B:B, "Unknown")</f>
        <v/>
      </c>
    </row>
    <row r="17">
      <c r="A17" s="1" t="n">
        <v>15</v>
      </c>
      <c r="B17" s="1">
        <f>COUNTIF(INDEX(Transform!$B$4:$Z$1004, , ROW(A15)), "1")</f>
        <v/>
      </c>
      <c r="C17" s="1">
        <f>COUNTIF(INDEX(Transform!$B$4:$Z$1004, , ROW(A15)), "2")</f>
        <v/>
      </c>
      <c r="D17" s="1">
        <f>COUNTIF(INDEX(Transform!$B$4:$Z$1004, , ROW(A15)), "3")</f>
        <v/>
      </c>
      <c r="E17" s="1">
        <f>COUNTIF(INDEX(Transform!$B$4:$Z$1004, , ROW(A15)), "4")</f>
        <v/>
      </c>
      <c r="F17" s="1">
        <f>COUNTIF(INDEX(Transform!$B$4:$Z$1004, , ROW(A15)), "5")</f>
        <v/>
      </c>
      <c r="G17" s="1">
        <f>_xlfn.XLOOKUP(A17, Mapping!A:A, Mapping!B:B, "Unknown")</f>
        <v/>
      </c>
    </row>
    <row r="18">
      <c r="A18" s="1" t="n">
        <v>16</v>
      </c>
      <c r="B18" s="1">
        <f>COUNTIF(INDEX(Transform!$B$4:$Z$1004, , ROW(A16)), "1")</f>
        <v/>
      </c>
      <c r="C18" s="1">
        <f>COUNTIF(INDEX(Transform!$B$4:$Z$1004, , ROW(A16)), "2")</f>
        <v/>
      </c>
      <c r="D18" s="1">
        <f>COUNTIF(INDEX(Transform!$B$4:$Z$1004, , ROW(A16)), "3")</f>
        <v/>
      </c>
      <c r="E18" s="1">
        <f>COUNTIF(INDEX(Transform!$B$4:$Z$1004, , ROW(A16)), "4")</f>
        <v/>
      </c>
      <c r="F18" s="1">
        <f>COUNTIF(INDEX(Transform!$B$4:$Z$1004, , ROW(A16)), "5")</f>
        <v/>
      </c>
      <c r="G18" s="1">
        <f>_xlfn.XLOOKUP(A18, Mapping!A:A, Mapping!B:B, "Unknown")</f>
        <v/>
      </c>
    </row>
    <row r="19">
      <c r="A19" s="1" t="n">
        <v>17</v>
      </c>
      <c r="B19" s="1">
        <f>COUNTIF(INDEX(Transform!$B$4:$Z$1004, , ROW(A17)), "1")</f>
        <v/>
      </c>
      <c r="C19" s="1">
        <f>COUNTIF(INDEX(Transform!$B$4:$Z$1004, , ROW(A17)), "2")</f>
        <v/>
      </c>
      <c r="D19" s="1">
        <f>COUNTIF(INDEX(Transform!$B$4:$Z$1004, , ROW(A17)), "3")</f>
        <v/>
      </c>
      <c r="E19" s="1">
        <f>COUNTIF(INDEX(Transform!$B$4:$Z$1004, , ROW(A17)), "4")</f>
        <v/>
      </c>
      <c r="F19" s="1">
        <f>COUNTIF(INDEX(Transform!$B$4:$Z$1004, , ROW(A17)), "5")</f>
        <v/>
      </c>
      <c r="G19" s="1">
        <f>_xlfn.XLOOKUP(A19, Mapping!A:A, Mapping!B:B, "Unknown")</f>
        <v/>
      </c>
    </row>
    <row r="20">
      <c r="A20" s="1" t="n">
        <v>18</v>
      </c>
      <c r="B20" s="1">
        <f>COUNTIF(INDEX(Transform!$B$4:$Z$1004, , ROW(A18)), "1")</f>
        <v/>
      </c>
      <c r="C20" s="1">
        <f>COUNTIF(INDEX(Transform!$B$4:$Z$1004, , ROW(A18)), "2")</f>
        <v/>
      </c>
      <c r="D20" s="1">
        <f>COUNTIF(INDEX(Transform!$B$4:$Z$1004, , ROW(A18)), "3")</f>
        <v/>
      </c>
      <c r="E20" s="1">
        <f>COUNTIF(INDEX(Transform!$B$4:$Z$1004, , ROW(A18)), "4")</f>
        <v/>
      </c>
      <c r="F20" s="1">
        <f>COUNTIF(INDEX(Transform!$B$4:$Z$1004, , ROW(A18)), "5")</f>
        <v/>
      </c>
      <c r="G20" s="1">
        <f>_xlfn.XLOOKUP(A20, Mapping!A:A, Mapping!B:B, "Unknown")</f>
        <v/>
      </c>
    </row>
  </sheetData>
  <mergeCells count="1">
    <mergeCell ref="A1:G1"/>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codeName="Sheet9">
    <outlinePr summaryBelow="1" summaryRight="1"/>
    <pageSetUpPr/>
  </sheetPr>
  <dimension ref="A1:F20"/>
  <sheetViews>
    <sheetView zoomScale="132" workbookViewId="0">
      <selection activeCell="B18" sqref="B18"/>
    </sheetView>
  </sheetViews>
  <sheetFormatPr baseColWidth="10" defaultRowHeight="15"/>
  <cols>
    <col width="12.5" bestFit="1" customWidth="1" min="4" max="4"/>
  </cols>
  <sheetData>
    <row r="1" ht="182" customHeight="1" thickBot="1" thickTop="1">
      <c r="A1" s="88" t="inlineStr">
        <is>
          <t>Mapping 
This sheet links each question to its corresponding XEQ factor and stores values used in dropdowns, such as confidence levels.
Each question should be assigned to exactly one factor.
Confidence level values listed here are used for selecting error bar ranges (e.g. 90%, 95%).
Do not delete or rearrange rows, as other sheets reference this table.</t>
        </is>
      </c>
      <c r="B1" s="72" t="n"/>
      <c r="C1" s="72" t="n"/>
      <c r="D1" s="72" t="n"/>
      <c r="E1" s="72" t="n"/>
      <c r="F1" s="73" t="n"/>
    </row>
    <row r="2" ht="16" customHeight="1" thickTop="1">
      <c r="A2" s="7" t="inlineStr">
        <is>
          <t>Item</t>
        </is>
      </c>
      <c r="B2" s="7" t="inlineStr">
        <is>
          <t>Factor</t>
        </is>
      </c>
      <c r="D2" s="7" t="inlineStr">
        <is>
          <t>Confidence (%)</t>
        </is>
      </c>
      <c r="E2" s="7" t="inlineStr">
        <is>
          <t>Confidence</t>
        </is>
      </c>
      <c r="F2" s="7" t="inlineStr">
        <is>
          <t>Alpha</t>
        </is>
      </c>
    </row>
    <row r="3">
      <c r="A3" s="1" t="n">
        <v>1</v>
      </c>
      <c r="B3" s="1" t="inlineStr">
        <is>
          <t>Effectiveness</t>
        </is>
      </c>
      <c r="D3" s="1" t="n">
        <v>99.90000000000001</v>
      </c>
      <c r="E3" s="1">
        <f>(D3/100)</f>
        <v/>
      </c>
      <c r="F3" s="1">
        <f>(1-E3)</f>
        <v/>
      </c>
    </row>
    <row r="4">
      <c r="A4" s="1" t="n">
        <v>2</v>
      </c>
      <c r="B4" s="1" t="inlineStr">
        <is>
          <t>Satisfaction</t>
        </is>
      </c>
      <c r="D4" s="1" t="n">
        <v>99</v>
      </c>
      <c r="E4" s="1">
        <f>(D4/100)</f>
        <v/>
      </c>
      <c r="F4" s="1">
        <f>(1-E4)</f>
        <v/>
      </c>
    </row>
    <row r="5">
      <c r="A5" s="1" t="n">
        <v>3</v>
      </c>
      <c r="B5" s="1" t="inlineStr">
        <is>
          <t>Utility</t>
        </is>
      </c>
      <c r="D5" s="1" t="n">
        <v>98</v>
      </c>
      <c r="E5" s="1">
        <f>(D5/100)</f>
        <v/>
      </c>
      <c r="F5" s="1">
        <f>(1-E5)</f>
        <v/>
      </c>
    </row>
    <row r="6">
      <c r="A6" s="1" t="n">
        <v>4</v>
      </c>
      <c r="B6" s="1" t="inlineStr">
        <is>
          <t>Effectiveness</t>
        </is>
      </c>
      <c r="D6" s="1" t="n">
        <v>95</v>
      </c>
      <c r="E6" s="1">
        <f>(D6/100)</f>
        <v/>
      </c>
      <c r="F6" s="1">
        <f>(1-E6)</f>
        <v/>
      </c>
    </row>
    <row r="7">
      <c r="A7" s="1" t="n">
        <v>5</v>
      </c>
      <c r="B7" s="1" t="inlineStr">
        <is>
          <t>Satisfaction</t>
        </is>
      </c>
      <c r="D7" s="1" t="n">
        <v>90</v>
      </c>
      <c r="E7" s="1">
        <f>(D7/100)</f>
        <v/>
      </c>
      <c r="F7" s="1">
        <f>(1-E7)</f>
        <v/>
      </c>
    </row>
    <row r="8">
      <c r="A8" s="1" t="n">
        <v>6</v>
      </c>
      <c r="B8" s="1" t="inlineStr">
        <is>
          <t>Satisfaction</t>
        </is>
      </c>
      <c r="D8" s="1" t="n">
        <v>85</v>
      </c>
      <c r="E8" s="1">
        <f>(D8/100)</f>
        <v/>
      </c>
      <c r="F8" s="1">
        <f>(1-E8)</f>
        <v/>
      </c>
    </row>
    <row r="9">
      <c r="A9" s="1" t="n">
        <v>7</v>
      </c>
      <c r="B9" s="1" t="inlineStr">
        <is>
          <t>Effectiveness</t>
        </is>
      </c>
      <c r="D9" s="1" t="n">
        <v>80</v>
      </c>
      <c r="E9" s="1">
        <f>(D9/100)</f>
        <v/>
      </c>
      <c r="F9" s="1">
        <f>(1-E9)</f>
        <v/>
      </c>
    </row>
    <row r="10">
      <c r="A10" s="1" t="n">
        <v>8</v>
      </c>
      <c r="B10" s="1" t="inlineStr">
        <is>
          <t>Effectiveness</t>
        </is>
      </c>
    </row>
    <row r="11">
      <c r="A11" s="1" t="n">
        <v>9</v>
      </c>
      <c r="B11" s="1" t="inlineStr">
        <is>
          <t>Utility</t>
        </is>
      </c>
    </row>
    <row r="12">
      <c r="A12" s="1" t="n">
        <v>10</v>
      </c>
      <c r="B12" s="1" t="inlineStr">
        <is>
          <t>Utility</t>
        </is>
      </c>
    </row>
    <row r="13">
      <c r="A13" s="1" t="n">
        <v>11</v>
      </c>
      <c r="B13" s="1" t="inlineStr">
        <is>
          <t>Utility</t>
        </is>
      </c>
    </row>
    <row r="14">
      <c r="A14" s="1" t="n">
        <v>12</v>
      </c>
      <c r="B14" s="1" t="inlineStr">
        <is>
          <t>Utility</t>
        </is>
      </c>
    </row>
    <row r="15">
      <c r="A15" s="1" t="n">
        <v>13</v>
      </c>
      <c r="B15" s="1" t="inlineStr">
        <is>
          <t>Satisfaction</t>
        </is>
      </c>
    </row>
    <row r="16">
      <c r="A16" s="1" t="n">
        <v>14</v>
      </c>
      <c r="B16" s="1" t="inlineStr">
        <is>
          <t>Utility</t>
        </is>
      </c>
    </row>
    <row r="17">
      <c r="A17" s="1" t="n">
        <v>15</v>
      </c>
      <c r="B17" s="1" t="inlineStr">
        <is>
          <t>Effectiveness</t>
        </is>
      </c>
    </row>
    <row r="18">
      <c r="A18" s="1" t="n">
        <v>16</v>
      </c>
      <c r="B18" s="1" t="inlineStr">
        <is>
          <t>Satisfaction</t>
        </is>
      </c>
    </row>
    <row r="19">
      <c r="A19" s="1" t="n">
        <v>17</v>
      </c>
      <c r="B19" s="1" t="inlineStr">
        <is>
          <t>Effectiveness</t>
        </is>
      </c>
    </row>
    <row r="20">
      <c r="A20" s="1" t="n">
        <v>18</v>
      </c>
      <c r="B20" s="1" t="inlineStr">
        <is>
          <t>Effectiveness</t>
        </is>
      </c>
    </row>
  </sheetData>
  <mergeCells count="1">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2025-06-19T09:01:46Z</dcterms:created>
  <dcterms:modified xmlns:dcterms="http://purl.org/dc/terms/" xmlns:xsi="http://www.w3.org/2001/XMLSchema-instance" xsi:type="dcterms:W3CDTF">2026-06-17T22:48:16Z</dcterms:modified>
  <cp:lastModifiedBy>Craig Pirie (socet)</cp:lastModifiedBy>
</cp:coreProperties>
</file>